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usinessIdea\AItools\rakesh\"/>
    </mc:Choice>
  </mc:AlternateContent>
  <xr:revisionPtr revIDLastSave="0" documentId="13_ncr:1_{AD7EAE75-90B1-483F-AABD-53040F6DBC29}" xr6:coauthVersionLast="47" xr6:coauthVersionMax="47" xr10:uidLastSave="{00000000-0000-0000-0000-000000000000}"/>
  <bookViews>
    <workbookView xWindow="-110" yWindow="-110" windowWidth="19420" windowHeight="10300" activeTab="4" xr2:uid="{B1117272-22AB-41D5-B576-E08396E6D1E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externalReferences>
    <externalReference r:id="rId6"/>
  </externalReferences>
  <definedNames>
    <definedName name="___ServicesMasterList">'[1]Services Master list - for Ref'!$B$4:$B$156</definedName>
    <definedName name="___ServicesMasterList_Symbol">'[1]Services Master list - for Ref'!$C$4:$C$155</definedName>
    <definedName name="___ServicesMasterList_SymbolTPS">'[1]Services Master list - for Ref'!$C$157:$C$192</definedName>
    <definedName name="_WellBasketSelection">Sheet2!$D$7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4" l="1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F46" i="3"/>
  <c r="F45" i="3"/>
  <c r="F44" i="3"/>
  <c r="F43" i="3"/>
  <c r="F42" i="3"/>
  <c r="F41" i="3"/>
  <c r="F40" i="3"/>
  <c r="F39" i="3"/>
  <c r="P38" i="3"/>
  <c r="F38" i="3"/>
  <c r="F37" i="3"/>
  <c r="F36" i="3"/>
  <c r="F35" i="3"/>
  <c r="F34" i="3"/>
  <c r="F33" i="3"/>
  <c r="F32" i="3"/>
  <c r="F31" i="3"/>
  <c r="F30" i="3"/>
  <c r="F29" i="3"/>
  <c r="P29" i="3" s="1"/>
  <c r="F28" i="3"/>
  <c r="F27" i="3"/>
  <c r="F26" i="3"/>
  <c r="F25" i="3"/>
  <c r="F24" i="3"/>
  <c r="F23" i="3"/>
  <c r="F22" i="3"/>
  <c r="F21" i="3"/>
  <c r="F20" i="3"/>
  <c r="P20" i="3" s="1"/>
  <c r="F19" i="3"/>
  <c r="F18" i="3"/>
  <c r="F17" i="3"/>
  <c r="F16" i="3"/>
  <c r="F15" i="3"/>
  <c r="F14" i="3"/>
  <c r="F13" i="3"/>
  <c r="F12" i="3"/>
  <c r="P11" i="3"/>
  <c r="F11" i="3"/>
  <c r="F10" i="3"/>
  <c r="F9" i="3"/>
  <c r="F8" i="3"/>
  <c r="F7" i="3"/>
  <c r="F6" i="3"/>
  <c r="F5" i="3"/>
  <c r="F4" i="3"/>
  <c r="F3" i="3"/>
  <c r="F2" i="3"/>
  <c r="U1631" i="2"/>
  <c r="S1631" i="2"/>
  <c r="U1630" i="2"/>
  <c r="S1630" i="2"/>
  <c r="S1629" i="2"/>
  <c r="U1629" i="2" s="1"/>
  <c r="S1628" i="2"/>
  <c r="U1628" i="2" s="1"/>
  <c r="S1627" i="2"/>
  <c r="U1627" i="2" s="1"/>
  <c r="S1626" i="2"/>
  <c r="U1626" i="2" s="1"/>
  <c r="S1625" i="2"/>
  <c r="U1625" i="2" s="1"/>
  <c r="U1624" i="2"/>
  <c r="S1624" i="2"/>
  <c r="U1623" i="2"/>
  <c r="S1623" i="2"/>
  <c r="U1622" i="2"/>
  <c r="S1622" i="2"/>
  <c r="S1621" i="2"/>
  <c r="U1621" i="2" s="1"/>
  <c r="S1620" i="2"/>
  <c r="U1620" i="2" s="1"/>
  <c r="S1619" i="2"/>
  <c r="U1619" i="2" s="1"/>
  <c r="S1618" i="2"/>
  <c r="U1618" i="2" s="1"/>
  <c r="S1617" i="2"/>
  <c r="U1617" i="2" s="1"/>
  <c r="U1616" i="2"/>
  <c r="S1616" i="2"/>
  <c r="U1615" i="2"/>
  <c r="S1615" i="2"/>
  <c r="U1614" i="2"/>
  <c r="S1614" i="2"/>
  <c r="U1613" i="2"/>
  <c r="S1613" i="2"/>
  <c r="S1612" i="2"/>
  <c r="U1612" i="2" s="1"/>
  <c r="S1611" i="2"/>
  <c r="U1611" i="2" s="1"/>
  <c r="S1610" i="2"/>
  <c r="U1610" i="2" s="1"/>
  <c r="S1609" i="2"/>
  <c r="U1609" i="2" s="1"/>
  <c r="U1608" i="2"/>
  <c r="S1608" i="2"/>
  <c r="U1607" i="2"/>
  <c r="S1607" i="2"/>
  <c r="U1606" i="2"/>
  <c r="S1606" i="2"/>
  <c r="U1605" i="2"/>
  <c r="S1605" i="2"/>
  <c r="S1604" i="2"/>
  <c r="U1604" i="2" s="1"/>
  <c r="S1603" i="2"/>
  <c r="U1603" i="2" s="1"/>
  <c r="S1602" i="2"/>
  <c r="U1602" i="2" s="1"/>
  <c r="S1601" i="2"/>
  <c r="U1601" i="2" s="1"/>
  <c r="U1600" i="2"/>
  <c r="S1600" i="2"/>
  <c r="U1599" i="2"/>
  <c r="S1599" i="2"/>
  <c r="U1598" i="2"/>
  <c r="S1598" i="2"/>
  <c r="S1597" i="2"/>
  <c r="U1597" i="2" s="1"/>
  <c r="S1596" i="2"/>
  <c r="U1596" i="2" s="1"/>
  <c r="S1595" i="2"/>
  <c r="U1595" i="2" s="1"/>
  <c r="S1594" i="2"/>
  <c r="U1594" i="2" s="1"/>
  <c r="S1593" i="2"/>
  <c r="U1593" i="2" s="1"/>
  <c r="U1592" i="2"/>
  <c r="S1592" i="2"/>
  <c r="U1591" i="2"/>
  <c r="S1591" i="2"/>
  <c r="U1590" i="2"/>
  <c r="S1590" i="2"/>
  <c r="S1589" i="2"/>
  <c r="U1589" i="2" s="1"/>
  <c r="S1588" i="2"/>
  <c r="U1588" i="2" s="1"/>
  <c r="S1587" i="2"/>
  <c r="U1587" i="2" s="1"/>
  <c r="S1586" i="2"/>
  <c r="U1586" i="2" s="1"/>
  <c r="S1585" i="2"/>
  <c r="U1585" i="2" s="1"/>
  <c r="U1584" i="2"/>
  <c r="S1584" i="2"/>
  <c r="U1583" i="2"/>
  <c r="S1583" i="2"/>
  <c r="U1582" i="2"/>
  <c r="S1582" i="2"/>
  <c r="U1581" i="2"/>
  <c r="S1581" i="2"/>
  <c r="S1580" i="2"/>
  <c r="U1580" i="2" s="1"/>
  <c r="S1579" i="2"/>
  <c r="U1579" i="2" s="1"/>
  <c r="S1578" i="2"/>
  <c r="U1578" i="2" s="1"/>
  <c r="S1577" i="2"/>
  <c r="U1577" i="2" s="1"/>
  <c r="U1576" i="2"/>
  <c r="S1576" i="2"/>
  <c r="U1575" i="2"/>
  <c r="S1575" i="2"/>
  <c r="U1574" i="2"/>
  <c r="S1574" i="2"/>
  <c r="S1573" i="2"/>
  <c r="U1573" i="2" s="1"/>
  <c r="S1572" i="2"/>
  <c r="U1572" i="2" s="1"/>
  <c r="S1571" i="2"/>
  <c r="U1571" i="2" s="1"/>
  <c r="S1570" i="2"/>
  <c r="U1570" i="2" s="1"/>
  <c r="S1569" i="2"/>
  <c r="U1569" i="2" s="1"/>
  <c r="U1568" i="2"/>
  <c r="S1568" i="2"/>
  <c r="U1567" i="2"/>
  <c r="S1567" i="2"/>
  <c r="U1566" i="2"/>
  <c r="S1566" i="2"/>
  <c r="S1565" i="2"/>
  <c r="U1565" i="2" s="1"/>
  <c r="S1564" i="2"/>
  <c r="U1564" i="2" s="1"/>
  <c r="S1563" i="2"/>
  <c r="U1563" i="2" s="1"/>
  <c r="S1562" i="2"/>
  <c r="U1562" i="2" s="1"/>
  <c r="S1561" i="2"/>
  <c r="U1561" i="2" s="1"/>
  <c r="U1560" i="2"/>
  <c r="S1560" i="2"/>
  <c r="U1559" i="2"/>
  <c r="S1559" i="2"/>
  <c r="U1558" i="2"/>
  <c r="S1558" i="2"/>
  <c r="S1557" i="2"/>
  <c r="U1557" i="2" s="1"/>
  <c r="S1556" i="2"/>
  <c r="U1556" i="2" s="1"/>
  <c r="S1555" i="2"/>
  <c r="U1555" i="2" s="1"/>
  <c r="S1554" i="2"/>
  <c r="U1554" i="2" s="1"/>
  <c r="S1553" i="2"/>
  <c r="U1553" i="2" s="1"/>
  <c r="U1552" i="2"/>
  <c r="S1552" i="2"/>
  <c r="U1551" i="2"/>
  <c r="S1551" i="2"/>
  <c r="U1550" i="2"/>
  <c r="S1550" i="2"/>
  <c r="S1549" i="2"/>
  <c r="U1549" i="2" s="1"/>
  <c r="S1548" i="2"/>
  <c r="U1548" i="2" s="1"/>
  <c r="S1547" i="2"/>
  <c r="U1547" i="2" s="1"/>
  <c r="S1546" i="2"/>
  <c r="U1546" i="2" s="1"/>
  <c r="S1545" i="2"/>
  <c r="U1545" i="2" s="1"/>
  <c r="U1544" i="2"/>
  <c r="S1544" i="2"/>
  <c r="U1543" i="2"/>
  <c r="S1543" i="2"/>
  <c r="U1542" i="2"/>
  <c r="S1542" i="2"/>
  <c r="S1541" i="2"/>
  <c r="U1541" i="2" s="1"/>
  <c r="S1540" i="2"/>
  <c r="U1540" i="2" s="1"/>
  <c r="S1539" i="2"/>
  <c r="U1539" i="2" s="1"/>
  <c r="S1538" i="2"/>
  <c r="U1538" i="2" s="1"/>
  <c r="S1537" i="2"/>
  <c r="U1537" i="2" s="1"/>
  <c r="U1536" i="2"/>
  <c r="S1536" i="2"/>
  <c r="U1535" i="2"/>
  <c r="S1535" i="2"/>
  <c r="U1534" i="2"/>
  <c r="S1534" i="2"/>
  <c r="S1533" i="2"/>
  <c r="U1533" i="2" s="1"/>
  <c r="S1532" i="2"/>
  <c r="U1532" i="2" s="1"/>
  <c r="S1531" i="2"/>
  <c r="U1531" i="2" s="1"/>
  <c r="U1530" i="2"/>
  <c r="S1530" i="2"/>
  <c r="S1529" i="2"/>
  <c r="U1529" i="2" s="1"/>
  <c r="U1528" i="2"/>
  <c r="S1528" i="2"/>
  <c r="U1527" i="2"/>
  <c r="S1527" i="2"/>
  <c r="U1526" i="2"/>
  <c r="S1526" i="2"/>
  <c r="U1525" i="2"/>
  <c r="S1525" i="2"/>
  <c r="S1524" i="2"/>
  <c r="U1524" i="2" s="1"/>
  <c r="S1523" i="2"/>
  <c r="U1523" i="2" s="1"/>
  <c r="S1522" i="2"/>
  <c r="U1522" i="2" s="1"/>
  <c r="S1521" i="2"/>
  <c r="U1521" i="2" s="1"/>
  <c r="U1520" i="2"/>
  <c r="S1520" i="2"/>
  <c r="S1519" i="2"/>
  <c r="U1519" i="2" s="1"/>
  <c r="U1518" i="2"/>
  <c r="S1518" i="2"/>
  <c r="S1517" i="2"/>
  <c r="U1517" i="2" s="1"/>
  <c r="S1516" i="2"/>
  <c r="U1516" i="2" s="1"/>
  <c r="S1515" i="2"/>
  <c r="U1515" i="2" s="1"/>
  <c r="U1514" i="2"/>
  <c r="S1514" i="2"/>
  <c r="S1513" i="2"/>
  <c r="U1513" i="2" s="1"/>
  <c r="U1512" i="2"/>
  <c r="S1512" i="2"/>
  <c r="U1511" i="2"/>
  <c r="S1511" i="2"/>
  <c r="U1510" i="2"/>
  <c r="S1510" i="2"/>
  <c r="U1509" i="2"/>
  <c r="S1509" i="2"/>
  <c r="S1508" i="2"/>
  <c r="U1508" i="2" s="1"/>
  <c r="S1507" i="2"/>
  <c r="U1507" i="2" s="1"/>
  <c r="S1506" i="2"/>
  <c r="U1506" i="2" s="1"/>
  <c r="S1505" i="2"/>
  <c r="U1505" i="2" s="1"/>
  <c r="U1504" i="2"/>
  <c r="S1504" i="2"/>
  <c r="S1503" i="2"/>
  <c r="U1503" i="2" s="1"/>
  <c r="U1502" i="2"/>
  <c r="S1502" i="2"/>
  <c r="S1501" i="2"/>
  <c r="U1501" i="2" s="1"/>
  <c r="S1500" i="2"/>
  <c r="U1500" i="2" s="1"/>
  <c r="S1499" i="2"/>
  <c r="U1499" i="2" s="1"/>
  <c r="U1498" i="2"/>
  <c r="S1498" i="2"/>
  <c r="S1497" i="2"/>
  <c r="U1497" i="2" s="1"/>
  <c r="U1496" i="2"/>
  <c r="S1496" i="2"/>
  <c r="U1495" i="2"/>
  <c r="S1495" i="2"/>
  <c r="U1494" i="2"/>
  <c r="S1494" i="2"/>
  <c r="U1493" i="2"/>
  <c r="S1493" i="2"/>
  <c r="S1492" i="2"/>
  <c r="U1492" i="2" s="1"/>
  <c r="S1491" i="2"/>
  <c r="U1491" i="2" s="1"/>
  <c r="S1490" i="2"/>
  <c r="U1490" i="2" s="1"/>
  <c r="S1489" i="2"/>
  <c r="U1489" i="2" s="1"/>
  <c r="U1488" i="2"/>
  <c r="S1488" i="2"/>
  <c r="S1487" i="2"/>
  <c r="U1487" i="2" s="1"/>
  <c r="U1486" i="2"/>
  <c r="S1486" i="2"/>
  <c r="U1485" i="2"/>
  <c r="S1485" i="2"/>
  <c r="S1484" i="2"/>
  <c r="U1484" i="2" s="1"/>
  <c r="S1483" i="2"/>
  <c r="U1483" i="2" s="1"/>
  <c r="U1482" i="2"/>
  <c r="S1482" i="2"/>
  <c r="S1481" i="2"/>
  <c r="U1481" i="2" s="1"/>
  <c r="U1480" i="2"/>
  <c r="S1480" i="2"/>
  <c r="U1479" i="2"/>
  <c r="S1479" i="2"/>
  <c r="U1478" i="2"/>
  <c r="S1478" i="2"/>
  <c r="U1477" i="2"/>
  <c r="S1477" i="2"/>
  <c r="S1476" i="2"/>
  <c r="U1476" i="2" s="1"/>
  <c r="S1475" i="2"/>
  <c r="U1475" i="2" s="1"/>
  <c r="U1474" i="2"/>
  <c r="S1474" i="2"/>
  <c r="S1473" i="2"/>
  <c r="U1473" i="2" s="1"/>
  <c r="U1472" i="2"/>
  <c r="S1472" i="2"/>
  <c r="S1471" i="2"/>
  <c r="U1471" i="2" s="1"/>
  <c r="U1470" i="2"/>
  <c r="S1470" i="2"/>
  <c r="S1469" i="2"/>
  <c r="U1469" i="2" s="1"/>
  <c r="U1468" i="2"/>
  <c r="S1468" i="2"/>
  <c r="S1467" i="2"/>
  <c r="U1467" i="2" s="1"/>
  <c r="U1466" i="2"/>
  <c r="S1466" i="2"/>
  <c r="S1465" i="2"/>
  <c r="U1465" i="2" s="1"/>
  <c r="U1464" i="2"/>
  <c r="S1464" i="2"/>
  <c r="S1463" i="2"/>
  <c r="U1463" i="2" s="1"/>
  <c r="U1462" i="2"/>
  <c r="S1462" i="2"/>
  <c r="U1461" i="2"/>
  <c r="S1461" i="2"/>
  <c r="S1460" i="2"/>
  <c r="U1460" i="2" s="1"/>
  <c r="S1459" i="2"/>
  <c r="U1459" i="2" s="1"/>
  <c r="S1458" i="2"/>
  <c r="U1458" i="2" s="1"/>
  <c r="S1457" i="2"/>
  <c r="U1457" i="2" s="1"/>
  <c r="U1456" i="2"/>
  <c r="S1456" i="2"/>
  <c r="U1455" i="2"/>
  <c r="S1455" i="2"/>
  <c r="U1454" i="2"/>
  <c r="S1454" i="2"/>
  <c r="S1453" i="2"/>
  <c r="U1453" i="2" s="1"/>
  <c r="U1452" i="2"/>
  <c r="S1452" i="2"/>
  <c r="S1451" i="2"/>
  <c r="U1451" i="2" s="1"/>
  <c r="S1450" i="2"/>
  <c r="U1450" i="2" s="1"/>
  <c r="S1449" i="2"/>
  <c r="U1449" i="2" s="1"/>
  <c r="U1448" i="2"/>
  <c r="S1448" i="2"/>
  <c r="U1447" i="2"/>
  <c r="S1447" i="2"/>
  <c r="U1446" i="2"/>
  <c r="S1446" i="2"/>
  <c r="S1445" i="2"/>
  <c r="U1445" i="2" s="1"/>
  <c r="S1444" i="2"/>
  <c r="U1444" i="2" s="1"/>
  <c r="S1443" i="2"/>
  <c r="U1443" i="2" s="1"/>
  <c r="S1442" i="2"/>
  <c r="U1442" i="2" s="1"/>
  <c r="S1441" i="2"/>
  <c r="U1441" i="2" s="1"/>
  <c r="U1440" i="2"/>
  <c r="S1440" i="2"/>
  <c r="U1439" i="2"/>
  <c r="S1439" i="2"/>
  <c r="U1438" i="2"/>
  <c r="S1438" i="2"/>
  <c r="U1437" i="2"/>
  <c r="S1437" i="2"/>
  <c r="U1436" i="2"/>
  <c r="S1436" i="2"/>
  <c r="S1435" i="2"/>
  <c r="U1435" i="2" s="1"/>
  <c r="S1434" i="2"/>
  <c r="U1434" i="2" s="1"/>
  <c r="S1433" i="2"/>
  <c r="U1433" i="2" s="1"/>
  <c r="U1432" i="2"/>
  <c r="S1432" i="2"/>
  <c r="U1431" i="2"/>
  <c r="S1431" i="2"/>
  <c r="U1430" i="2"/>
  <c r="S1430" i="2"/>
  <c r="S1429" i="2"/>
  <c r="U1429" i="2" s="1"/>
  <c r="S1428" i="2"/>
  <c r="U1428" i="2" s="1"/>
  <c r="S1427" i="2"/>
  <c r="U1427" i="2" s="1"/>
  <c r="S1426" i="2"/>
  <c r="U1426" i="2" s="1"/>
  <c r="S1425" i="2"/>
  <c r="U1425" i="2" s="1"/>
  <c r="U1424" i="2"/>
  <c r="S1424" i="2"/>
  <c r="U1423" i="2"/>
  <c r="S1423" i="2"/>
  <c r="U1422" i="2"/>
  <c r="S1422" i="2"/>
  <c r="U1421" i="2"/>
  <c r="S1421" i="2"/>
  <c r="S1420" i="2"/>
  <c r="U1420" i="2" s="1"/>
  <c r="S1419" i="2"/>
  <c r="U1419" i="2" s="1"/>
  <c r="S1418" i="2"/>
  <c r="U1418" i="2" s="1"/>
  <c r="S1417" i="2"/>
  <c r="U1417" i="2" s="1"/>
  <c r="U1416" i="2"/>
  <c r="S1416" i="2"/>
  <c r="U1415" i="2"/>
  <c r="S1415" i="2"/>
  <c r="U1414" i="2"/>
  <c r="S1414" i="2"/>
  <c r="S1413" i="2"/>
  <c r="U1413" i="2" s="1"/>
  <c r="S1412" i="2"/>
  <c r="U1412" i="2" s="1"/>
  <c r="S1411" i="2"/>
  <c r="U1411" i="2" s="1"/>
  <c r="S1410" i="2"/>
  <c r="U1410" i="2" s="1"/>
  <c r="S1409" i="2"/>
  <c r="U1409" i="2" s="1"/>
  <c r="U1408" i="2"/>
  <c r="S1408" i="2"/>
  <c r="U1407" i="2"/>
  <c r="S1407" i="2"/>
  <c r="U1406" i="2"/>
  <c r="S1406" i="2"/>
  <c r="U1405" i="2"/>
  <c r="S1405" i="2"/>
  <c r="U1404" i="2"/>
  <c r="S1404" i="2"/>
  <c r="S1403" i="2"/>
  <c r="U1403" i="2" s="1"/>
  <c r="S1402" i="2"/>
  <c r="U1402" i="2" s="1"/>
  <c r="S1401" i="2"/>
  <c r="U1401" i="2" s="1"/>
  <c r="U1400" i="2"/>
  <c r="S1400" i="2"/>
  <c r="U1399" i="2"/>
  <c r="S1399" i="2"/>
  <c r="U1398" i="2"/>
  <c r="S1398" i="2"/>
  <c r="S1397" i="2"/>
  <c r="U1397" i="2" s="1"/>
  <c r="S1396" i="2"/>
  <c r="U1396" i="2" s="1"/>
  <c r="S1395" i="2"/>
  <c r="U1395" i="2" s="1"/>
  <c r="S1394" i="2"/>
  <c r="U1394" i="2" s="1"/>
  <c r="S1393" i="2"/>
  <c r="U1393" i="2" s="1"/>
  <c r="U1392" i="2"/>
  <c r="S1392" i="2"/>
  <c r="U1391" i="2"/>
  <c r="S1391" i="2"/>
  <c r="U1390" i="2"/>
  <c r="S1390" i="2"/>
  <c r="U1389" i="2"/>
  <c r="S1389" i="2"/>
  <c r="U1388" i="2"/>
  <c r="S1388" i="2"/>
  <c r="S1387" i="2"/>
  <c r="U1387" i="2" s="1"/>
  <c r="S1386" i="2"/>
  <c r="U1386" i="2" s="1"/>
  <c r="S1385" i="2"/>
  <c r="U1385" i="2" s="1"/>
  <c r="U1384" i="2"/>
  <c r="S1384" i="2"/>
  <c r="U1383" i="2"/>
  <c r="S1383" i="2"/>
  <c r="U1382" i="2"/>
  <c r="S1382" i="2"/>
  <c r="S1381" i="2"/>
  <c r="U1381" i="2" s="1"/>
  <c r="S1380" i="2"/>
  <c r="U1380" i="2" s="1"/>
  <c r="S1379" i="2"/>
  <c r="U1379" i="2" s="1"/>
  <c r="S1378" i="2"/>
  <c r="U1378" i="2" s="1"/>
  <c r="S1377" i="2"/>
  <c r="U1377" i="2" s="1"/>
  <c r="U1376" i="2"/>
  <c r="S1376" i="2"/>
  <c r="U1375" i="2"/>
  <c r="S1375" i="2"/>
  <c r="S1374" i="2"/>
  <c r="U1374" i="2" s="1"/>
  <c r="U1373" i="2"/>
  <c r="S1373" i="2"/>
  <c r="S1372" i="2"/>
  <c r="U1372" i="2" s="1"/>
  <c r="S1371" i="2"/>
  <c r="U1371" i="2" s="1"/>
  <c r="S1370" i="2"/>
  <c r="U1370" i="2" s="1"/>
  <c r="S1369" i="2"/>
  <c r="U1369" i="2" s="1"/>
  <c r="U1368" i="2"/>
  <c r="S1368" i="2"/>
  <c r="U1367" i="2"/>
  <c r="S1367" i="2"/>
  <c r="S1366" i="2"/>
  <c r="U1366" i="2" s="1"/>
  <c r="U1365" i="2"/>
  <c r="S1365" i="2"/>
  <c r="S1364" i="2"/>
  <c r="U1364" i="2" s="1"/>
  <c r="S1363" i="2"/>
  <c r="U1363" i="2" s="1"/>
  <c r="S1362" i="2"/>
  <c r="U1362" i="2" s="1"/>
  <c r="U1361" i="2"/>
  <c r="S1361" i="2"/>
  <c r="U1360" i="2"/>
  <c r="S1360" i="2"/>
  <c r="S1359" i="2"/>
  <c r="U1359" i="2" s="1"/>
  <c r="S1358" i="2"/>
  <c r="U1358" i="2" s="1"/>
  <c r="U1357" i="2"/>
  <c r="S1357" i="2"/>
  <c r="S1356" i="2"/>
  <c r="U1356" i="2" s="1"/>
  <c r="S1355" i="2"/>
  <c r="U1355" i="2" s="1"/>
  <c r="U1354" i="2"/>
  <c r="S1354" i="2"/>
  <c r="S1353" i="2"/>
  <c r="U1353" i="2" s="1"/>
  <c r="U1352" i="2"/>
  <c r="S1352" i="2"/>
  <c r="S1351" i="2"/>
  <c r="U1351" i="2" s="1"/>
  <c r="U1350" i="2"/>
  <c r="S1350" i="2"/>
  <c r="S1349" i="2"/>
  <c r="U1349" i="2" s="1"/>
  <c r="U1348" i="2"/>
  <c r="S1348" i="2"/>
  <c r="S1347" i="2"/>
  <c r="U1347" i="2" s="1"/>
  <c r="S1346" i="2"/>
  <c r="U1346" i="2" s="1"/>
  <c r="U1345" i="2"/>
  <c r="S1345" i="2"/>
  <c r="U1344" i="2"/>
  <c r="S1344" i="2"/>
  <c r="S1343" i="2"/>
  <c r="U1343" i="2" s="1"/>
  <c r="S1342" i="2"/>
  <c r="U1342" i="2" s="1"/>
  <c r="U1341" i="2"/>
  <c r="S1341" i="2"/>
  <c r="S1340" i="2"/>
  <c r="U1340" i="2" s="1"/>
  <c r="S1339" i="2"/>
  <c r="U1339" i="2" s="1"/>
  <c r="U1338" i="2"/>
  <c r="S1338" i="2"/>
  <c r="S1337" i="2"/>
  <c r="U1337" i="2" s="1"/>
  <c r="U1336" i="2"/>
  <c r="S1336" i="2"/>
  <c r="S1335" i="2"/>
  <c r="U1335" i="2" s="1"/>
  <c r="S1334" i="2"/>
  <c r="U1334" i="2" s="1"/>
  <c r="U1333" i="2"/>
  <c r="S1333" i="2"/>
  <c r="S1332" i="2"/>
  <c r="U1332" i="2" s="1"/>
  <c r="S1331" i="2"/>
  <c r="U1331" i="2" s="1"/>
  <c r="S1330" i="2"/>
  <c r="U1330" i="2" s="1"/>
  <c r="U1329" i="2"/>
  <c r="S1329" i="2"/>
  <c r="U1328" i="2"/>
  <c r="S1328" i="2"/>
  <c r="U1327" i="2"/>
  <c r="S1327" i="2"/>
  <c r="S1326" i="2"/>
  <c r="U1326" i="2" s="1"/>
  <c r="U1325" i="2"/>
  <c r="S1325" i="2"/>
  <c r="S1324" i="2"/>
  <c r="U1324" i="2" s="1"/>
  <c r="S1323" i="2"/>
  <c r="U1323" i="2" s="1"/>
  <c r="S1322" i="2"/>
  <c r="U1322" i="2" s="1"/>
  <c r="Z1297" i="2"/>
  <c r="Y1297" i="2"/>
  <c r="U1297" i="2"/>
  <c r="S1297" i="2"/>
  <c r="Z1296" i="2"/>
  <c r="Y1296" i="2"/>
  <c r="U1296" i="2"/>
  <c r="S1296" i="2"/>
  <c r="Z1295" i="2"/>
  <c r="Y1295" i="2"/>
  <c r="U1295" i="2"/>
  <c r="S1295" i="2"/>
  <c r="Z1294" i="2"/>
  <c r="Y1294" i="2"/>
  <c r="U1294" i="2"/>
  <c r="S1294" i="2"/>
  <c r="Z1293" i="2"/>
  <c r="Y1293" i="2"/>
  <c r="U1293" i="2"/>
  <c r="S1293" i="2"/>
  <c r="Z1292" i="2"/>
  <c r="Y1292" i="2"/>
  <c r="U1292" i="2"/>
  <c r="S1292" i="2"/>
  <c r="Z1291" i="2"/>
  <c r="Y1291" i="2"/>
  <c r="U1291" i="2"/>
  <c r="S1291" i="2"/>
  <c r="Z1290" i="2"/>
  <c r="Y1290" i="2"/>
  <c r="U1290" i="2"/>
  <c r="S1290" i="2"/>
  <c r="Z1289" i="2"/>
  <c r="Y1289" i="2"/>
  <c r="U1289" i="2"/>
  <c r="S1289" i="2"/>
  <c r="Z1288" i="2"/>
  <c r="Y1288" i="2"/>
  <c r="U1288" i="2"/>
  <c r="S1288" i="2"/>
  <c r="Z1287" i="2"/>
  <c r="Y1287" i="2"/>
  <c r="U1287" i="2"/>
  <c r="S1287" i="2"/>
  <c r="Z1286" i="2"/>
  <c r="Y1286" i="2"/>
  <c r="U1286" i="2"/>
  <c r="S1286" i="2"/>
  <c r="Z1285" i="2"/>
  <c r="Y1285" i="2"/>
  <c r="U1285" i="2"/>
  <c r="S1285" i="2"/>
  <c r="Z1284" i="2"/>
  <c r="Y1284" i="2"/>
  <c r="U1284" i="2"/>
  <c r="S1284" i="2"/>
  <c r="Z1283" i="2"/>
  <c r="Y1283" i="2"/>
  <c r="U1283" i="2"/>
  <c r="S1283" i="2"/>
  <c r="Z1282" i="2"/>
  <c r="Y1282" i="2"/>
  <c r="U1282" i="2"/>
  <c r="S1282" i="2"/>
  <c r="Z1281" i="2"/>
  <c r="Y1281" i="2"/>
  <c r="U1281" i="2"/>
  <c r="S1281" i="2"/>
  <c r="Z1280" i="2"/>
  <c r="Y1280" i="2"/>
  <c r="U1280" i="2"/>
  <c r="S1280" i="2"/>
  <c r="Z1279" i="2"/>
  <c r="Y1279" i="2"/>
  <c r="U1279" i="2"/>
  <c r="S1279" i="2"/>
  <c r="Z1278" i="2"/>
  <c r="Y1278" i="2"/>
  <c r="U1278" i="2"/>
  <c r="S1278" i="2"/>
  <c r="Z1277" i="2"/>
  <c r="Y1277" i="2"/>
  <c r="U1277" i="2"/>
  <c r="S1277" i="2"/>
  <c r="Z1276" i="2"/>
  <c r="Y1276" i="2"/>
  <c r="U1276" i="2"/>
  <c r="S1276" i="2"/>
  <c r="Z1275" i="2"/>
  <c r="Y1275" i="2"/>
  <c r="U1275" i="2"/>
  <c r="S1275" i="2"/>
  <c r="Z1274" i="2"/>
  <c r="Y1274" i="2"/>
  <c r="U1274" i="2"/>
  <c r="S1274" i="2"/>
  <c r="Z1273" i="2"/>
  <c r="Y1273" i="2"/>
  <c r="U1273" i="2"/>
  <c r="S1273" i="2"/>
  <c r="Z1272" i="2"/>
  <c r="Y1272" i="2"/>
  <c r="U1272" i="2"/>
  <c r="S1272" i="2"/>
  <c r="Z1271" i="2"/>
  <c r="Y1271" i="2"/>
  <c r="U1271" i="2"/>
  <c r="S1271" i="2"/>
  <c r="Z1249" i="2"/>
  <c r="Y1249" i="2"/>
  <c r="U1249" i="2"/>
  <c r="S1249" i="2"/>
  <c r="Z1248" i="2"/>
  <c r="Y1248" i="2"/>
  <c r="U1248" i="2"/>
  <c r="S1248" i="2"/>
  <c r="Z1247" i="2"/>
  <c r="Y1247" i="2"/>
  <c r="U1247" i="2"/>
  <c r="S1247" i="2"/>
  <c r="Z1246" i="2"/>
  <c r="Y1246" i="2"/>
  <c r="U1246" i="2"/>
  <c r="S1246" i="2"/>
  <c r="Z1245" i="2"/>
  <c r="Y1245" i="2"/>
  <c r="U1245" i="2"/>
  <c r="S1245" i="2"/>
  <c r="Z1244" i="2"/>
  <c r="Y1244" i="2"/>
  <c r="U1244" i="2"/>
  <c r="S1244" i="2"/>
  <c r="Z1243" i="2"/>
  <c r="Y1243" i="2"/>
  <c r="U1243" i="2"/>
  <c r="S1243" i="2"/>
  <c r="Z1242" i="2"/>
  <c r="Y1242" i="2"/>
  <c r="U1242" i="2"/>
  <c r="S1242" i="2"/>
  <c r="Z1241" i="2"/>
  <c r="Y1241" i="2"/>
  <c r="U1241" i="2"/>
  <c r="S1241" i="2"/>
  <c r="Z1240" i="2"/>
  <c r="Y1240" i="2"/>
  <c r="U1240" i="2"/>
  <c r="S1240" i="2"/>
  <c r="Z1239" i="2"/>
  <c r="Y1239" i="2"/>
  <c r="U1239" i="2"/>
  <c r="S1239" i="2"/>
  <c r="Z1238" i="2"/>
  <c r="Y1238" i="2"/>
  <c r="U1238" i="2"/>
  <c r="S1238" i="2"/>
  <c r="Z1237" i="2"/>
  <c r="Y1237" i="2"/>
  <c r="U1237" i="2"/>
  <c r="S1237" i="2"/>
  <c r="Z1236" i="2"/>
  <c r="Y1236" i="2"/>
  <c r="U1236" i="2"/>
  <c r="S1236" i="2"/>
  <c r="K1236" i="2"/>
  <c r="Z1235" i="2"/>
  <c r="Y1235" i="2"/>
  <c r="U1235" i="2"/>
  <c r="S1235" i="2"/>
  <c r="K1235" i="2"/>
  <c r="Z1234" i="2"/>
  <c r="Y1234" i="2"/>
  <c r="U1234" i="2"/>
  <c r="S1234" i="2"/>
  <c r="K1234" i="2"/>
  <c r="Z1233" i="2"/>
  <c r="Y1233" i="2"/>
  <c r="U1233" i="2"/>
  <c r="S1233" i="2"/>
  <c r="L1233" i="2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L1265" i="2" s="1"/>
  <c r="L1266" i="2" s="1"/>
  <c r="L1267" i="2" s="1"/>
  <c r="L1268" i="2" s="1"/>
  <c r="L1269" i="2" s="1"/>
  <c r="L1270" i="2" s="1"/>
  <c r="L1271" i="2" s="1"/>
  <c r="L1272" i="2" s="1"/>
  <c r="L1273" i="2" s="1"/>
  <c r="L1274" i="2" s="1"/>
  <c r="L1275" i="2" s="1"/>
  <c r="L1276" i="2" s="1"/>
  <c r="L1277" i="2" s="1"/>
  <c r="L1278" i="2" s="1"/>
  <c r="L1279" i="2" s="1"/>
  <c r="L1280" i="2" s="1"/>
  <c r="L1281" i="2" s="1"/>
  <c r="L1282" i="2" s="1"/>
  <c r="L1283" i="2" s="1"/>
  <c r="L1284" i="2" s="1"/>
  <c r="L1285" i="2" s="1"/>
  <c r="L1286" i="2" s="1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L1307" i="2" s="1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L1322" i="2" s="1"/>
  <c r="L1323" i="2" s="1"/>
  <c r="L1324" i="2" s="1"/>
  <c r="L1325" i="2" s="1"/>
  <c r="L1326" i="2" s="1"/>
  <c r="L1327" i="2" s="1"/>
  <c r="L1328" i="2" s="1"/>
  <c r="L1329" i="2" s="1"/>
  <c r="L1330" i="2" s="1"/>
  <c r="L1331" i="2" s="1"/>
  <c r="L1332" i="2" s="1"/>
  <c r="L1333" i="2" s="1"/>
  <c r="L1334" i="2" s="1"/>
  <c r="L1335" i="2" s="1"/>
  <c r="L1336" i="2" s="1"/>
  <c r="L1337" i="2" s="1"/>
  <c r="L1338" i="2" s="1"/>
  <c r="L1339" i="2" s="1"/>
  <c r="L1340" i="2" s="1"/>
  <c r="L1341" i="2" s="1"/>
  <c r="L1342" i="2" s="1"/>
  <c r="L1343" i="2" s="1"/>
  <c r="L1344" i="2" s="1"/>
  <c r="L1345" i="2" s="1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L1370" i="2" s="1"/>
  <c r="L1371" i="2" s="1"/>
  <c r="L1372" i="2" s="1"/>
  <c r="L1373" i="2" s="1"/>
  <c r="L1374" i="2" s="1"/>
  <c r="L1375" i="2" s="1"/>
  <c r="L1376" i="2" s="1"/>
  <c r="L1377" i="2" s="1"/>
  <c r="L1378" i="2" s="1"/>
  <c r="L1379" i="2" s="1"/>
  <c r="L1380" i="2" s="1"/>
  <c r="L1381" i="2" s="1"/>
  <c r="L1382" i="2" s="1"/>
  <c r="L1383" i="2" s="1"/>
  <c r="L1384" i="2" s="1"/>
  <c r="L1385" i="2" s="1"/>
  <c r="L1386" i="2" s="1"/>
  <c r="L1387" i="2" s="1"/>
  <c r="L1388" i="2" s="1"/>
  <c r="L1389" i="2" s="1"/>
  <c r="L1390" i="2" s="1"/>
  <c r="L1391" i="2" s="1"/>
  <c r="L1392" i="2" s="1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L1411" i="2" s="1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425" i="2" s="1"/>
  <c r="L1426" i="2" s="1"/>
  <c r="L1427" i="2" s="1"/>
  <c r="L1428" i="2" s="1"/>
  <c r="L1429" i="2" s="1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L1447" i="2" s="1"/>
  <c r="L1448" i="2" s="1"/>
  <c r="L1449" i="2" s="1"/>
  <c r="L1450" i="2" s="1"/>
  <c r="L1451" i="2" s="1"/>
  <c r="L1452" i="2" s="1"/>
  <c r="L1453" i="2" s="1"/>
  <c r="L1454" i="2" s="1"/>
  <c r="L1455" i="2" s="1"/>
  <c r="L1456" i="2" s="1"/>
  <c r="L1457" i="2" s="1"/>
  <c r="L1458" i="2" s="1"/>
  <c r="L1459" i="2" s="1"/>
  <c r="L1460" i="2" s="1"/>
  <c r="L1461" i="2" s="1"/>
  <c r="L1462" i="2" s="1"/>
  <c r="L1463" i="2" s="1"/>
  <c r="L1464" i="2" s="1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L1477" i="2" s="1"/>
  <c r="L1478" i="2" s="1"/>
  <c r="L1479" i="2" s="1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  <c r="L1495" i="2" s="1"/>
  <c r="L1496" i="2" s="1"/>
  <c r="L1497" i="2" s="1"/>
  <c r="L1498" i="2" s="1"/>
  <c r="L1499" i="2" s="1"/>
  <c r="L1500" i="2" s="1"/>
  <c r="L1501" i="2" s="1"/>
  <c r="L1502" i="2" s="1"/>
  <c r="L1503" i="2" s="1"/>
  <c r="L1504" i="2" s="1"/>
  <c r="L1505" i="2" s="1"/>
  <c r="L1506" i="2" s="1"/>
  <c r="L1507" i="2" s="1"/>
  <c r="L1508" i="2" s="1"/>
  <c r="L1509" i="2" s="1"/>
  <c r="L1510" i="2" s="1"/>
  <c r="L1511" i="2" s="1"/>
  <c r="L1512" i="2" s="1"/>
  <c r="L1513" i="2" s="1"/>
  <c r="L1514" i="2" s="1"/>
  <c r="L1515" i="2" s="1"/>
  <c r="L1516" i="2" s="1"/>
  <c r="L1517" i="2" s="1"/>
  <c r="L1518" i="2" s="1"/>
  <c r="L1519" i="2" s="1"/>
  <c r="L1520" i="2" s="1"/>
  <c r="L1521" i="2" s="1"/>
  <c r="L1522" i="2" s="1"/>
  <c r="L1523" i="2" s="1"/>
  <c r="L1524" i="2" s="1"/>
  <c r="L1525" i="2" s="1"/>
  <c r="L1526" i="2" s="1"/>
  <c r="L1527" i="2" s="1"/>
  <c r="L1528" i="2" s="1"/>
  <c r="L1529" i="2" s="1"/>
  <c r="L1530" i="2" s="1"/>
  <c r="L1531" i="2" s="1"/>
  <c r="L1532" i="2" s="1"/>
  <c r="L1533" i="2" s="1"/>
  <c r="L1534" i="2" s="1"/>
  <c r="L1535" i="2" s="1"/>
  <c r="L1536" i="2" s="1"/>
  <c r="L1537" i="2" s="1"/>
  <c r="L1538" i="2" s="1"/>
  <c r="L1539" i="2" s="1"/>
  <c r="L1540" i="2" s="1"/>
  <c r="L1541" i="2" s="1"/>
  <c r="L1542" i="2" s="1"/>
  <c r="L1543" i="2" s="1"/>
  <c r="L1544" i="2" s="1"/>
  <c r="L1545" i="2" s="1"/>
  <c r="L1546" i="2" s="1"/>
  <c r="L1547" i="2" s="1"/>
  <c r="L1548" i="2" s="1"/>
  <c r="L1549" i="2" s="1"/>
  <c r="L1550" i="2" s="1"/>
  <c r="L1551" i="2" s="1"/>
  <c r="L1552" i="2" s="1"/>
  <c r="L1553" i="2" s="1"/>
  <c r="L1554" i="2" s="1"/>
  <c r="L1555" i="2" s="1"/>
  <c r="L1556" i="2" s="1"/>
  <c r="L1557" i="2" s="1"/>
  <c r="L1558" i="2" s="1"/>
  <c r="L1559" i="2" s="1"/>
  <c r="L1560" i="2" s="1"/>
  <c r="L1561" i="2" s="1"/>
  <c r="L1562" i="2" s="1"/>
  <c r="L1563" i="2" s="1"/>
  <c r="L1564" i="2" s="1"/>
  <c r="L1565" i="2" s="1"/>
  <c r="L1566" i="2" s="1"/>
  <c r="L1567" i="2" s="1"/>
  <c r="L1568" i="2" s="1"/>
  <c r="L1569" i="2" s="1"/>
  <c r="L1570" i="2" s="1"/>
  <c r="L1571" i="2" s="1"/>
  <c r="L1572" i="2" s="1"/>
  <c r="L1573" i="2" s="1"/>
  <c r="L1574" i="2" s="1"/>
  <c r="L1575" i="2" s="1"/>
  <c r="L1576" i="2" s="1"/>
  <c r="L1577" i="2" s="1"/>
  <c r="L1578" i="2" s="1"/>
  <c r="L1579" i="2" s="1"/>
  <c r="L1580" i="2" s="1"/>
  <c r="L1581" i="2" s="1"/>
  <c r="L1582" i="2" s="1"/>
  <c r="L1583" i="2" s="1"/>
  <c r="L1584" i="2" s="1"/>
  <c r="L1585" i="2" s="1"/>
  <c r="L1586" i="2" s="1"/>
  <c r="L1587" i="2" s="1"/>
  <c r="L1588" i="2" s="1"/>
  <c r="L1589" i="2" s="1"/>
  <c r="L1590" i="2" s="1"/>
  <c r="L1591" i="2" s="1"/>
  <c r="L1592" i="2" s="1"/>
  <c r="L1593" i="2" s="1"/>
  <c r="L1594" i="2" s="1"/>
  <c r="L1595" i="2" s="1"/>
  <c r="L1596" i="2" s="1"/>
  <c r="L1597" i="2" s="1"/>
  <c r="L1598" i="2" s="1"/>
  <c r="L1599" i="2" s="1"/>
  <c r="L1600" i="2" s="1"/>
  <c r="L1601" i="2" s="1"/>
  <c r="L1602" i="2" s="1"/>
  <c r="L1603" i="2" s="1"/>
  <c r="L1604" i="2" s="1"/>
  <c r="L1605" i="2" s="1"/>
  <c r="L1606" i="2" s="1"/>
  <c r="L1607" i="2" s="1"/>
  <c r="L1608" i="2" s="1"/>
  <c r="L1609" i="2" s="1"/>
  <c r="L1610" i="2" s="1"/>
  <c r="L1611" i="2" s="1"/>
  <c r="L1612" i="2" s="1"/>
  <c r="L1613" i="2" s="1"/>
  <c r="L1614" i="2" s="1"/>
  <c r="L1615" i="2" s="1"/>
  <c r="L1616" i="2" s="1"/>
  <c r="L1617" i="2" s="1"/>
  <c r="L1618" i="2" s="1"/>
  <c r="L1619" i="2" s="1"/>
  <c r="L1620" i="2" s="1"/>
  <c r="L1621" i="2" s="1"/>
  <c r="L1622" i="2" s="1"/>
  <c r="L1623" i="2" s="1"/>
  <c r="L1624" i="2" s="1"/>
  <c r="L1625" i="2" s="1"/>
  <c r="L1626" i="2" s="1"/>
  <c r="L1627" i="2" s="1"/>
  <c r="L1628" i="2" s="1"/>
  <c r="L1629" i="2" s="1"/>
  <c r="L1630" i="2" s="1"/>
  <c r="L1631" i="2" s="1"/>
  <c r="Z1232" i="2"/>
  <c r="Y1232" i="2"/>
  <c r="U1232" i="2"/>
  <c r="S1232" i="2"/>
  <c r="U1226" i="2"/>
  <c r="S1226" i="2"/>
  <c r="U1225" i="2"/>
  <c r="S1225" i="2"/>
  <c r="S1224" i="2"/>
  <c r="U1224" i="2" s="1"/>
  <c r="U1223" i="2"/>
  <c r="S1223" i="2"/>
  <c r="U1222" i="2"/>
  <c r="S1222" i="2"/>
  <c r="U1221" i="2"/>
  <c r="S1221" i="2"/>
  <c r="S1220" i="2"/>
  <c r="U1220" i="2" s="1"/>
  <c r="U1219" i="2"/>
  <c r="S1219" i="2"/>
  <c r="U1218" i="2"/>
  <c r="S1218" i="2"/>
  <c r="U1217" i="2"/>
  <c r="S1217" i="2"/>
  <c r="S1216" i="2"/>
  <c r="U1216" i="2" s="1"/>
  <c r="U1215" i="2"/>
  <c r="S1215" i="2"/>
  <c r="U1214" i="2"/>
  <c r="S1214" i="2"/>
  <c r="U1213" i="2"/>
  <c r="S1213" i="2"/>
  <c r="S1212" i="2"/>
  <c r="U1212" i="2" s="1"/>
  <c r="U1211" i="2"/>
  <c r="S1211" i="2"/>
  <c r="U1210" i="2"/>
  <c r="S1210" i="2"/>
  <c r="U1209" i="2"/>
  <c r="S1209" i="2"/>
  <c r="S1208" i="2"/>
  <c r="U1208" i="2" s="1"/>
  <c r="U1207" i="2"/>
  <c r="S1207" i="2"/>
  <c r="U1206" i="2"/>
  <c r="S1206" i="2"/>
  <c r="U1205" i="2"/>
  <c r="S1205" i="2"/>
  <c r="S1204" i="2"/>
  <c r="U1204" i="2" s="1"/>
  <c r="U1203" i="2"/>
  <c r="S1203" i="2"/>
  <c r="U1202" i="2"/>
  <c r="S1202" i="2"/>
  <c r="U1201" i="2"/>
  <c r="S1201" i="2"/>
  <c r="S1200" i="2"/>
  <c r="U1200" i="2" s="1"/>
  <c r="S1199" i="2"/>
  <c r="U1199" i="2" s="1"/>
  <c r="U1198" i="2"/>
  <c r="S1198" i="2"/>
  <c r="U1197" i="2"/>
  <c r="S1197" i="2"/>
  <c r="S1196" i="2"/>
  <c r="U1196" i="2" s="1"/>
  <c r="U1195" i="2"/>
  <c r="S1195" i="2"/>
  <c r="U1194" i="2"/>
  <c r="S1194" i="2"/>
  <c r="U1193" i="2"/>
  <c r="S1193" i="2"/>
  <c r="S1192" i="2"/>
  <c r="U1192" i="2" s="1"/>
  <c r="S1191" i="2"/>
  <c r="U1191" i="2" s="1"/>
  <c r="S1190" i="2"/>
  <c r="U1190" i="2" s="1"/>
  <c r="U1189" i="2"/>
  <c r="S1189" i="2"/>
  <c r="S1188" i="2"/>
  <c r="U1188" i="2" s="1"/>
  <c r="U1187" i="2"/>
  <c r="S1187" i="2"/>
  <c r="U1186" i="2"/>
  <c r="S1186" i="2"/>
  <c r="U1185" i="2"/>
  <c r="S1185" i="2"/>
  <c r="S1184" i="2"/>
  <c r="U1184" i="2" s="1"/>
  <c r="S1183" i="2"/>
  <c r="U1183" i="2" s="1"/>
  <c r="S1182" i="2"/>
  <c r="U1182" i="2" s="1"/>
  <c r="U1181" i="2"/>
  <c r="S1181" i="2"/>
  <c r="S1180" i="2"/>
  <c r="U1180" i="2" s="1"/>
  <c r="S1179" i="2"/>
  <c r="U1179" i="2" s="1"/>
  <c r="U1178" i="2"/>
  <c r="S1178" i="2"/>
  <c r="U1177" i="2"/>
  <c r="S1177" i="2"/>
  <c r="S1176" i="2"/>
  <c r="U1176" i="2" s="1"/>
  <c r="U1175" i="2"/>
  <c r="S1175" i="2"/>
  <c r="S1174" i="2"/>
  <c r="U1174" i="2" s="1"/>
  <c r="U1173" i="2"/>
  <c r="S1173" i="2"/>
  <c r="S1172" i="2"/>
  <c r="U1172" i="2" s="1"/>
  <c r="S1171" i="2"/>
  <c r="U1171" i="2" s="1"/>
  <c r="U1170" i="2"/>
  <c r="S1170" i="2"/>
  <c r="U1169" i="2"/>
  <c r="S1169" i="2"/>
  <c r="S1168" i="2"/>
  <c r="U1168" i="2" s="1"/>
  <c r="S1167" i="2"/>
  <c r="U1167" i="2" s="1"/>
  <c r="U1166" i="2"/>
  <c r="S1166" i="2"/>
  <c r="U1165" i="2"/>
  <c r="S1165" i="2"/>
  <c r="S1164" i="2"/>
  <c r="U1164" i="2" s="1"/>
  <c r="S1163" i="2"/>
  <c r="U1163" i="2" s="1"/>
  <c r="U1162" i="2"/>
  <c r="S1162" i="2"/>
  <c r="U1161" i="2"/>
  <c r="S1161" i="2"/>
  <c r="S1160" i="2"/>
  <c r="U1160" i="2" s="1"/>
  <c r="S1159" i="2"/>
  <c r="U1159" i="2" s="1"/>
  <c r="U1158" i="2"/>
  <c r="S1158" i="2"/>
  <c r="U1157" i="2"/>
  <c r="S1157" i="2"/>
  <c r="S1156" i="2"/>
  <c r="U1156" i="2" s="1"/>
  <c r="S1155" i="2"/>
  <c r="U1155" i="2" s="1"/>
  <c r="U1154" i="2"/>
  <c r="S1154" i="2"/>
  <c r="U1153" i="2"/>
  <c r="S1153" i="2"/>
  <c r="S1152" i="2"/>
  <c r="U1152" i="2" s="1"/>
  <c r="S1151" i="2"/>
  <c r="U1151" i="2" s="1"/>
  <c r="U1150" i="2"/>
  <c r="S1150" i="2"/>
  <c r="U1149" i="2"/>
  <c r="S1149" i="2"/>
  <c r="S1148" i="2"/>
  <c r="U1148" i="2" s="1"/>
  <c r="S1147" i="2"/>
  <c r="U1147" i="2" s="1"/>
  <c r="U1146" i="2"/>
  <c r="S1146" i="2"/>
  <c r="U1145" i="2"/>
  <c r="S1145" i="2"/>
  <c r="S1144" i="2"/>
  <c r="U1144" i="2" s="1"/>
  <c r="S1143" i="2"/>
  <c r="U1143" i="2" s="1"/>
  <c r="U1142" i="2"/>
  <c r="S1142" i="2"/>
  <c r="U1141" i="2"/>
  <c r="S1141" i="2"/>
  <c r="S1140" i="2"/>
  <c r="U1140" i="2" s="1"/>
  <c r="S1139" i="2"/>
  <c r="U1139" i="2" s="1"/>
  <c r="U1138" i="2"/>
  <c r="S1138" i="2"/>
  <c r="U1137" i="2"/>
  <c r="S1137" i="2"/>
  <c r="S1136" i="2"/>
  <c r="U1136" i="2" s="1"/>
  <c r="S1135" i="2"/>
  <c r="U1135" i="2" s="1"/>
  <c r="U1134" i="2"/>
  <c r="S1134" i="2"/>
  <c r="U1133" i="2"/>
  <c r="S1133" i="2"/>
  <c r="S1132" i="2"/>
  <c r="U1132" i="2" s="1"/>
  <c r="S1131" i="2"/>
  <c r="U1131" i="2" s="1"/>
  <c r="S1130" i="2"/>
  <c r="U1130" i="2" s="1"/>
  <c r="U1129" i="2"/>
  <c r="S1129" i="2"/>
  <c r="U1128" i="2"/>
  <c r="S1128" i="2"/>
  <c r="S1127" i="2"/>
  <c r="U1127" i="2" s="1"/>
  <c r="S1126" i="2"/>
  <c r="U1126" i="2" s="1"/>
  <c r="S1125" i="2"/>
  <c r="U1125" i="2" s="1"/>
  <c r="U1124" i="2"/>
  <c r="S1124" i="2"/>
  <c r="U1123" i="2"/>
  <c r="S1123" i="2"/>
  <c r="U1122" i="2"/>
  <c r="S1122" i="2"/>
  <c r="U1121" i="2"/>
  <c r="S1121" i="2"/>
  <c r="U1120" i="2"/>
  <c r="S1120" i="2"/>
  <c r="S1119" i="2"/>
  <c r="U1119" i="2" s="1"/>
  <c r="S1118" i="2"/>
  <c r="U1118" i="2" s="1"/>
  <c r="S1117" i="2"/>
  <c r="U1117" i="2" s="1"/>
  <c r="U1116" i="2"/>
  <c r="S1116" i="2"/>
  <c r="U1115" i="2"/>
  <c r="S1115" i="2"/>
  <c r="U1114" i="2"/>
  <c r="S1114" i="2"/>
  <c r="U1113" i="2"/>
  <c r="S1113" i="2"/>
  <c r="U1112" i="2"/>
  <c r="S1112" i="2"/>
  <c r="S1111" i="2"/>
  <c r="U1111" i="2" s="1"/>
  <c r="S1110" i="2"/>
  <c r="U1110" i="2" s="1"/>
  <c r="S1109" i="2"/>
  <c r="U1109" i="2" s="1"/>
  <c r="U1108" i="2"/>
  <c r="S1108" i="2"/>
  <c r="U1107" i="2"/>
  <c r="S1107" i="2"/>
  <c r="U1106" i="2"/>
  <c r="S1106" i="2"/>
  <c r="U1105" i="2"/>
  <c r="S1105" i="2"/>
  <c r="U1104" i="2"/>
  <c r="S1104" i="2"/>
  <c r="S1103" i="2"/>
  <c r="U1103" i="2" s="1"/>
  <c r="S1102" i="2"/>
  <c r="U1102" i="2" s="1"/>
  <c r="S1101" i="2"/>
  <c r="U1101" i="2" s="1"/>
  <c r="U1100" i="2"/>
  <c r="S1100" i="2"/>
  <c r="U1099" i="2"/>
  <c r="S1099" i="2"/>
  <c r="U1098" i="2"/>
  <c r="S1098" i="2"/>
  <c r="U1097" i="2"/>
  <c r="S1097" i="2"/>
  <c r="U1096" i="2"/>
  <c r="S1096" i="2"/>
  <c r="S1095" i="2"/>
  <c r="U1095" i="2" s="1"/>
  <c r="S1094" i="2"/>
  <c r="U1094" i="2" s="1"/>
  <c r="U1093" i="2"/>
  <c r="S1093" i="2"/>
  <c r="U1092" i="2"/>
  <c r="S1092" i="2"/>
  <c r="U1091" i="2"/>
  <c r="S1091" i="2"/>
  <c r="U1090" i="2"/>
  <c r="S1090" i="2"/>
  <c r="U1089" i="2"/>
  <c r="S1089" i="2"/>
  <c r="U1088" i="2"/>
  <c r="S1088" i="2"/>
  <c r="S1087" i="2"/>
  <c r="U1087" i="2" s="1"/>
  <c r="S1086" i="2"/>
  <c r="U1086" i="2" s="1"/>
  <c r="S1085" i="2"/>
  <c r="U1085" i="2" s="1"/>
  <c r="U1084" i="2"/>
  <c r="S1084" i="2"/>
  <c r="U1083" i="2"/>
  <c r="S1083" i="2"/>
  <c r="S1082" i="2"/>
  <c r="U1082" i="2" s="1"/>
  <c r="U1081" i="2"/>
  <c r="S1081" i="2"/>
  <c r="S1080" i="2"/>
  <c r="U1080" i="2" s="1"/>
  <c r="S1079" i="2"/>
  <c r="U1079" i="2" s="1"/>
  <c r="S1078" i="2"/>
  <c r="U1078" i="2" s="1"/>
  <c r="S1077" i="2"/>
  <c r="U1077" i="2" s="1"/>
  <c r="U1076" i="2"/>
  <c r="S1076" i="2"/>
  <c r="U1075" i="2"/>
  <c r="S1075" i="2"/>
  <c r="S1074" i="2"/>
  <c r="U1074" i="2" s="1"/>
  <c r="U1073" i="2"/>
  <c r="S1073" i="2"/>
  <c r="S1072" i="2"/>
  <c r="U1072" i="2" s="1"/>
  <c r="S1071" i="2"/>
  <c r="U1071" i="2" s="1"/>
  <c r="S1070" i="2"/>
  <c r="U1070" i="2" s="1"/>
  <c r="S1069" i="2"/>
  <c r="U1069" i="2" s="1"/>
  <c r="U1068" i="2"/>
  <c r="S1068" i="2"/>
  <c r="U1067" i="2"/>
  <c r="S1067" i="2"/>
  <c r="S1066" i="2"/>
  <c r="U1066" i="2" s="1"/>
  <c r="U1065" i="2"/>
  <c r="S1065" i="2"/>
  <c r="S1064" i="2"/>
  <c r="U1064" i="2" s="1"/>
  <c r="S1063" i="2"/>
  <c r="U1063" i="2" s="1"/>
  <c r="S1062" i="2"/>
  <c r="U1062" i="2" s="1"/>
  <c r="S1061" i="2"/>
  <c r="U1061" i="2" s="1"/>
  <c r="U1060" i="2"/>
  <c r="S1060" i="2"/>
  <c r="U1059" i="2"/>
  <c r="S1059" i="2"/>
  <c r="S1058" i="2"/>
  <c r="U1058" i="2" s="1"/>
  <c r="S1057" i="2"/>
  <c r="U1057" i="2" s="1"/>
  <c r="S1056" i="2"/>
  <c r="U1056" i="2" s="1"/>
  <c r="S1055" i="2"/>
  <c r="U1055" i="2" s="1"/>
  <c r="U1054" i="2"/>
  <c r="S1054" i="2"/>
  <c r="U1053" i="2"/>
  <c r="S1053" i="2"/>
  <c r="U1052" i="2"/>
  <c r="S1052" i="2"/>
  <c r="U1051" i="2"/>
  <c r="S1051" i="2"/>
  <c r="S1050" i="2"/>
  <c r="U1050" i="2" s="1"/>
  <c r="S1049" i="2"/>
  <c r="U1049" i="2" s="1"/>
  <c r="S1048" i="2"/>
  <c r="U1048" i="2" s="1"/>
  <c r="S1047" i="2"/>
  <c r="U1047" i="2" s="1"/>
  <c r="U1046" i="2"/>
  <c r="S1046" i="2"/>
  <c r="U1045" i="2"/>
  <c r="S1045" i="2"/>
  <c r="U1044" i="2"/>
  <c r="S1044" i="2"/>
  <c r="U1043" i="2"/>
  <c r="S1043" i="2"/>
  <c r="U1042" i="2"/>
  <c r="S1042" i="2"/>
  <c r="S1041" i="2"/>
  <c r="U1041" i="2" s="1"/>
  <c r="S1040" i="2"/>
  <c r="U1040" i="2" s="1"/>
  <c r="S1039" i="2"/>
  <c r="U1039" i="2" s="1"/>
  <c r="U1038" i="2"/>
  <c r="S1038" i="2"/>
  <c r="U1037" i="2"/>
  <c r="S1037" i="2"/>
  <c r="U1036" i="2"/>
  <c r="S1036" i="2"/>
  <c r="U1035" i="2"/>
  <c r="S1035" i="2"/>
  <c r="S1034" i="2"/>
  <c r="U1034" i="2" s="1"/>
  <c r="S1033" i="2"/>
  <c r="U1033" i="2" s="1"/>
  <c r="S1032" i="2"/>
  <c r="U1032" i="2" s="1"/>
  <c r="S1031" i="2"/>
  <c r="U1031" i="2" s="1"/>
  <c r="U1030" i="2"/>
  <c r="S1030" i="2"/>
  <c r="U1029" i="2"/>
  <c r="S1029" i="2"/>
  <c r="U1028" i="2"/>
  <c r="S1028" i="2"/>
  <c r="U1027" i="2"/>
  <c r="S1027" i="2"/>
  <c r="S1026" i="2"/>
  <c r="U1026" i="2" s="1"/>
  <c r="S1025" i="2"/>
  <c r="U1025" i="2" s="1"/>
  <c r="S1024" i="2"/>
  <c r="U1024" i="2" s="1"/>
  <c r="S1023" i="2"/>
  <c r="U1023" i="2" s="1"/>
  <c r="U1022" i="2"/>
  <c r="S1022" i="2"/>
  <c r="U1021" i="2"/>
  <c r="S1021" i="2"/>
  <c r="U1020" i="2"/>
  <c r="S1020" i="2"/>
  <c r="U1019" i="2"/>
  <c r="S1019" i="2"/>
  <c r="U1018" i="2"/>
  <c r="S1018" i="2"/>
  <c r="S1017" i="2"/>
  <c r="U1017" i="2" s="1"/>
  <c r="S1016" i="2"/>
  <c r="U1016" i="2" s="1"/>
  <c r="S1015" i="2"/>
  <c r="U1015" i="2" s="1"/>
  <c r="U1014" i="2"/>
  <c r="S1014" i="2"/>
  <c r="U1013" i="2"/>
  <c r="S1013" i="2"/>
  <c r="U1012" i="2"/>
  <c r="S1012" i="2"/>
  <c r="U1011" i="2"/>
  <c r="S1011" i="2"/>
  <c r="U1010" i="2"/>
  <c r="S1010" i="2"/>
  <c r="S1009" i="2"/>
  <c r="U1009" i="2" s="1"/>
  <c r="S1008" i="2"/>
  <c r="U1008" i="2" s="1"/>
  <c r="S1007" i="2"/>
  <c r="U1007" i="2" s="1"/>
  <c r="U1006" i="2"/>
  <c r="S1006" i="2"/>
  <c r="U1005" i="2"/>
  <c r="S1005" i="2"/>
  <c r="U1004" i="2"/>
  <c r="S1004" i="2"/>
  <c r="U1003" i="2"/>
  <c r="S1003" i="2"/>
  <c r="S1002" i="2"/>
  <c r="U1002" i="2" s="1"/>
  <c r="S1001" i="2"/>
  <c r="U1001" i="2" s="1"/>
  <c r="S1000" i="2"/>
  <c r="U1000" i="2" s="1"/>
  <c r="S999" i="2"/>
  <c r="U999" i="2" s="1"/>
  <c r="U998" i="2"/>
  <c r="S998" i="2"/>
  <c r="U997" i="2"/>
  <c r="S997" i="2"/>
  <c r="U996" i="2"/>
  <c r="S996" i="2"/>
  <c r="U995" i="2"/>
  <c r="S995" i="2"/>
  <c r="S994" i="2"/>
  <c r="U994" i="2" s="1"/>
  <c r="S993" i="2"/>
  <c r="U993" i="2" s="1"/>
  <c r="S992" i="2"/>
  <c r="U992" i="2" s="1"/>
  <c r="S991" i="2"/>
  <c r="U991" i="2" s="1"/>
  <c r="U990" i="2"/>
  <c r="S990" i="2"/>
  <c r="U989" i="2"/>
  <c r="S989" i="2"/>
  <c r="U988" i="2"/>
  <c r="S988" i="2"/>
  <c r="U987" i="2"/>
  <c r="S987" i="2"/>
  <c r="S986" i="2"/>
  <c r="U986" i="2" s="1"/>
  <c r="S985" i="2"/>
  <c r="U985" i="2" s="1"/>
  <c r="S984" i="2"/>
  <c r="U984" i="2" s="1"/>
  <c r="S983" i="2"/>
  <c r="U983" i="2" s="1"/>
  <c r="U982" i="2"/>
  <c r="S982" i="2"/>
  <c r="U981" i="2"/>
  <c r="S981" i="2"/>
  <c r="U980" i="2"/>
  <c r="S980" i="2"/>
  <c r="S979" i="2"/>
  <c r="U979" i="2" s="1"/>
  <c r="S978" i="2"/>
  <c r="U978" i="2" s="1"/>
  <c r="S977" i="2"/>
  <c r="U977" i="2" s="1"/>
  <c r="S976" i="2"/>
  <c r="U976" i="2" s="1"/>
  <c r="S975" i="2"/>
  <c r="U975" i="2" s="1"/>
  <c r="U974" i="2"/>
  <c r="S974" i="2"/>
  <c r="U973" i="2"/>
  <c r="S973" i="2"/>
  <c r="U972" i="2"/>
  <c r="S972" i="2"/>
  <c r="S971" i="2"/>
  <c r="U971" i="2" s="1"/>
  <c r="S970" i="2"/>
  <c r="U970" i="2" s="1"/>
  <c r="S969" i="2"/>
  <c r="U969" i="2" s="1"/>
  <c r="S968" i="2"/>
  <c r="U968" i="2" s="1"/>
  <c r="S967" i="2"/>
  <c r="U967" i="2" s="1"/>
  <c r="U966" i="2"/>
  <c r="S966" i="2"/>
  <c r="U965" i="2"/>
  <c r="S965" i="2"/>
  <c r="U964" i="2"/>
  <c r="S964" i="2"/>
  <c r="S963" i="2"/>
  <c r="U963" i="2" s="1"/>
  <c r="S962" i="2"/>
  <c r="U962" i="2" s="1"/>
  <c r="S961" i="2"/>
  <c r="U961" i="2" s="1"/>
  <c r="S960" i="2"/>
  <c r="U960" i="2" s="1"/>
  <c r="S959" i="2"/>
  <c r="U959" i="2" s="1"/>
  <c r="S958" i="2"/>
  <c r="U958" i="2" s="1"/>
  <c r="U957" i="2"/>
  <c r="S957" i="2"/>
  <c r="U956" i="2"/>
  <c r="S956" i="2"/>
  <c r="U955" i="2"/>
  <c r="S955" i="2"/>
  <c r="S954" i="2"/>
  <c r="U954" i="2" s="1"/>
  <c r="U953" i="2"/>
  <c r="S953" i="2"/>
  <c r="S952" i="2"/>
  <c r="U952" i="2" s="1"/>
  <c r="S951" i="2"/>
  <c r="U951" i="2" s="1"/>
  <c r="S950" i="2"/>
  <c r="U950" i="2" s="1"/>
  <c r="U949" i="2"/>
  <c r="S949" i="2"/>
  <c r="U948" i="2"/>
  <c r="S948" i="2"/>
  <c r="U947" i="2"/>
  <c r="S947" i="2"/>
  <c r="S946" i="2"/>
  <c r="U946" i="2" s="1"/>
  <c r="U945" i="2"/>
  <c r="S945" i="2"/>
  <c r="S944" i="2"/>
  <c r="U944" i="2" s="1"/>
  <c r="S943" i="2"/>
  <c r="U943" i="2" s="1"/>
  <c r="S942" i="2"/>
  <c r="U942" i="2" s="1"/>
  <c r="U941" i="2"/>
  <c r="S941" i="2"/>
  <c r="U940" i="2"/>
  <c r="S940" i="2"/>
  <c r="U939" i="2"/>
  <c r="S939" i="2"/>
  <c r="S938" i="2"/>
  <c r="U938" i="2" s="1"/>
  <c r="U937" i="2"/>
  <c r="S937" i="2"/>
  <c r="S936" i="2"/>
  <c r="U936" i="2" s="1"/>
  <c r="S935" i="2"/>
  <c r="U935" i="2" s="1"/>
  <c r="S934" i="2"/>
  <c r="U934" i="2" s="1"/>
  <c r="U933" i="2"/>
  <c r="S933" i="2"/>
  <c r="U932" i="2"/>
  <c r="S932" i="2"/>
  <c r="U931" i="2"/>
  <c r="S931" i="2"/>
  <c r="S930" i="2"/>
  <c r="U930" i="2" s="1"/>
  <c r="U929" i="2"/>
  <c r="S929" i="2"/>
  <c r="S928" i="2"/>
  <c r="U928" i="2" s="1"/>
  <c r="S927" i="2"/>
  <c r="U927" i="2" s="1"/>
  <c r="S926" i="2"/>
  <c r="U926" i="2" s="1"/>
  <c r="U925" i="2"/>
  <c r="S925" i="2"/>
  <c r="U924" i="2"/>
  <c r="S924" i="2"/>
  <c r="U923" i="2"/>
  <c r="S923" i="2"/>
  <c r="S922" i="2"/>
  <c r="U922" i="2" s="1"/>
  <c r="U921" i="2"/>
  <c r="S921" i="2"/>
  <c r="S920" i="2"/>
  <c r="U920" i="2" s="1"/>
  <c r="S919" i="2"/>
  <c r="U919" i="2" s="1"/>
  <c r="S918" i="2"/>
  <c r="U918" i="2" s="1"/>
  <c r="U917" i="2"/>
  <c r="S917" i="2"/>
  <c r="Z892" i="2"/>
  <c r="Y892" i="2"/>
  <c r="U892" i="2"/>
  <c r="S892" i="2"/>
  <c r="Z891" i="2"/>
  <c r="Y891" i="2"/>
  <c r="U891" i="2"/>
  <c r="S891" i="2"/>
  <c r="Z890" i="2"/>
  <c r="Y890" i="2"/>
  <c r="U890" i="2"/>
  <c r="S890" i="2"/>
  <c r="L890" i="2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L1139" i="2" s="1"/>
  <c r="L1140" i="2" s="1"/>
  <c r="L1141" i="2" s="1"/>
  <c r="L1142" i="2" s="1"/>
  <c r="L1143" i="2" s="1"/>
  <c r="L1144" i="2" s="1"/>
  <c r="L1145" i="2" s="1"/>
  <c r="L1146" i="2" s="1"/>
  <c r="L1147" i="2" s="1"/>
  <c r="L1148" i="2" s="1"/>
  <c r="L1149" i="2" s="1"/>
  <c r="L1150" i="2" s="1"/>
  <c r="L1151" i="2" s="1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92" i="2" s="1"/>
  <c r="L1193" i="2" s="1"/>
  <c r="L1194" i="2" s="1"/>
  <c r="L1195" i="2" s="1"/>
  <c r="L1196" i="2" s="1"/>
  <c r="L1197" i="2" s="1"/>
  <c r="L1198" i="2" s="1"/>
  <c r="L1199" i="2" s="1"/>
  <c r="L1200" i="2" s="1"/>
  <c r="L1201" i="2" s="1"/>
  <c r="L1202" i="2" s="1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Z889" i="2"/>
  <c r="Y889" i="2"/>
  <c r="U889" i="2"/>
  <c r="S889" i="2"/>
  <c r="Z888" i="2"/>
  <c r="Y888" i="2"/>
  <c r="U888" i="2"/>
  <c r="S888" i="2"/>
  <c r="Z887" i="2"/>
  <c r="Y887" i="2"/>
  <c r="U887" i="2"/>
  <c r="S887" i="2"/>
  <c r="Z886" i="2"/>
  <c r="Y886" i="2"/>
  <c r="U886" i="2"/>
  <c r="S886" i="2"/>
  <c r="Z885" i="2"/>
  <c r="Y885" i="2"/>
  <c r="U885" i="2"/>
  <c r="S885" i="2"/>
  <c r="Z884" i="2"/>
  <c r="Y884" i="2"/>
  <c r="U884" i="2"/>
  <c r="S884" i="2"/>
  <c r="Z883" i="2"/>
  <c r="Y883" i="2"/>
  <c r="U883" i="2"/>
  <c r="S883" i="2"/>
  <c r="Z882" i="2"/>
  <c r="Y882" i="2"/>
  <c r="U882" i="2"/>
  <c r="S882" i="2"/>
  <c r="Z881" i="2"/>
  <c r="Y881" i="2"/>
  <c r="U881" i="2"/>
  <c r="S881" i="2"/>
  <c r="Z880" i="2"/>
  <c r="Y880" i="2"/>
  <c r="U880" i="2"/>
  <c r="S880" i="2"/>
  <c r="Z879" i="2"/>
  <c r="Y879" i="2"/>
  <c r="U879" i="2"/>
  <c r="S879" i="2"/>
  <c r="Z878" i="2"/>
  <c r="Y878" i="2"/>
  <c r="U878" i="2"/>
  <c r="S878" i="2"/>
  <c r="Z877" i="2"/>
  <c r="Y877" i="2"/>
  <c r="U877" i="2"/>
  <c r="S877" i="2"/>
  <c r="Z876" i="2"/>
  <c r="Y876" i="2"/>
  <c r="U876" i="2"/>
  <c r="S876" i="2"/>
  <c r="Z875" i="2"/>
  <c r="Y875" i="2"/>
  <c r="U875" i="2"/>
  <c r="S875" i="2"/>
  <c r="Z874" i="2"/>
  <c r="Y874" i="2"/>
  <c r="U874" i="2"/>
  <c r="S874" i="2"/>
  <c r="Z873" i="2"/>
  <c r="Y873" i="2"/>
  <c r="U873" i="2"/>
  <c r="S873" i="2"/>
  <c r="Z872" i="2"/>
  <c r="Y872" i="2"/>
  <c r="U872" i="2"/>
  <c r="S872" i="2"/>
  <c r="Z871" i="2"/>
  <c r="Y871" i="2"/>
  <c r="U871" i="2"/>
  <c r="S871" i="2"/>
  <c r="Z870" i="2"/>
  <c r="Y870" i="2"/>
  <c r="U870" i="2"/>
  <c r="S870" i="2"/>
  <c r="Z869" i="2"/>
  <c r="Y869" i="2"/>
  <c r="U869" i="2"/>
  <c r="S869" i="2"/>
  <c r="Z868" i="2"/>
  <c r="Y868" i="2"/>
  <c r="U868" i="2"/>
  <c r="S868" i="2"/>
  <c r="Z867" i="2"/>
  <c r="Y867" i="2"/>
  <c r="U867" i="2"/>
  <c r="S867" i="2"/>
  <c r="Z866" i="2"/>
  <c r="Y866" i="2"/>
  <c r="U866" i="2"/>
  <c r="S866" i="2"/>
  <c r="Z844" i="2"/>
  <c r="Y844" i="2"/>
  <c r="U844" i="2"/>
  <c r="S844" i="2"/>
  <c r="Z843" i="2"/>
  <c r="Y843" i="2"/>
  <c r="U843" i="2"/>
  <c r="S843" i="2"/>
  <c r="Z842" i="2"/>
  <c r="Y842" i="2"/>
  <c r="U842" i="2"/>
  <c r="S842" i="2"/>
  <c r="Z841" i="2"/>
  <c r="Y841" i="2"/>
  <c r="U841" i="2"/>
  <c r="S841" i="2"/>
  <c r="Z840" i="2"/>
  <c r="Y840" i="2"/>
  <c r="U840" i="2"/>
  <c r="S840" i="2"/>
  <c r="Z839" i="2"/>
  <c r="Y839" i="2"/>
  <c r="U839" i="2"/>
  <c r="S839" i="2"/>
  <c r="Z838" i="2"/>
  <c r="Y838" i="2"/>
  <c r="U838" i="2"/>
  <c r="S838" i="2"/>
  <c r="Z837" i="2"/>
  <c r="Y837" i="2"/>
  <c r="U837" i="2"/>
  <c r="S837" i="2"/>
  <c r="Z836" i="2"/>
  <c r="Y836" i="2"/>
  <c r="U836" i="2"/>
  <c r="S836" i="2"/>
  <c r="Z835" i="2"/>
  <c r="Y835" i="2"/>
  <c r="U835" i="2"/>
  <c r="S835" i="2"/>
  <c r="Z834" i="2"/>
  <c r="Y834" i="2"/>
  <c r="U834" i="2"/>
  <c r="S834" i="2"/>
  <c r="Z833" i="2"/>
  <c r="Y833" i="2"/>
  <c r="U833" i="2"/>
  <c r="S833" i="2"/>
  <c r="Z832" i="2"/>
  <c r="Y832" i="2"/>
  <c r="U832" i="2"/>
  <c r="S832" i="2"/>
  <c r="Z831" i="2"/>
  <c r="Y831" i="2"/>
  <c r="U831" i="2"/>
  <c r="S831" i="2"/>
  <c r="Z830" i="2"/>
  <c r="Y830" i="2"/>
  <c r="U830" i="2"/>
  <c r="S830" i="2"/>
  <c r="L830" i="2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Z829" i="2"/>
  <c r="Y829" i="2"/>
  <c r="U829" i="2"/>
  <c r="S829" i="2"/>
  <c r="L829" i="2"/>
  <c r="K829" i="2"/>
  <c r="Z828" i="2"/>
  <c r="Y828" i="2"/>
  <c r="U828" i="2"/>
  <c r="S828" i="2"/>
  <c r="L828" i="2"/>
  <c r="Z827" i="2"/>
  <c r="Y827" i="2"/>
  <c r="U827" i="2"/>
  <c r="S827" i="2"/>
  <c r="S821" i="2"/>
  <c r="U821" i="2" s="1"/>
  <c r="S820" i="2"/>
  <c r="U820" i="2" s="1"/>
  <c r="U819" i="2"/>
  <c r="S819" i="2"/>
  <c r="U818" i="2"/>
  <c r="S818" i="2"/>
  <c r="S817" i="2"/>
  <c r="U817" i="2" s="1"/>
  <c r="S816" i="2"/>
  <c r="U816" i="2" s="1"/>
  <c r="S815" i="2"/>
  <c r="U815" i="2" s="1"/>
  <c r="U814" i="2"/>
  <c r="S814" i="2"/>
  <c r="S813" i="2"/>
  <c r="U813" i="2" s="1"/>
  <c r="S812" i="2"/>
  <c r="U812" i="2" s="1"/>
  <c r="U811" i="2"/>
  <c r="S811" i="2"/>
  <c r="U810" i="2"/>
  <c r="S810" i="2"/>
  <c r="S809" i="2"/>
  <c r="U809" i="2" s="1"/>
  <c r="S808" i="2"/>
  <c r="U808" i="2" s="1"/>
  <c r="S807" i="2"/>
  <c r="U807" i="2" s="1"/>
  <c r="U806" i="2"/>
  <c r="S806" i="2"/>
  <c r="S805" i="2"/>
  <c r="U805" i="2" s="1"/>
  <c r="S804" i="2"/>
  <c r="U804" i="2" s="1"/>
  <c r="U803" i="2"/>
  <c r="S803" i="2"/>
  <c r="U802" i="2"/>
  <c r="S802" i="2"/>
  <c r="S801" i="2"/>
  <c r="U801" i="2" s="1"/>
  <c r="S800" i="2"/>
  <c r="U800" i="2" s="1"/>
  <c r="S799" i="2"/>
  <c r="U799" i="2" s="1"/>
  <c r="U798" i="2"/>
  <c r="S798" i="2"/>
  <c r="S797" i="2"/>
  <c r="U797" i="2" s="1"/>
  <c r="S796" i="2"/>
  <c r="U796" i="2" s="1"/>
  <c r="U795" i="2"/>
  <c r="S795" i="2"/>
  <c r="U794" i="2"/>
  <c r="S794" i="2"/>
  <c r="S793" i="2"/>
  <c r="U793" i="2" s="1"/>
  <c r="S792" i="2"/>
  <c r="U792" i="2" s="1"/>
  <c r="S791" i="2"/>
  <c r="U791" i="2" s="1"/>
  <c r="U790" i="2"/>
  <c r="S790" i="2"/>
  <c r="S789" i="2"/>
  <c r="U789" i="2" s="1"/>
  <c r="S788" i="2"/>
  <c r="U788" i="2" s="1"/>
  <c r="U787" i="2"/>
  <c r="S787" i="2"/>
  <c r="U786" i="2"/>
  <c r="S786" i="2"/>
  <c r="S785" i="2"/>
  <c r="U785" i="2" s="1"/>
  <c r="S784" i="2"/>
  <c r="U784" i="2" s="1"/>
  <c r="S783" i="2"/>
  <c r="U783" i="2" s="1"/>
  <c r="U782" i="2"/>
  <c r="S782" i="2"/>
  <c r="S781" i="2"/>
  <c r="U781" i="2" s="1"/>
  <c r="S780" i="2"/>
  <c r="U780" i="2" s="1"/>
  <c r="U779" i="2"/>
  <c r="S779" i="2"/>
  <c r="U778" i="2"/>
  <c r="S778" i="2"/>
  <c r="S777" i="2"/>
  <c r="U777" i="2" s="1"/>
  <c r="S776" i="2"/>
  <c r="U776" i="2" s="1"/>
  <c r="S775" i="2"/>
  <c r="U775" i="2" s="1"/>
  <c r="U774" i="2"/>
  <c r="S774" i="2"/>
  <c r="S773" i="2"/>
  <c r="U773" i="2" s="1"/>
  <c r="S772" i="2"/>
  <c r="U772" i="2" s="1"/>
  <c r="U771" i="2"/>
  <c r="S771" i="2"/>
  <c r="U770" i="2"/>
  <c r="S770" i="2"/>
  <c r="S769" i="2"/>
  <c r="U769" i="2" s="1"/>
  <c r="S768" i="2"/>
  <c r="U768" i="2" s="1"/>
  <c r="S767" i="2"/>
  <c r="U767" i="2" s="1"/>
  <c r="U766" i="2"/>
  <c r="S766" i="2"/>
  <c r="S765" i="2"/>
  <c r="U765" i="2" s="1"/>
  <c r="S764" i="2"/>
  <c r="U764" i="2" s="1"/>
  <c r="U763" i="2"/>
  <c r="S763" i="2"/>
  <c r="U762" i="2"/>
  <c r="S762" i="2"/>
  <c r="S761" i="2"/>
  <c r="U761" i="2" s="1"/>
  <c r="S760" i="2"/>
  <c r="U760" i="2" s="1"/>
  <c r="S759" i="2"/>
  <c r="U759" i="2" s="1"/>
  <c r="U758" i="2"/>
  <c r="S758" i="2"/>
  <c r="S757" i="2"/>
  <c r="U757" i="2" s="1"/>
  <c r="S756" i="2"/>
  <c r="U756" i="2" s="1"/>
  <c r="U755" i="2"/>
  <c r="S755" i="2"/>
  <c r="U754" i="2"/>
  <c r="S754" i="2"/>
  <c r="S753" i="2"/>
  <c r="U753" i="2" s="1"/>
  <c r="S752" i="2"/>
  <c r="U752" i="2" s="1"/>
  <c r="S751" i="2"/>
  <c r="U751" i="2" s="1"/>
  <c r="U750" i="2"/>
  <c r="S750" i="2"/>
  <c r="S749" i="2"/>
  <c r="U749" i="2" s="1"/>
  <c r="S748" i="2"/>
  <c r="U748" i="2" s="1"/>
  <c r="U747" i="2"/>
  <c r="S747" i="2"/>
  <c r="U746" i="2"/>
  <c r="S746" i="2"/>
  <c r="S745" i="2"/>
  <c r="U745" i="2" s="1"/>
  <c r="S744" i="2"/>
  <c r="U744" i="2" s="1"/>
  <c r="S743" i="2"/>
  <c r="U743" i="2" s="1"/>
  <c r="U742" i="2"/>
  <c r="S742" i="2"/>
  <c r="S741" i="2"/>
  <c r="U741" i="2" s="1"/>
  <c r="S740" i="2"/>
  <c r="U740" i="2" s="1"/>
  <c r="U739" i="2"/>
  <c r="S739" i="2"/>
  <c r="U738" i="2"/>
  <c r="S738" i="2"/>
  <c r="S737" i="2"/>
  <c r="U737" i="2" s="1"/>
  <c r="S736" i="2"/>
  <c r="U736" i="2" s="1"/>
  <c r="S735" i="2"/>
  <c r="U735" i="2" s="1"/>
  <c r="U734" i="2"/>
  <c r="S734" i="2"/>
  <c r="S733" i="2"/>
  <c r="U733" i="2" s="1"/>
  <c r="S732" i="2"/>
  <c r="U732" i="2" s="1"/>
  <c r="U731" i="2"/>
  <c r="S731" i="2"/>
  <c r="U730" i="2"/>
  <c r="S730" i="2"/>
  <c r="S729" i="2"/>
  <c r="U729" i="2" s="1"/>
  <c r="S728" i="2"/>
  <c r="U728" i="2" s="1"/>
  <c r="S727" i="2"/>
  <c r="U727" i="2" s="1"/>
  <c r="U726" i="2"/>
  <c r="S726" i="2"/>
  <c r="S725" i="2"/>
  <c r="U725" i="2" s="1"/>
  <c r="S724" i="2"/>
  <c r="U724" i="2" s="1"/>
  <c r="U723" i="2"/>
  <c r="S723" i="2"/>
  <c r="U722" i="2"/>
  <c r="S722" i="2"/>
  <c r="S721" i="2"/>
  <c r="U721" i="2" s="1"/>
  <c r="S720" i="2"/>
  <c r="U720" i="2" s="1"/>
  <c r="S719" i="2"/>
  <c r="U719" i="2" s="1"/>
  <c r="U718" i="2"/>
  <c r="S718" i="2"/>
  <c r="S717" i="2"/>
  <c r="U717" i="2" s="1"/>
  <c r="S716" i="2"/>
  <c r="U716" i="2" s="1"/>
  <c r="U715" i="2"/>
  <c r="S715" i="2"/>
  <c r="U714" i="2"/>
  <c r="S714" i="2"/>
  <c r="S713" i="2"/>
  <c r="U713" i="2" s="1"/>
  <c r="S712" i="2"/>
  <c r="U712" i="2" s="1"/>
  <c r="S711" i="2"/>
  <c r="U711" i="2" s="1"/>
  <c r="U710" i="2"/>
  <c r="S710" i="2"/>
  <c r="S709" i="2"/>
  <c r="U709" i="2" s="1"/>
  <c r="S708" i="2"/>
  <c r="U708" i="2" s="1"/>
  <c r="U707" i="2"/>
  <c r="S707" i="2"/>
  <c r="U706" i="2"/>
  <c r="S706" i="2"/>
  <c r="S705" i="2"/>
  <c r="U705" i="2" s="1"/>
  <c r="U704" i="2"/>
  <c r="S704" i="2"/>
  <c r="S703" i="2"/>
  <c r="U703" i="2" s="1"/>
  <c r="U702" i="2"/>
  <c r="S702" i="2"/>
  <c r="S701" i="2"/>
  <c r="U701" i="2" s="1"/>
  <c r="S700" i="2"/>
  <c r="U700" i="2" s="1"/>
  <c r="U699" i="2"/>
  <c r="S699" i="2"/>
  <c r="U698" i="2"/>
  <c r="S698" i="2"/>
  <c r="S697" i="2"/>
  <c r="U697" i="2" s="1"/>
  <c r="S696" i="2"/>
  <c r="U696" i="2" s="1"/>
  <c r="S695" i="2"/>
  <c r="U695" i="2" s="1"/>
  <c r="U694" i="2"/>
  <c r="S694" i="2"/>
  <c r="S693" i="2"/>
  <c r="U693" i="2" s="1"/>
  <c r="S692" i="2"/>
  <c r="U692" i="2" s="1"/>
  <c r="U691" i="2"/>
  <c r="S691" i="2"/>
  <c r="U690" i="2"/>
  <c r="S690" i="2"/>
  <c r="S689" i="2"/>
  <c r="U689" i="2" s="1"/>
  <c r="S688" i="2"/>
  <c r="U688" i="2" s="1"/>
  <c r="S687" i="2"/>
  <c r="U687" i="2" s="1"/>
  <c r="U686" i="2"/>
  <c r="S686" i="2"/>
  <c r="S685" i="2"/>
  <c r="U685" i="2" s="1"/>
  <c r="S684" i="2"/>
  <c r="U684" i="2" s="1"/>
  <c r="U683" i="2"/>
  <c r="S683" i="2"/>
  <c r="U682" i="2"/>
  <c r="S682" i="2"/>
  <c r="S681" i="2"/>
  <c r="U681" i="2" s="1"/>
  <c r="S680" i="2"/>
  <c r="U680" i="2" s="1"/>
  <c r="S679" i="2"/>
  <c r="U679" i="2" s="1"/>
  <c r="U678" i="2"/>
  <c r="S678" i="2"/>
  <c r="S677" i="2"/>
  <c r="U677" i="2" s="1"/>
  <c r="S676" i="2"/>
  <c r="U676" i="2" s="1"/>
  <c r="U675" i="2"/>
  <c r="S675" i="2"/>
  <c r="U674" i="2"/>
  <c r="S674" i="2"/>
  <c r="S673" i="2"/>
  <c r="U673" i="2" s="1"/>
  <c r="S672" i="2"/>
  <c r="U672" i="2" s="1"/>
  <c r="S671" i="2"/>
  <c r="U671" i="2" s="1"/>
  <c r="U670" i="2"/>
  <c r="S670" i="2"/>
  <c r="S669" i="2"/>
  <c r="U669" i="2" s="1"/>
  <c r="S668" i="2"/>
  <c r="U668" i="2" s="1"/>
  <c r="S667" i="2"/>
  <c r="U667" i="2" s="1"/>
  <c r="U666" i="2"/>
  <c r="S666" i="2"/>
  <c r="S665" i="2"/>
  <c r="U665" i="2" s="1"/>
  <c r="S664" i="2"/>
  <c r="U664" i="2" s="1"/>
  <c r="S663" i="2"/>
  <c r="U663" i="2" s="1"/>
  <c r="U662" i="2"/>
  <c r="S662" i="2"/>
  <c r="S661" i="2"/>
  <c r="U661" i="2" s="1"/>
  <c r="S660" i="2"/>
  <c r="U660" i="2" s="1"/>
  <c r="S659" i="2"/>
  <c r="U659" i="2" s="1"/>
  <c r="U658" i="2"/>
  <c r="S658" i="2"/>
  <c r="S657" i="2"/>
  <c r="U657" i="2" s="1"/>
  <c r="U656" i="2"/>
  <c r="S656" i="2"/>
  <c r="S655" i="2"/>
  <c r="U655" i="2" s="1"/>
  <c r="U654" i="2"/>
  <c r="S654" i="2"/>
  <c r="U653" i="2"/>
  <c r="S653" i="2"/>
  <c r="S652" i="2"/>
  <c r="U652" i="2" s="1"/>
  <c r="U651" i="2"/>
  <c r="S651" i="2"/>
  <c r="S650" i="2"/>
  <c r="U650" i="2" s="1"/>
  <c r="U649" i="2"/>
  <c r="S649" i="2"/>
  <c r="S648" i="2"/>
  <c r="U648" i="2" s="1"/>
  <c r="S647" i="2"/>
  <c r="U647" i="2" s="1"/>
  <c r="U646" i="2"/>
  <c r="S646" i="2"/>
  <c r="S645" i="2"/>
  <c r="U645" i="2" s="1"/>
  <c r="U644" i="2"/>
  <c r="S644" i="2"/>
  <c r="U643" i="2"/>
  <c r="S643" i="2"/>
  <c r="U642" i="2"/>
  <c r="S642" i="2"/>
  <c r="S641" i="2"/>
  <c r="U641" i="2" s="1"/>
  <c r="U640" i="2"/>
  <c r="S640" i="2"/>
  <c r="S639" i="2"/>
  <c r="U639" i="2" s="1"/>
  <c r="U638" i="2"/>
  <c r="S638" i="2"/>
  <c r="S637" i="2"/>
  <c r="U637" i="2" s="1"/>
  <c r="U636" i="2"/>
  <c r="S636" i="2"/>
  <c r="U635" i="2"/>
  <c r="S635" i="2"/>
  <c r="U634" i="2"/>
  <c r="S634" i="2"/>
  <c r="U633" i="2"/>
  <c r="S633" i="2"/>
  <c r="S632" i="2"/>
  <c r="U632" i="2" s="1"/>
  <c r="S631" i="2"/>
  <c r="U631" i="2" s="1"/>
  <c r="S630" i="2"/>
  <c r="U630" i="2" s="1"/>
  <c r="U629" i="2"/>
  <c r="S629" i="2"/>
  <c r="U628" i="2"/>
  <c r="S628" i="2"/>
  <c r="S627" i="2"/>
  <c r="U627" i="2" s="1"/>
  <c r="S626" i="2"/>
  <c r="U626" i="2" s="1"/>
  <c r="U625" i="2"/>
  <c r="S625" i="2"/>
  <c r="S624" i="2"/>
  <c r="U624" i="2" s="1"/>
  <c r="S623" i="2"/>
  <c r="U623" i="2" s="1"/>
  <c r="S622" i="2"/>
  <c r="U622" i="2" s="1"/>
  <c r="U621" i="2"/>
  <c r="S621" i="2"/>
  <c r="U620" i="2"/>
  <c r="S620" i="2"/>
  <c r="S619" i="2"/>
  <c r="U619" i="2" s="1"/>
  <c r="S618" i="2"/>
  <c r="U618" i="2" s="1"/>
  <c r="U617" i="2"/>
  <c r="S617" i="2"/>
  <c r="S616" i="2"/>
  <c r="U616" i="2" s="1"/>
  <c r="S615" i="2"/>
  <c r="U615" i="2" s="1"/>
  <c r="S614" i="2"/>
  <c r="U614" i="2" s="1"/>
  <c r="U613" i="2"/>
  <c r="S613" i="2"/>
  <c r="U612" i="2"/>
  <c r="S612" i="2"/>
  <c r="S611" i="2"/>
  <c r="U611" i="2" s="1"/>
  <c r="S610" i="2"/>
  <c r="U610" i="2" s="1"/>
  <c r="U609" i="2"/>
  <c r="S609" i="2"/>
  <c r="S608" i="2"/>
  <c r="U608" i="2" s="1"/>
  <c r="S607" i="2"/>
  <c r="U607" i="2" s="1"/>
  <c r="S606" i="2"/>
  <c r="U606" i="2" s="1"/>
  <c r="U605" i="2"/>
  <c r="S605" i="2"/>
  <c r="U604" i="2"/>
  <c r="S604" i="2"/>
  <c r="S603" i="2"/>
  <c r="U603" i="2" s="1"/>
  <c r="S602" i="2"/>
  <c r="U602" i="2" s="1"/>
  <c r="U601" i="2"/>
  <c r="S601" i="2"/>
  <c r="S600" i="2"/>
  <c r="U600" i="2" s="1"/>
  <c r="S599" i="2"/>
  <c r="U599" i="2" s="1"/>
  <c r="S598" i="2"/>
  <c r="U598" i="2" s="1"/>
  <c r="U597" i="2"/>
  <c r="S597" i="2"/>
  <c r="U596" i="2"/>
  <c r="S596" i="2"/>
  <c r="S595" i="2"/>
  <c r="U595" i="2" s="1"/>
  <c r="S594" i="2"/>
  <c r="U594" i="2" s="1"/>
  <c r="U593" i="2"/>
  <c r="S593" i="2"/>
  <c r="S592" i="2"/>
  <c r="U592" i="2" s="1"/>
  <c r="S591" i="2"/>
  <c r="U591" i="2" s="1"/>
  <c r="S590" i="2"/>
  <c r="U590" i="2" s="1"/>
  <c r="U589" i="2"/>
  <c r="S589" i="2"/>
  <c r="U588" i="2"/>
  <c r="S588" i="2"/>
  <c r="S587" i="2"/>
  <c r="U587" i="2" s="1"/>
  <c r="S586" i="2"/>
  <c r="U586" i="2" s="1"/>
  <c r="U585" i="2"/>
  <c r="S585" i="2"/>
  <c r="S584" i="2"/>
  <c r="U584" i="2" s="1"/>
  <c r="S583" i="2"/>
  <c r="U583" i="2" s="1"/>
  <c r="S582" i="2"/>
  <c r="U582" i="2" s="1"/>
  <c r="U581" i="2"/>
  <c r="S581" i="2"/>
  <c r="U580" i="2"/>
  <c r="S580" i="2"/>
  <c r="S579" i="2"/>
  <c r="U579" i="2" s="1"/>
  <c r="S578" i="2"/>
  <c r="U578" i="2" s="1"/>
  <c r="U577" i="2"/>
  <c r="S577" i="2"/>
  <c r="S576" i="2"/>
  <c r="U576" i="2" s="1"/>
  <c r="S575" i="2"/>
  <c r="U575" i="2" s="1"/>
  <c r="S574" i="2"/>
  <c r="U574" i="2" s="1"/>
  <c r="U573" i="2"/>
  <c r="S573" i="2"/>
  <c r="U572" i="2"/>
  <c r="S572" i="2"/>
  <c r="S571" i="2"/>
  <c r="U571" i="2" s="1"/>
  <c r="S570" i="2"/>
  <c r="U570" i="2" s="1"/>
  <c r="U569" i="2"/>
  <c r="S569" i="2"/>
  <c r="U568" i="2"/>
  <c r="S568" i="2"/>
  <c r="S567" i="2"/>
  <c r="U567" i="2" s="1"/>
  <c r="S566" i="2"/>
  <c r="U566" i="2" s="1"/>
  <c r="U565" i="2"/>
  <c r="S565" i="2"/>
  <c r="U564" i="2"/>
  <c r="S564" i="2"/>
  <c r="S563" i="2"/>
  <c r="U563" i="2" s="1"/>
  <c r="S562" i="2"/>
  <c r="U562" i="2" s="1"/>
  <c r="S561" i="2"/>
  <c r="U561" i="2" s="1"/>
  <c r="U560" i="2"/>
  <c r="S560" i="2"/>
  <c r="S559" i="2"/>
  <c r="U559" i="2" s="1"/>
  <c r="S558" i="2"/>
  <c r="U558" i="2" s="1"/>
  <c r="U557" i="2"/>
  <c r="S557" i="2"/>
  <c r="U556" i="2"/>
  <c r="S556" i="2"/>
  <c r="S555" i="2"/>
  <c r="U555" i="2" s="1"/>
  <c r="U554" i="2"/>
  <c r="S554" i="2"/>
  <c r="S553" i="2"/>
  <c r="U553" i="2" s="1"/>
  <c r="U552" i="2"/>
  <c r="S552" i="2"/>
  <c r="S551" i="2"/>
  <c r="U551" i="2" s="1"/>
  <c r="S550" i="2"/>
  <c r="U550" i="2" s="1"/>
  <c r="U549" i="2"/>
  <c r="S549" i="2"/>
  <c r="U548" i="2"/>
  <c r="S548" i="2"/>
  <c r="S547" i="2"/>
  <c r="U547" i="2" s="1"/>
  <c r="S546" i="2"/>
  <c r="U546" i="2" s="1"/>
  <c r="U545" i="2"/>
  <c r="S545" i="2"/>
  <c r="U544" i="2"/>
  <c r="S544" i="2"/>
  <c r="S543" i="2"/>
  <c r="U543" i="2" s="1"/>
  <c r="S542" i="2"/>
  <c r="U542" i="2" s="1"/>
  <c r="U541" i="2"/>
  <c r="S541" i="2"/>
  <c r="U540" i="2"/>
  <c r="S540" i="2"/>
  <c r="S539" i="2"/>
  <c r="U539" i="2" s="1"/>
  <c r="U538" i="2"/>
  <c r="S538" i="2"/>
  <c r="S537" i="2"/>
  <c r="U537" i="2" s="1"/>
  <c r="U536" i="2"/>
  <c r="S536" i="2"/>
  <c r="S535" i="2"/>
  <c r="U535" i="2" s="1"/>
  <c r="S534" i="2"/>
  <c r="U534" i="2" s="1"/>
  <c r="S533" i="2"/>
  <c r="U533" i="2" s="1"/>
  <c r="S532" i="2"/>
  <c r="U532" i="2" s="1"/>
  <c r="U531" i="2"/>
  <c r="S531" i="2"/>
  <c r="U530" i="2"/>
  <c r="S530" i="2"/>
  <c r="U529" i="2"/>
  <c r="S529" i="2"/>
  <c r="S528" i="2"/>
  <c r="U528" i="2" s="1"/>
  <c r="S527" i="2"/>
  <c r="U527" i="2" s="1"/>
  <c r="S526" i="2"/>
  <c r="U526" i="2" s="1"/>
  <c r="S525" i="2"/>
  <c r="U525" i="2" s="1"/>
  <c r="S524" i="2"/>
  <c r="U524" i="2" s="1"/>
  <c r="U523" i="2"/>
  <c r="S523" i="2"/>
  <c r="U522" i="2"/>
  <c r="S522" i="2"/>
  <c r="U521" i="2"/>
  <c r="S521" i="2"/>
  <c r="S520" i="2"/>
  <c r="U520" i="2" s="1"/>
  <c r="S519" i="2"/>
  <c r="U519" i="2" s="1"/>
  <c r="S518" i="2"/>
  <c r="U518" i="2" s="1"/>
  <c r="S517" i="2"/>
  <c r="U517" i="2" s="1"/>
  <c r="S516" i="2"/>
  <c r="U516" i="2" s="1"/>
  <c r="U515" i="2"/>
  <c r="S515" i="2"/>
  <c r="U514" i="2"/>
  <c r="S514" i="2"/>
  <c r="U513" i="2"/>
  <c r="S513" i="2"/>
  <c r="S512" i="2"/>
  <c r="U512" i="2" s="1"/>
  <c r="Z487" i="2"/>
  <c r="Y487" i="2"/>
  <c r="U487" i="2"/>
  <c r="S487" i="2"/>
  <c r="Z486" i="2"/>
  <c r="Y486" i="2"/>
  <c r="U486" i="2"/>
  <c r="S486" i="2"/>
  <c r="Z485" i="2"/>
  <c r="Y485" i="2"/>
  <c r="U485" i="2"/>
  <c r="S485" i="2"/>
  <c r="Z484" i="2"/>
  <c r="Y484" i="2"/>
  <c r="U484" i="2"/>
  <c r="S484" i="2"/>
  <c r="Z483" i="2"/>
  <c r="Y483" i="2"/>
  <c r="U483" i="2"/>
  <c r="S483" i="2"/>
  <c r="Z482" i="2"/>
  <c r="Y482" i="2"/>
  <c r="U482" i="2"/>
  <c r="S482" i="2"/>
  <c r="Z481" i="2"/>
  <c r="Y481" i="2"/>
  <c r="U481" i="2"/>
  <c r="S481" i="2"/>
  <c r="Z480" i="2"/>
  <c r="Y480" i="2"/>
  <c r="U480" i="2"/>
  <c r="S480" i="2"/>
  <c r="Z479" i="2"/>
  <c r="Y479" i="2"/>
  <c r="U479" i="2"/>
  <c r="S479" i="2"/>
  <c r="Z478" i="2"/>
  <c r="Y478" i="2"/>
  <c r="U478" i="2"/>
  <c r="S478" i="2"/>
  <c r="Z477" i="2"/>
  <c r="Y477" i="2"/>
  <c r="U477" i="2"/>
  <c r="S477" i="2"/>
  <c r="Z476" i="2"/>
  <c r="Y476" i="2"/>
  <c r="U476" i="2"/>
  <c r="S476" i="2"/>
  <c r="Z475" i="2"/>
  <c r="Y475" i="2"/>
  <c r="U475" i="2"/>
  <c r="S475" i="2"/>
  <c r="Z474" i="2"/>
  <c r="Y474" i="2"/>
  <c r="U474" i="2"/>
  <c r="S474" i="2"/>
  <c r="Z473" i="2"/>
  <c r="Y473" i="2"/>
  <c r="U473" i="2"/>
  <c r="S473" i="2"/>
  <c r="Z472" i="2"/>
  <c r="Y472" i="2"/>
  <c r="U472" i="2"/>
  <c r="S472" i="2"/>
  <c r="Z471" i="2"/>
  <c r="Y471" i="2"/>
  <c r="U471" i="2"/>
  <c r="S471" i="2"/>
  <c r="Z470" i="2"/>
  <c r="Y470" i="2"/>
  <c r="U470" i="2"/>
  <c r="S470" i="2"/>
  <c r="Z469" i="2"/>
  <c r="Y469" i="2"/>
  <c r="U469" i="2"/>
  <c r="S469" i="2"/>
  <c r="Z468" i="2"/>
  <c r="Y468" i="2"/>
  <c r="U468" i="2"/>
  <c r="S468" i="2"/>
  <c r="Z467" i="2"/>
  <c r="Y467" i="2"/>
  <c r="U467" i="2"/>
  <c r="S467" i="2"/>
  <c r="Z466" i="2"/>
  <c r="Y466" i="2"/>
  <c r="U466" i="2"/>
  <c r="S466" i="2"/>
  <c r="Z465" i="2"/>
  <c r="Y465" i="2"/>
  <c r="U465" i="2"/>
  <c r="S465" i="2"/>
  <c r="Z464" i="2"/>
  <c r="Y464" i="2"/>
  <c r="U464" i="2"/>
  <c r="S464" i="2"/>
  <c r="Z463" i="2"/>
  <c r="Y463" i="2"/>
  <c r="U463" i="2"/>
  <c r="S463" i="2"/>
  <c r="Z462" i="2"/>
  <c r="Y462" i="2"/>
  <c r="U462" i="2"/>
  <c r="S462" i="2"/>
  <c r="Z461" i="2"/>
  <c r="Y461" i="2"/>
  <c r="U461" i="2"/>
  <c r="S461" i="2"/>
  <c r="L447" i="2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Z439" i="2"/>
  <c r="Y439" i="2"/>
  <c r="U439" i="2"/>
  <c r="S439" i="2"/>
  <c r="Z438" i="2"/>
  <c r="Y438" i="2"/>
  <c r="U438" i="2"/>
  <c r="S438" i="2"/>
  <c r="Z437" i="2"/>
  <c r="Y437" i="2"/>
  <c r="U437" i="2"/>
  <c r="S437" i="2"/>
  <c r="Z436" i="2"/>
  <c r="Y436" i="2"/>
  <c r="U436" i="2"/>
  <c r="S436" i="2"/>
  <c r="Z435" i="2"/>
  <c r="Y435" i="2"/>
  <c r="U435" i="2"/>
  <c r="S435" i="2"/>
  <c r="Z434" i="2"/>
  <c r="Y434" i="2"/>
  <c r="U434" i="2"/>
  <c r="S434" i="2"/>
  <c r="Z433" i="2"/>
  <c r="Y433" i="2"/>
  <c r="U433" i="2"/>
  <c r="S433" i="2"/>
  <c r="Z432" i="2"/>
  <c r="Y432" i="2"/>
  <c r="U432" i="2"/>
  <c r="S432" i="2"/>
  <c r="Z431" i="2"/>
  <c r="Y431" i="2"/>
  <c r="U431" i="2"/>
  <c r="S431" i="2"/>
  <c r="Z430" i="2"/>
  <c r="Y430" i="2"/>
  <c r="U430" i="2"/>
  <c r="S430" i="2"/>
  <c r="Z429" i="2"/>
  <c r="Y429" i="2"/>
  <c r="U429" i="2"/>
  <c r="S429" i="2"/>
  <c r="Z428" i="2"/>
  <c r="Y428" i="2"/>
  <c r="U428" i="2"/>
  <c r="S428" i="2"/>
  <c r="Z427" i="2"/>
  <c r="Y427" i="2"/>
  <c r="U427" i="2"/>
  <c r="S427" i="2"/>
  <c r="Z426" i="2"/>
  <c r="Y426" i="2"/>
  <c r="U426" i="2"/>
  <c r="S426" i="2"/>
  <c r="L426" i="2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K426" i="2"/>
  <c r="Z425" i="2"/>
  <c r="Y425" i="2"/>
  <c r="U425" i="2"/>
  <c r="S425" i="2"/>
  <c r="K425" i="2"/>
  <c r="Z424" i="2"/>
  <c r="Y424" i="2"/>
  <c r="U424" i="2"/>
  <c r="S424" i="2"/>
  <c r="L424" i="2"/>
  <c r="L425" i="2" s="1"/>
  <c r="K424" i="2"/>
  <c r="Z423" i="2"/>
  <c r="Y423" i="2"/>
  <c r="U423" i="2"/>
  <c r="S423" i="2"/>
  <c r="Z422" i="2"/>
  <c r="Y422" i="2"/>
  <c r="U422" i="2"/>
  <c r="S422" i="2"/>
  <c r="F168" i="2"/>
  <c r="E168" i="2"/>
  <c r="C168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E86" i="2"/>
  <c r="C86" i="2"/>
  <c r="F86" i="2" s="1"/>
  <c r="F85" i="2"/>
  <c r="E85" i="2"/>
  <c r="C85" i="2"/>
  <c r="E84" i="2"/>
  <c r="C84" i="2"/>
  <c r="F84" i="2" s="1"/>
  <c r="E83" i="2"/>
  <c r="C83" i="2"/>
  <c r="F83" i="2" s="1"/>
  <c r="E82" i="2"/>
  <c r="C82" i="2"/>
  <c r="F82" i="2" s="1"/>
  <c r="F81" i="2"/>
  <c r="E81" i="2"/>
  <c r="C81" i="2"/>
  <c r="E80" i="2"/>
  <c r="C80" i="2"/>
  <c r="F80" i="2" s="1"/>
  <c r="E79" i="2"/>
  <c r="C79" i="2"/>
  <c r="F79" i="2" s="1"/>
  <c r="E78" i="2"/>
  <c r="C78" i="2"/>
  <c r="F78" i="2" s="1"/>
  <c r="E77" i="2"/>
  <c r="C77" i="2"/>
  <c r="F77" i="2" s="1"/>
  <c r="F76" i="2"/>
  <c r="E76" i="2"/>
  <c r="C76" i="2"/>
  <c r="F75" i="2"/>
  <c r="E75" i="2"/>
  <c r="C75" i="2"/>
  <c r="E74" i="2"/>
  <c r="C74" i="2"/>
  <c r="F74" i="2" s="1"/>
  <c r="F73" i="2"/>
  <c r="E73" i="2"/>
  <c r="C73" i="2"/>
  <c r="E72" i="2"/>
  <c r="C72" i="2"/>
  <c r="F72" i="2" s="1"/>
  <c r="E71" i="2"/>
  <c r="C71" i="2"/>
  <c r="F71" i="2" s="1"/>
  <c r="E70" i="2"/>
  <c r="C70" i="2"/>
  <c r="F70" i="2" s="1"/>
  <c r="E69" i="2"/>
  <c r="C69" i="2"/>
  <c r="F69" i="2" s="1"/>
  <c r="F68" i="2"/>
  <c r="E68" i="2"/>
  <c r="C68" i="2"/>
  <c r="F67" i="2"/>
  <c r="E67" i="2"/>
  <c r="C67" i="2"/>
  <c r="E66" i="2"/>
  <c r="C66" i="2"/>
  <c r="F66" i="2" s="1"/>
  <c r="F65" i="2"/>
  <c r="E65" i="2"/>
  <c r="C65" i="2"/>
  <c r="E64" i="2"/>
  <c r="C64" i="2"/>
  <c r="F64" i="2" s="1"/>
  <c r="E63" i="2"/>
  <c r="C63" i="2"/>
  <c r="F63" i="2" s="1"/>
  <c r="E62" i="2"/>
  <c r="C62" i="2"/>
  <c r="F62" i="2" s="1"/>
  <c r="E61" i="2"/>
  <c r="C61" i="2"/>
  <c r="F61" i="2" s="1"/>
  <c r="F60" i="2"/>
  <c r="E60" i="2"/>
  <c r="C60" i="2"/>
  <c r="F59" i="2"/>
  <c r="E59" i="2"/>
  <c r="C59" i="2"/>
  <c r="E58" i="2"/>
  <c r="C58" i="2"/>
  <c r="F58" i="2" s="1"/>
  <c r="F57" i="2"/>
  <c r="E57" i="2"/>
  <c r="C57" i="2"/>
  <c r="E56" i="2"/>
  <c r="C56" i="2"/>
  <c r="F56" i="2" s="1"/>
  <c r="E55" i="2"/>
  <c r="C55" i="2"/>
  <c r="F55" i="2" s="1"/>
  <c r="E54" i="2"/>
  <c r="C54" i="2"/>
  <c r="F54" i="2" s="1"/>
  <c r="E53" i="2"/>
  <c r="C53" i="2"/>
  <c r="F53" i="2" s="1"/>
  <c r="F52" i="2"/>
  <c r="E52" i="2"/>
  <c r="C52" i="2"/>
  <c r="F51" i="2"/>
  <c r="E51" i="2"/>
  <c r="C51" i="2"/>
  <c r="E50" i="2"/>
  <c r="C50" i="2"/>
  <c r="F50" i="2" s="1"/>
  <c r="F49" i="2"/>
  <c r="E49" i="2"/>
  <c r="C49" i="2"/>
  <c r="F48" i="2"/>
  <c r="E48" i="2"/>
  <c r="C48" i="2"/>
  <c r="E47" i="2"/>
  <c r="C47" i="2"/>
  <c r="F47" i="2" s="1"/>
  <c r="E46" i="2"/>
  <c r="C46" i="2"/>
  <c r="F46" i="2" s="1"/>
  <c r="E45" i="2"/>
  <c r="C45" i="2"/>
  <c r="F45" i="2" s="1"/>
  <c r="F44" i="2"/>
  <c r="E44" i="2"/>
  <c r="C44" i="2"/>
  <c r="F43" i="2"/>
  <c r="E43" i="2"/>
  <c r="C43" i="2"/>
  <c r="E42" i="2"/>
  <c r="C42" i="2"/>
  <c r="F42" i="2" s="1"/>
  <c r="F41" i="2"/>
  <c r="E41" i="2"/>
  <c r="C41" i="2"/>
  <c r="F40" i="2"/>
  <c r="E40" i="2"/>
  <c r="C40" i="2"/>
  <c r="E39" i="2"/>
  <c r="C39" i="2"/>
  <c r="F39" i="2" s="1"/>
  <c r="E38" i="2"/>
  <c r="C38" i="2"/>
  <c r="F38" i="2" s="1"/>
  <c r="E37" i="2"/>
  <c r="C37" i="2"/>
  <c r="F37" i="2" s="1"/>
  <c r="F36" i="2"/>
  <c r="E36" i="2"/>
  <c r="C36" i="2"/>
  <c r="F35" i="2"/>
  <c r="E35" i="2"/>
  <c r="C35" i="2"/>
  <c r="E34" i="2"/>
  <c r="C34" i="2"/>
  <c r="F34" i="2" s="1"/>
  <c r="F33" i="2"/>
  <c r="E33" i="2"/>
  <c r="C33" i="2"/>
  <c r="F32" i="2"/>
  <c r="E32" i="2"/>
  <c r="C32" i="2"/>
  <c r="E31" i="2"/>
  <c r="C31" i="2"/>
  <c r="F31" i="2" s="1"/>
  <c r="E30" i="2"/>
  <c r="C30" i="2"/>
  <c r="F30" i="2" s="1"/>
  <c r="E29" i="2"/>
  <c r="C29" i="2"/>
  <c r="F29" i="2" s="1"/>
  <c r="F28" i="2"/>
  <c r="E28" i="2"/>
  <c r="C28" i="2"/>
  <c r="F27" i="2"/>
  <c r="E27" i="2"/>
  <c r="C27" i="2"/>
  <c r="E26" i="2"/>
  <c r="C26" i="2"/>
  <c r="F26" i="2" s="1"/>
  <c r="F25" i="2"/>
  <c r="E25" i="2"/>
  <c r="C25" i="2"/>
  <c r="F24" i="2"/>
  <c r="E24" i="2"/>
  <c r="C24" i="2"/>
  <c r="E23" i="2"/>
  <c r="C23" i="2"/>
  <c r="F23" i="2" s="1"/>
  <c r="E22" i="2"/>
  <c r="C22" i="2"/>
  <c r="F22" i="2" s="1"/>
  <c r="E21" i="2"/>
  <c r="C21" i="2"/>
  <c r="F21" i="2" s="1"/>
  <c r="F20" i="2"/>
  <c r="E20" i="2"/>
  <c r="C20" i="2"/>
  <c r="F19" i="2"/>
  <c r="E19" i="2"/>
  <c r="C19" i="2"/>
  <c r="E18" i="2"/>
  <c r="C18" i="2"/>
  <c r="F18" i="2" s="1"/>
  <c r="F17" i="2"/>
  <c r="E17" i="2"/>
  <c r="C17" i="2"/>
  <c r="D9" i="2" a="1"/>
  <c r="D9" i="2" s="1"/>
  <c r="D7" i="2"/>
  <c r="M6" i="2"/>
  <c r="K6" i="2"/>
  <c r="M5" i="2"/>
  <c r="K5" i="2"/>
  <c r="M4" i="2"/>
  <c r="K4" i="2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75" i="1"/>
  <c r="A76" i="1" s="1"/>
  <c r="A7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5" i="1"/>
  <c r="E150" i="1"/>
  <c r="E146" i="1"/>
  <c r="E142" i="1"/>
  <c r="E138" i="1"/>
  <c r="E134" i="1"/>
  <c r="E130" i="1"/>
  <c r="E126" i="1"/>
  <c r="E122" i="1"/>
  <c r="E118" i="1"/>
  <c r="E114" i="1"/>
  <c r="E110" i="1"/>
  <c r="E106" i="1"/>
  <c r="E102" i="1"/>
  <c r="E98" i="1"/>
  <c r="E94" i="1"/>
  <c r="E90" i="1"/>
  <c r="E86" i="1"/>
  <c r="E82" i="1"/>
  <c r="E78" i="1"/>
  <c r="E74" i="1"/>
  <c r="D70" i="1"/>
  <c r="D66" i="1"/>
  <c r="D62" i="1"/>
  <c r="D58" i="1"/>
  <c r="D54" i="1"/>
  <c r="D50" i="1"/>
  <c r="D154" i="1"/>
  <c r="E151" i="1"/>
  <c r="E147" i="1"/>
  <c r="E143" i="1"/>
  <c r="E139" i="1"/>
  <c r="E135" i="1"/>
  <c r="E131" i="1"/>
  <c r="E127" i="1"/>
  <c r="E123" i="1"/>
  <c r="E119" i="1"/>
  <c r="D151" i="1"/>
  <c r="D147" i="1"/>
  <c r="D143" i="1"/>
  <c r="D139" i="1"/>
  <c r="D135" i="1"/>
  <c r="D131" i="1"/>
  <c r="D127" i="1"/>
  <c r="D123" i="1"/>
  <c r="D119" i="1"/>
  <c r="D115" i="1"/>
  <c r="D111" i="1"/>
  <c r="D107" i="1"/>
  <c r="D103" i="1"/>
  <c r="D99" i="1"/>
  <c r="D95" i="1"/>
  <c r="D91" i="1"/>
  <c r="D87" i="1"/>
  <c r="D83" i="1"/>
  <c r="D79" i="1"/>
  <c r="D75" i="1"/>
  <c r="E72" i="1"/>
  <c r="E68" i="1"/>
  <c r="E64" i="1"/>
  <c r="E60" i="1"/>
  <c r="E56" i="1"/>
  <c r="E155" i="1"/>
  <c r="E152" i="1"/>
  <c r="E148" i="1"/>
  <c r="E144" i="1"/>
  <c r="E140" i="1"/>
  <c r="E136" i="1"/>
  <c r="E132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D72" i="1"/>
  <c r="D68" i="1"/>
  <c r="D64" i="1"/>
  <c r="D60" i="1"/>
  <c r="D56" i="1"/>
  <c r="D52" i="1"/>
  <c r="D48" i="1"/>
  <c r="D44" i="1"/>
  <c r="D40" i="1"/>
  <c r="D36" i="1"/>
  <c r="D32" i="1"/>
  <c r="D28" i="1"/>
  <c r="D24" i="1"/>
  <c r="D20" i="1"/>
  <c r="D16" i="1"/>
  <c r="D12" i="1"/>
  <c r="D8" i="1"/>
  <c r="D155" i="1"/>
  <c r="D152" i="1"/>
  <c r="D148" i="1"/>
  <c r="D144" i="1"/>
  <c r="D140" i="1"/>
  <c r="D136" i="1"/>
  <c r="D132" i="1"/>
  <c r="D128" i="1"/>
  <c r="D124" i="1"/>
  <c r="D120" i="1"/>
  <c r="D116" i="1"/>
  <c r="D112" i="1"/>
  <c r="D108" i="1"/>
  <c r="D104" i="1"/>
  <c r="D100" i="1"/>
  <c r="D96" i="1"/>
  <c r="D92" i="1"/>
  <c r="D88" i="1"/>
  <c r="D84" i="1"/>
  <c r="D80" i="1"/>
  <c r="D76" i="1"/>
  <c r="E73" i="1"/>
  <c r="E153" i="1"/>
  <c r="E149" i="1"/>
  <c r="E145" i="1"/>
  <c r="E141" i="1"/>
  <c r="E137" i="1"/>
  <c r="E133" i="1"/>
  <c r="E129" i="1"/>
  <c r="E125" i="1"/>
  <c r="E121" i="1"/>
  <c r="E117" i="1"/>
  <c r="E113" i="1"/>
  <c r="E109" i="1"/>
  <c r="E105" i="1"/>
  <c r="E101" i="1"/>
  <c r="E97" i="1"/>
  <c r="E93" i="1"/>
  <c r="E89" i="1"/>
  <c r="E85" i="1"/>
  <c r="E81" i="1"/>
  <c r="E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5" i="1"/>
  <c r="D153" i="1"/>
  <c r="D149" i="1"/>
  <c r="D145" i="1"/>
  <c r="D141" i="1"/>
  <c r="D137" i="1"/>
  <c r="D133" i="1"/>
  <c r="D129" i="1"/>
  <c r="D125" i="1"/>
  <c r="E154" i="1"/>
  <c r="D93" i="1"/>
  <c r="E79" i="1"/>
  <c r="E58" i="1"/>
  <c r="E49" i="1"/>
  <c r="E45" i="1"/>
  <c r="E29" i="1"/>
  <c r="D15" i="1"/>
  <c r="D51" i="1"/>
  <c r="E20" i="1"/>
  <c r="D6" i="1"/>
  <c r="D74" i="1"/>
  <c r="D30" i="1"/>
  <c r="D130" i="1"/>
  <c r="D122" i="1"/>
  <c r="D117" i="1"/>
  <c r="D110" i="1"/>
  <c r="E103" i="1"/>
  <c r="D85" i="1"/>
  <c r="D78" i="1"/>
  <c r="E71" i="1"/>
  <c r="D63" i="1"/>
  <c r="D55" i="1"/>
  <c r="D43" i="1"/>
  <c r="E41" i="1"/>
  <c r="D34" i="1"/>
  <c r="D27" i="1"/>
  <c r="E25" i="1"/>
  <c r="D18" i="1"/>
  <c r="D11" i="1"/>
  <c r="E4" i="1"/>
  <c r="E48" i="1"/>
  <c r="D23" i="1"/>
  <c r="D150" i="1"/>
  <c r="D121" i="1"/>
  <c r="D113" i="1"/>
  <c r="D106" i="1"/>
  <c r="E99" i="1"/>
  <c r="D81" i="1"/>
  <c r="D71" i="1"/>
  <c r="E65" i="1"/>
  <c r="E57" i="1"/>
  <c r="E46" i="1"/>
  <c r="E39" i="1"/>
  <c r="E32" i="1"/>
  <c r="E30" i="1"/>
  <c r="E16" i="1"/>
  <c r="E7" i="1"/>
  <c r="E37" i="1"/>
  <c r="E21" i="1"/>
  <c r="D138" i="1"/>
  <c r="D109" i="1"/>
  <c r="D102" i="1"/>
  <c r="E95" i="1"/>
  <c r="D77" i="1"/>
  <c r="D4" i="1"/>
  <c r="D126" i="1"/>
  <c r="D105" i="1"/>
  <c r="D98" i="1"/>
  <c r="E91" i="1"/>
  <c r="E67" i="1"/>
  <c r="E59" i="1"/>
  <c r="E54" i="1"/>
  <c r="E52" i="1"/>
  <c r="E44" i="1"/>
  <c r="E42" i="1"/>
  <c r="E35" i="1"/>
  <c r="E28" i="1"/>
  <c r="E26" i="1"/>
  <c r="E19" i="1"/>
  <c r="E12" i="1"/>
  <c r="E10" i="1"/>
  <c r="D146" i="1"/>
  <c r="D101" i="1"/>
  <c r="D94" i="1"/>
  <c r="E87" i="1"/>
  <c r="D67" i="1"/>
  <c r="D59" i="1"/>
  <c r="D42" i="1"/>
  <c r="D35" i="1"/>
  <c r="D26" i="1"/>
  <c r="E17" i="1"/>
  <c r="E5" i="1"/>
  <c r="D22" i="1"/>
  <c r="E107" i="1"/>
  <c r="D82" i="1"/>
  <c r="E63" i="1"/>
  <c r="E53" i="1"/>
  <c r="E36" i="1"/>
  <c r="E14" i="1"/>
  <c r="E62" i="1"/>
  <c r="D46" i="1"/>
  <c r="D7" i="1"/>
  <c r="E33" i="1"/>
  <c r="D19" i="1"/>
  <c r="D10" i="1"/>
  <c r="E6" i="1"/>
  <c r="D114" i="1"/>
  <c r="E43" i="1"/>
  <c r="E18" i="1"/>
  <c r="E70" i="1"/>
  <c r="D134" i="1"/>
  <c r="E115" i="1"/>
  <c r="D97" i="1"/>
  <c r="D90" i="1"/>
  <c r="E83" i="1"/>
  <c r="E69" i="1"/>
  <c r="E61" i="1"/>
  <c r="E47" i="1"/>
  <c r="E40" i="1"/>
  <c r="E38" i="1"/>
  <c r="E31" i="1"/>
  <c r="E24" i="1"/>
  <c r="E22" i="1"/>
  <c r="E15" i="1"/>
  <c r="E8" i="1"/>
  <c r="D118" i="1"/>
  <c r="E111" i="1"/>
  <c r="D86" i="1"/>
  <c r="E66" i="1"/>
  <c r="E51" i="1"/>
  <c r="D47" i="1"/>
  <c r="D38" i="1"/>
  <c r="D31" i="1"/>
  <c r="E13" i="1"/>
  <c r="D142" i="1"/>
  <c r="D89" i="1"/>
  <c r="E75" i="1"/>
  <c r="E55" i="1"/>
  <c r="E34" i="1"/>
  <c r="E27" i="1"/>
  <c r="E11" i="1"/>
  <c r="E9" i="1"/>
  <c r="E23" i="1"/>
  <c r="E50" i="1"/>
  <c r="D39" i="1"/>
  <c r="D14" i="1"/>
  <c r="H14" i="1" l="1"/>
  <c r="F14" i="1"/>
  <c r="G14" i="1"/>
  <c r="H39" i="1"/>
  <c r="F39" i="1"/>
  <c r="G39" i="1"/>
  <c r="H89" i="1"/>
  <c r="G89" i="1"/>
  <c r="F89" i="1"/>
  <c r="H142" i="1"/>
  <c r="G142" i="1"/>
  <c r="F142" i="1"/>
  <c r="H31" i="1"/>
  <c r="G31" i="1"/>
  <c r="F31" i="1"/>
  <c r="H38" i="1"/>
  <c r="F38" i="1"/>
  <c r="G38" i="1"/>
  <c r="F47" i="1"/>
  <c r="H47" i="1"/>
  <c r="G47" i="1"/>
  <c r="H86" i="1"/>
  <c r="G86" i="1"/>
  <c r="F86" i="1"/>
  <c r="H118" i="1"/>
  <c r="G118" i="1"/>
  <c r="F118" i="1"/>
  <c r="H90" i="1"/>
  <c r="G90" i="1"/>
  <c r="F90" i="1"/>
  <c r="H97" i="1"/>
  <c r="G97" i="1"/>
  <c r="F97" i="1"/>
  <c r="H134" i="1"/>
  <c r="G134" i="1"/>
  <c r="F134" i="1"/>
  <c r="H114" i="1"/>
  <c r="G114" i="1"/>
  <c r="F114" i="1"/>
  <c r="H10" i="1"/>
  <c r="F10" i="1"/>
  <c r="G10" i="1"/>
  <c r="H19" i="1"/>
  <c r="F19" i="1"/>
  <c r="G19" i="1"/>
  <c r="H7" i="1"/>
  <c r="F7" i="1"/>
  <c r="G7" i="1"/>
  <c r="H46" i="1"/>
  <c r="F46" i="1"/>
  <c r="G46" i="1"/>
  <c r="H82" i="1"/>
  <c r="G82" i="1"/>
  <c r="F82" i="1"/>
  <c r="H22" i="1"/>
  <c r="F22" i="1"/>
  <c r="G22" i="1"/>
  <c r="H26" i="1"/>
  <c r="F26" i="1"/>
  <c r="G26" i="1"/>
  <c r="H35" i="1"/>
  <c r="G35" i="1"/>
  <c r="F35" i="1"/>
  <c r="H42" i="1"/>
  <c r="F42" i="1"/>
  <c r="G42" i="1"/>
  <c r="F59" i="1"/>
  <c r="H59" i="1"/>
  <c r="G59" i="1"/>
  <c r="F67" i="1"/>
  <c r="H67" i="1"/>
  <c r="G67" i="1"/>
  <c r="H94" i="1"/>
  <c r="G94" i="1"/>
  <c r="F94" i="1"/>
  <c r="H101" i="1"/>
  <c r="G101" i="1"/>
  <c r="F101" i="1"/>
  <c r="H146" i="1"/>
  <c r="G146" i="1"/>
  <c r="F146" i="1"/>
  <c r="H98" i="1"/>
  <c r="G98" i="1"/>
  <c r="F98" i="1"/>
  <c r="H105" i="1"/>
  <c r="G105" i="1"/>
  <c r="F105" i="1"/>
  <c r="H126" i="1"/>
  <c r="G126" i="1"/>
  <c r="F126" i="1"/>
  <c r="G4" i="1"/>
  <c r="F4" i="1"/>
  <c r="H4" i="1"/>
  <c r="H77" i="1"/>
  <c r="G77" i="1"/>
  <c r="F77" i="1"/>
  <c r="H102" i="1"/>
  <c r="G102" i="1"/>
  <c r="F102" i="1"/>
  <c r="H109" i="1"/>
  <c r="G109" i="1"/>
  <c r="F109" i="1"/>
  <c r="H138" i="1"/>
  <c r="G138" i="1"/>
  <c r="F138" i="1"/>
  <c r="F71" i="1"/>
  <c r="H71" i="1"/>
  <c r="G71" i="1"/>
  <c r="H81" i="1"/>
  <c r="G81" i="1"/>
  <c r="F81" i="1"/>
  <c r="H106" i="1"/>
  <c r="G106" i="1"/>
  <c r="F106" i="1"/>
  <c r="H113" i="1"/>
  <c r="G113" i="1"/>
  <c r="F113" i="1"/>
  <c r="H121" i="1"/>
  <c r="G121" i="1"/>
  <c r="F121" i="1"/>
  <c r="H150" i="1"/>
  <c r="G150" i="1"/>
  <c r="F150" i="1"/>
  <c r="H23" i="1"/>
  <c r="F23" i="1"/>
  <c r="G23" i="1"/>
  <c r="H11" i="1"/>
  <c r="F11" i="1"/>
  <c r="G11" i="1"/>
  <c r="H18" i="1"/>
  <c r="F18" i="1"/>
  <c r="G18" i="1"/>
  <c r="H27" i="1"/>
  <c r="G27" i="1"/>
  <c r="F27" i="1"/>
  <c r="H34" i="1"/>
  <c r="F34" i="1"/>
  <c r="G34" i="1"/>
  <c r="H43" i="1"/>
  <c r="G43" i="1"/>
  <c r="F43" i="1"/>
  <c r="F55" i="1"/>
  <c r="H55" i="1"/>
  <c r="G55" i="1"/>
  <c r="F63" i="1"/>
  <c r="H63" i="1"/>
  <c r="G63" i="1"/>
  <c r="H78" i="1"/>
  <c r="G78" i="1"/>
  <c r="F78" i="1"/>
  <c r="H85" i="1"/>
  <c r="G85" i="1"/>
  <c r="F85" i="1"/>
  <c r="H110" i="1"/>
  <c r="G110" i="1"/>
  <c r="F110" i="1"/>
  <c r="H117" i="1"/>
  <c r="G117" i="1"/>
  <c r="F117" i="1"/>
  <c r="H122" i="1"/>
  <c r="G122" i="1"/>
  <c r="F122" i="1"/>
  <c r="H130" i="1"/>
  <c r="G130" i="1"/>
  <c r="F130" i="1"/>
  <c r="H30" i="1"/>
  <c r="F30" i="1"/>
  <c r="G30" i="1"/>
  <c r="H74" i="1"/>
  <c r="G74" i="1"/>
  <c r="F74" i="1"/>
  <c r="F6" i="1"/>
  <c r="H6" i="1"/>
  <c r="G6" i="1"/>
  <c r="F51" i="1"/>
  <c r="H51" i="1"/>
  <c r="G51" i="1"/>
  <c r="H15" i="1"/>
  <c r="G15" i="1"/>
  <c r="F15" i="1"/>
  <c r="H93" i="1"/>
  <c r="G93" i="1"/>
  <c r="F93" i="1"/>
  <c r="H125" i="1"/>
  <c r="G125" i="1"/>
  <c r="F125" i="1"/>
  <c r="H129" i="1"/>
  <c r="G129" i="1"/>
  <c r="F129" i="1"/>
  <c r="H133" i="1"/>
  <c r="G133" i="1"/>
  <c r="F133" i="1"/>
  <c r="H137" i="1"/>
  <c r="G137" i="1"/>
  <c r="F137" i="1"/>
  <c r="H141" i="1"/>
  <c r="G141" i="1"/>
  <c r="F141" i="1"/>
  <c r="H145" i="1"/>
  <c r="G145" i="1"/>
  <c r="F145" i="1"/>
  <c r="H149" i="1"/>
  <c r="G149" i="1"/>
  <c r="F149" i="1"/>
  <c r="H153" i="1"/>
  <c r="G153" i="1"/>
  <c r="F153" i="1"/>
  <c r="G5" i="1"/>
  <c r="F5" i="1"/>
  <c r="H5" i="1"/>
  <c r="F9" i="1"/>
  <c r="H9" i="1"/>
  <c r="G9" i="1"/>
  <c r="F13" i="1"/>
  <c r="H13" i="1"/>
  <c r="G13" i="1"/>
  <c r="F17" i="1"/>
  <c r="G17" i="1"/>
  <c r="H17" i="1"/>
  <c r="F21" i="1"/>
  <c r="H21" i="1"/>
  <c r="G21" i="1"/>
  <c r="F25" i="1"/>
  <c r="H25" i="1"/>
  <c r="G25" i="1"/>
  <c r="F29" i="1"/>
  <c r="H29" i="1"/>
  <c r="G29" i="1"/>
  <c r="F33" i="1"/>
  <c r="H33" i="1"/>
  <c r="G33" i="1"/>
  <c r="F37" i="1"/>
  <c r="H37" i="1"/>
  <c r="G37" i="1"/>
  <c r="F41" i="1"/>
  <c r="H41" i="1"/>
  <c r="G41" i="1"/>
  <c r="F45" i="1"/>
  <c r="H45" i="1"/>
  <c r="G45" i="1"/>
  <c r="F49" i="1"/>
  <c r="H49" i="1"/>
  <c r="G49" i="1"/>
  <c r="F53" i="1"/>
  <c r="H53" i="1"/>
  <c r="G53" i="1"/>
  <c r="G57" i="1"/>
  <c r="F57" i="1"/>
  <c r="H57" i="1"/>
  <c r="G61" i="1"/>
  <c r="F61" i="1"/>
  <c r="H61" i="1"/>
  <c r="G65" i="1"/>
  <c r="F65" i="1"/>
  <c r="H65" i="1"/>
  <c r="G69" i="1"/>
  <c r="F69" i="1"/>
  <c r="H69" i="1"/>
  <c r="G73" i="1"/>
  <c r="F73" i="1"/>
  <c r="H73" i="1"/>
  <c r="F76" i="1"/>
  <c r="H76" i="1"/>
  <c r="G76" i="1"/>
  <c r="F80" i="1"/>
  <c r="H80" i="1"/>
  <c r="G80" i="1"/>
  <c r="F84" i="1"/>
  <c r="H84" i="1"/>
  <c r="G84" i="1"/>
  <c r="F88" i="1"/>
  <c r="H88" i="1"/>
  <c r="G88" i="1"/>
  <c r="F92" i="1"/>
  <c r="G92" i="1"/>
  <c r="H92" i="1"/>
  <c r="F96" i="1"/>
  <c r="H96" i="1"/>
  <c r="G96" i="1"/>
  <c r="F100" i="1"/>
  <c r="H100" i="1"/>
  <c r="G100" i="1"/>
  <c r="F104" i="1"/>
  <c r="H104" i="1"/>
  <c r="G104" i="1"/>
  <c r="F108" i="1"/>
  <c r="H108" i="1"/>
  <c r="G108" i="1"/>
  <c r="F112" i="1"/>
  <c r="H112" i="1"/>
  <c r="G112" i="1"/>
  <c r="F116" i="1"/>
  <c r="H116" i="1"/>
  <c r="G116" i="1"/>
  <c r="G120" i="1"/>
  <c r="F120" i="1"/>
  <c r="H120" i="1"/>
  <c r="G124" i="1"/>
  <c r="F124" i="1"/>
  <c r="H124" i="1"/>
  <c r="G128" i="1"/>
  <c r="F128" i="1"/>
  <c r="H128" i="1"/>
  <c r="G132" i="1"/>
  <c r="F132" i="1"/>
  <c r="H132" i="1"/>
  <c r="G136" i="1"/>
  <c r="F136" i="1"/>
  <c r="H136" i="1"/>
  <c r="G140" i="1"/>
  <c r="F140" i="1"/>
  <c r="H140" i="1"/>
  <c r="G144" i="1"/>
  <c r="F144" i="1"/>
  <c r="H144" i="1"/>
  <c r="G148" i="1"/>
  <c r="F148" i="1"/>
  <c r="H148" i="1"/>
  <c r="G152" i="1"/>
  <c r="F152" i="1"/>
  <c r="H152" i="1"/>
  <c r="G155" i="1"/>
  <c r="F155" i="1"/>
  <c r="H155" i="1"/>
  <c r="H8" i="1"/>
  <c r="G8" i="1"/>
  <c r="F8" i="1"/>
  <c r="G12" i="1"/>
  <c r="F12" i="1"/>
  <c r="H12" i="1"/>
  <c r="F16" i="1"/>
  <c r="H16" i="1"/>
  <c r="G16" i="1"/>
  <c r="F20" i="1"/>
  <c r="H20" i="1"/>
  <c r="G20" i="1"/>
  <c r="G24" i="1"/>
  <c r="F24" i="1"/>
  <c r="H24" i="1"/>
  <c r="H28" i="1"/>
  <c r="G28" i="1"/>
  <c r="F28" i="1"/>
  <c r="H32" i="1"/>
  <c r="F32" i="1"/>
  <c r="G32" i="1"/>
  <c r="F36" i="1"/>
  <c r="H36" i="1"/>
  <c r="G36" i="1"/>
  <c r="H40" i="1"/>
  <c r="G40" i="1"/>
  <c r="F40" i="1"/>
  <c r="H44" i="1"/>
  <c r="G44" i="1"/>
  <c r="F44" i="1"/>
  <c r="H48" i="1"/>
  <c r="G48" i="1"/>
  <c r="F48" i="1"/>
  <c r="H52" i="1"/>
  <c r="G52" i="1"/>
  <c r="F52" i="1"/>
  <c r="H56" i="1"/>
  <c r="G56" i="1"/>
  <c r="F56" i="1"/>
  <c r="H60" i="1"/>
  <c r="F60" i="1"/>
  <c r="G60" i="1"/>
  <c r="H64" i="1"/>
  <c r="G64" i="1"/>
  <c r="F64" i="1"/>
  <c r="H68" i="1"/>
  <c r="F68" i="1"/>
  <c r="G68" i="1"/>
  <c r="H72" i="1"/>
  <c r="G72" i="1"/>
  <c r="F72" i="1"/>
  <c r="G75" i="1"/>
  <c r="H75" i="1"/>
  <c r="F75" i="1"/>
  <c r="G79" i="1"/>
  <c r="H79" i="1"/>
  <c r="F79" i="1"/>
  <c r="G83" i="1"/>
  <c r="H83" i="1"/>
  <c r="F83" i="1"/>
  <c r="G87" i="1"/>
  <c r="H87" i="1"/>
  <c r="F87" i="1"/>
  <c r="G91" i="1"/>
  <c r="H91" i="1"/>
  <c r="F91" i="1"/>
  <c r="G95" i="1"/>
  <c r="H95" i="1"/>
  <c r="F95" i="1"/>
  <c r="G99" i="1"/>
  <c r="F99" i="1"/>
  <c r="H99" i="1"/>
  <c r="G103" i="1"/>
  <c r="H103" i="1"/>
  <c r="F103" i="1"/>
  <c r="G107" i="1"/>
  <c r="F107" i="1"/>
  <c r="H107" i="1"/>
  <c r="G111" i="1"/>
  <c r="H111" i="1"/>
  <c r="F111" i="1"/>
  <c r="G115" i="1"/>
  <c r="H115" i="1"/>
  <c r="F115" i="1"/>
  <c r="G119" i="1"/>
  <c r="H119" i="1"/>
  <c r="F119" i="1"/>
  <c r="G123" i="1"/>
  <c r="H123" i="1"/>
  <c r="F123" i="1"/>
  <c r="G127" i="1"/>
  <c r="H127" i="1"/>
  <c r="F127" i="1"/>
  <c r="G131" i="1"/>
  <c r="H131" i="1"/>
  <c r="F131" i="1"/>
  <c r="G135" i="1"/>
  <c r="H135" i="1"/>
  <c r="F135" i="1"/>
  <c r="G139" i="1"/>
  <c r="H139" i="1"/>
  <c r="F139" i="1"/>
  <c r="G143" i="1"/>
  <c r="H143" i="1"/>
  <c r="F143" i="1"/>
  <c r="G147" i="1"/>
  <c r="H147" i="1"/>
  <c r="F147" i="1"/>
  <c r="G151" i="1"/>
  <c r="H151" i="1"/>
  <c r="F151" i="1"/>
  <c r="F154" i="1"/>
  <c r="H154" i="1"/>
  <c r="G154" i="1"/>
  <c r="H50" i="1"/>
  <c r="F50" i="1"/>
  <c r="G50" i="1"/>
  <c r="H54" i="1"/>
  <c r="F54" i="1"/>
  <c r="G54" i="1"/>
  <c r="H58" i="1"/>
  <c r="F58" i="1"/>
  <c r="G58" i="1"/>
  <c r="H62" i="1"/>
  <c r="F62" i="1"/>
  <c r="G62" i="1"/>
  <c r="H66" i="1"/>
  <c r="F66" i="1"/>
  <c r="G66" i="1"/>
  <c r="H70" i="1"/>
  <c r="G70" i="1"/>
  <c r="F70" i="1"/>
  <c r="AC1625" i="2"/>
  <c r="AC1617" i="2"/>
  <c r="AC1609" i="2"/>
  <c r="AC1601" i="2"/>
  <c r="AC1593" i="2"/>
  <c r="AC1585" i="2"/>
  <c r="AC1577" i="2"/>
  <c r="AC1628" i="2"/>
  <c r="AC1620" i="2"/>
  <c r="AC1612" i="2"/>
  <c r="AC1604" i="2"/>
  <c r="AC1596" i="2"/>
  <c r="AC1588" i="2"/>
  <c r="AC1580" i="2"/>
  <c r="AC1572" i="2"/>
  <c r="AC1564" i="2"/>
  <c r="AC1556" i="2"/>
  <c r="AC1548" i="2"/>
  <c r="AC1540" i="2"/>
  <c r="AC1532" i="2"/>
  <c r="AC1524" i="2"/>
  <c r="AC1516" i="2"/>
  <c r="AC1508" i="2"/>
  <c r="AC1500" i="2"/>
  <c r="AC1492" i="2"/>
  <c r="AC1484" i="2"/>
  <c r="AC1476" i="2"/>
  <c r="AC1468" i="2"/>
  <c r="AC1631" i="2"/>
  <c r="AC1623" i="2"/>
  <c r="AC1615" i="2"/>
  <c r="AC1607" i="2"/>
  <c r="AC1599" i="2"/>
  <c r="AC1591" i="2"/>
  <c r="AC1583" i="2"/>
  <c r="AC1575" i="2"/>
  <c r="AC1567" i="2"/>
  <c r="AC1559" i="2"/>
  <c r="AC1551" i="2"/>
  <c r="AC1543" i="2"/>
  <c r="AC1535" i="2"/>
  <c r="AC1527" i="2"/>
  <c r="AC1519" i="2"/>
  <c r="AC1511" i="2"/>
  <c r="AC1503" i="2"/>
  <c r="AC1495" i="2"/>
  <c r="AC1487" i="2"/>
  <c r="AC1479" i="2"/>
  <c r="AC1626" i="2"/>
  <c r="AC1618" i="2"/>
  <c r="AC1610" i="2"/>
  <c r="AC1602" i="2"/>
  <c r="AC1594" i="2"/>
  <c r="AC1586" i="2"/>
  <c r="AC1578" i="2"/>
  <c r="AC1629" i="2"/>
  <c r="AC1621" i="2"/>
  <c r="AC1613" i="2"/>
  <c r="AC1605" i="2"/>
  <c r="AC1597" i="2"/>
  <c r="AC1589" i="2"/>
  <c r="AC1581" i="2"/>
  <c r="AC1573" i="2"/>
  <c r="AC1565" i="2"/>
  <c r="AC1557" i="2"/>
  <c r="AC1549" i="2"/>
  <c r="AC1541" i="2"/>
  <c r="AC1630" i="2"/>
  <c r="AC1622" i="2"/>
  <c r="AC1614" i="2"/>
  <c r="AC1606" i="2"/>
  <c r="AC1598" i="2"/>
  <c r="AC1590" i="2"/>
  <c r="AC1582" i="2"/>
  <c r="AC1574" i="2"/>
  <c r="AC1566" i="2"/>
  <c r="AC1558" i="2"/>
  <c r="AC1550" i="2"/>
  <c r="AC1542" i="2"/>
  <c r="AC1534" i="2"/>
  <c r="AC1526" i="2"/>
  <c r="AC1518" i="2"/>
  <c r="AC1510" i="2"/>
  <c r="AC1502" i="2"/>
  <c r="AC1494" i="2"/>
  <c r="AC1486" i="2"/>
  <c r="AC1478" i="2"/>
  <c r="AC1470" i="2"/>
  <c r="AC1462" i="2"/>
  <c r="AC1627" i="2"/>
  <c r="AC1595" i="2"/>
  <c r="AC1571" i="2"/>
  <c r="AC1568" i="2"/>
  <c r="AC1563" i="2"/>
  <c r="AC1560" i="2"/>
  <c r="AC1555" i="2"/>
  <c r="AC1552" i="2"/>
  <c r="AC1547" i="2"/>
  <c r="AC1544" i="2"/>
  <c r="AC1539" i="2"/>
  <c r="AC1536" i="2"/>
  <c r="AC1529" i="2"/>
  <c r="AC1522" i="2"/>
  <c r="AC1520" i="2"/>
  <c r="AC1608" i="2"/>
  <c r="AC1576" i="2"/>
  <c r="AC1474" i="2"/>
  <c r="AC1472" i="2"/>
  <c r="AC1466" i="2"/>
  <c r="AC1464" i="2"/>
  <c r="AC1454" i="2"/>
  <c r="AC1446" i="2"/>
  <c r="AC1438" i="2"/>
  <c r="AC1430" i="2"/>
  <c r="AC1422" i="2"/>
  <c r="AC1414" i="2"/>
  <c r="AC1406" i="2"/>
  <c r="AC1398" i="2"/>
  <c r="AC1390" i="2"/>
  <c r="AC1382" i="2"/>
  <c r="AC1374" i="2"/>
  <c r="AC1366" i="2"/>
  <c r="AC1358" i="2"/>
  <c r="AC1350" i="2"/>
  <c r="AC1342" i="2"/>
  <c r="AC1334" i="2"/>
  <c r="AC1619" i="2"/>
  <c r="AC1587" i="2"/>
  <c r="AC1570" i="2"/>
  <c r="AC1562" i="2"/>
  <c r="AC1554" i="2"/>
  <c r="AC1546" i="2"/>
  <c r="AC1538" i="2"/>
  <c r="AC1531" i="2"/>
  <c r="AC1515" i="2"/>
  <c r="AC1499" i="2"/>
  <c r="AC1483" i="2"/>
  <c r="AC1457" i="2"/>
  <c r="AC1449" i="2"/>
  <c r="AC1441" i="2"/>
  <c r="AC1433" i="2"/>
  <c r="AC1425" i="2"/>
  <c r="AC1417" i="2"/>
  <c r="AC1600" i="2"/>
  <c r="AC1533" i="2"/>
  <c r="AC1517" i="2"/>
  <c r="AC1501" i="2"/>
  <c r="AC1485" i="2"/>
  <c r="AC1460" i="2"/>
  <c r="AC1452" i="2"/>
  <c r="AC1444" i="2"/>
  <c r="AC1436" i="2"/>
  <c r="AC1428" i="2"/>
  <c r="AC1420" i="2"/>
  <c r="AC1412" i="2"/>
  <c r="AC1404" i="2"/>
  <c r="AC1396" i="2"/>
  <c r="AC1388" i="2"/>
  <c r="AC1380" i="2"/>
  <c r="AC1611" i="2"/>
  <c r="AC1579" i="2"/>
  <c r="AC1530" i="2"/>
  <c r="AC1528" i="2"/>
  <c r="AC1603" i="2"/>
  <c r="AC1523" i="2"/>
  <c r="AC1507" i="2"/>
  <c r="AC1491" i="2"/>
  <c r="AC1475" i="2"/>
  <c r="AC1469" i="2"/>
  <c r="AC1467" i="2"/>
  <c r="AC1461" i="2"/>
  <c r="AC1453" i="2"/>
  <c r="AC1445" i="2"/>
  <c r="AC1437" i="2"/>
  <c r="AC1429" i="2"/>
  <c r="AC1421" i="2"/>
  <c r="AC1413" i="2"/>
  <c r="AC1405" i="2"/>
  <c r="AC1397" i="2"/>
  <c r="AC1389" i="2"/>
  <c r="AC1381" i="2"/>
  <c r="AC1373" i="2"/>
  <c r="AC1365" i="2"/>
  <c r="AC1624" i="2"/>
  <c r="AC1497" i="2"/>
  <c r="AC1459" i="2"/>
  <c r="AC1456" i="2"/>
  <c r="AC1418" i="2"/>
  <c r="AC1411" i="2"/>
  <c r="AC1395" i="2"/>
  <c r="AC1379" i="2"/>
  <c r="AC1368" i="2"/>
  <c r="AC1513" i="2"/>
  <c r="AC1490" i="2"/>
  <c r="AC1480" i="2"/>
  <c r="AC1477" i="2"/>
  <c r="AC1451" i="2"/>
  <c r="AC1448" i="2"/>
  <c r="AC1415" i="2"/>
  <c r="AC1408" i="2"/>
  <c r="AC1399" i="2"/>
  <c r="AC1392" i="2"/>
  <c r="AC1383" i="2"/>
  <c r="AC1506" i="2"/>
  <c r="AC1496" i="2"/>
  <c r="AC1493" i="2"/>
  <c r="AC1443" i="2"/>
  <c r="AC1440" i="2"/>
  <c r="AC1401" i="2"/>
  <c r="AC1385" i="2"/>
  <c r="AC1360" i="2"/>
  <c r="AC1344" i="2"/>
  <c r="AC1327" i="2"/>
  <c r="AC1584" i="2"/>
  <c r="AC1512" i="2"/>
  <c r="AC1509" i="2"/>
  <c r="AC1489" i="2"/>
  <c r="AC1482" i="2"/>
  <c r="AC1471" i="2"/>
  <c r="AC1458" i="2"/>
  <c r="AC1455" i="2"/>
  <c r="AC1435" i="2"/>
  <c r="AC1432" i="2"/>
  <c r="AC1410" i="2"/>
  <c r="AC1394" i="2"/>
  <c r="AC1378" i="2"/>
  <c r="AC1351" i="2"/>
  <c r="AC1505" i="2"/>
  <c r="AC1498" i="2"/>
  <c r="AC1473" i="2"/>
  <c r="AC1463" i="2"/>
  <c r="AC1450" i="2"/>
  <c r="AC1447" i="2"/>
  <c r="AC1427" i="2"/>
  <c r="AC1424" i="2"/>
  <c r="AC1403" i="2"/>
  <c r="AC1387" i="2"/>
  <c r="AC1369" i="2"/>
  <c r="AC1356" i="2"/>
  <c r="AC1349" i="2"/>
  <c r="AC1340" i="2"/>
  <c r="AC1333" i="2"/>
  <c r="AC1325" i="2"/>
  <c r="AC1293" i="2"/>
  <c r="AC1285" i="2"/>
  <c r="AC1277" i="2"/>
  <c r="AC1569" i="2"/>
  <c r="AC1561" i="2"/>
  <c r="AC1553" i="2"/>
  <c r="AC1545" i="2"/>
  <c r="AC1537" i="2"/>
  <c r="AC1525" i="2"/>
  <c r="AC1521" i="2"/>
  <c r="AC1504" i="2"/>
  <c r="AC1481" i="2"/>
  <c r="AC1426" i="2"/>
  <c r="AC1423" i="2"/>
  <c r="AC1402" i="2"/>
  <c r="AC1386" i="2"/>
  <c r="AC1359" i="2"/>
  <c r="AC1343" i="2"/>
  <c r="AC1326" i="2"/>
  <c r="AC1296" i="2"/>
  <c r="AC1288" i="2"/>
  <c r="AC1280" i="2"/>
  <c r="AC1272" i="2"/>
  <c r="AC1249" i="2"/>
  <c r="AC1592" i="2"/>
  <c r="AC1362" i="2"/>
  <c r="AC1335" i="2"/>
  <c r="AC1323" i="2"/>
  <c r="AC1295" i="2"/>
  <c r="AC1244" i="2"/>
  <c r="AC1237" i="2"/>
  <c r="AC1407" i="2"/>
  <c r="AC1391" i="2"/>
  <c r="AC1353" i="2"/>
  <c r="AC1347" i="2"/>
  <c r="AC1337" i="2"/>
  <c r="AC1375" i="2"/>
  <c r="AC1372" i="2"/>
  <c r="AC1361" i="2"/>
  <c r="AC1339" i="2"/>
  <c r="AC1329" i="2"/>
  <c r="AC1292" i="2"/>
  <c r="AC1246" i="2"/>
  <c r="AC1239" i="2"/>
  <c r="AC1232" i="2"/>
  <c r="AC1224" i="2"/>
  <c r="AC1216" i="2"/>
  <c r="AC1208" i="2"/>
  <c r="AC1200" i="2"/>
  <c r="AC1192" i="2"/>
  <c r="AC1184" i="2"/>
  <c r="AC1176" i="2"/>
  <c r="AC1616" i="2"/>
  <c r="AC1488" i="2"/>
  <c r="AC1439" i="2"/>
  <c r="AC1419" i="2"/>
  <c r="AC1355" i="2"/>
  <c r="AC1341" i="2"/>
  <c r="AC1322" i="2"/>
  <c r="AC1283" i="2"/>
  <c r="AC1279" i="2"/>
  <c r="AC1274" i="2"/>
  <c r="AC1247" i="2"/>
  <c r="AC1240" i="2"/>
  <c r="AC1219" i="2"/>
  <c r="AC1211" i="2"/>
  <c r="AC1203" i="2"/>
  <c r="AC1195" i="2"/>
  <c r="AC1187" i="2"/>
  <c r="AC1179" i="2"/>
  <c r="AC1171" i="2"/>
  <c r="AC1163" i="2"/>
  <c r="AC1155" i="2"/>
  <c r="AC1147" i="2"/>
  <c r="AC1139" i="2"/>
  <c r="AC1131" i="2"/>
  <c r="AC1431" i="2"/>
  <c r="AC1371" i="2"/>
  <c r="AC1367" i="2"/>
  <c r="AC1364" i="2"/>
  <c r="AC1352" i="2"/>
  <c r="AC1346" i="2"/>
  <c r="AC1336" i="2"/>
  <c r="AC1331" i="2"/>
  <c r="AC1297" i="2"/>
  <c r="AC1284" i="2"/>
  <c r="AC1248" i="2"/>
  <c r="AC1241" i="2"/>
  <c r="AC1409" i="2"/>
  <c r="AC1393" i="2"/>
  <c r="AC1377" i="2"/>
  <c r="AC1357" i="2"/>
  <c r="AC1354" i="2"/>
  <c r="AC1338" i="2"/>
  <c r="AC1514" i="2"/>
  <c r="AC1434" i="2"/>
  <c r="AC1416" i="2"/>
  <c r="AC1400" i="2"/>
  <c r="AC1384" i="2"/>
  <c r="AC1376" i="2"/>
  <c r="AC1330" i="2"/>
  <c r="AC1290" i="2"/>
  <c r="AC1286" i="2"/>
  <c r="AC1281" i="2"/>
  <c r="AC1236" i="2"/>
  <c r="AC1223" i="2"/>
  <c r="AC1215" i="2"/>
  <c r="AC1207" i="2"/>
  <c r="AC1199" i="2"/>
  <c r="AC1191" i="2"/>
  <c r="AC1183" i="2"/>
  <c r="AC1175" i="2"/>
  <c r="AC1167" i="2"/>
  <c r="AC1159" i="2"/>
  <c r="AC1151" i="2"/>
  <c r="AC1143" i="2"/>
  <c r="AC1135" i="2"/>
  <c r="AC1465" i="2"/>
  <c r="AC1294" i="2"/>
  <c r="AC1289" i="2"/>
  <c r="AC1214" i="2"/>
  <c r="AC1201" i="2"/>
  <c r="AC1188" i="2"/>
  <c r="AC1181" i="2"/>
  <c r="AC1170" i="2"/>
  <c r="AC1166" i="2"/>
  <c r="AC1162" i="2"/>
  <c r="AC1158" i="2"/>
  <c r="AC1154" i="2"/>
  <c r="AC1150" i="2"/>
  <c r="AC1146" i="2"/>
  <c r="AC1142" i="2"/>
  <c r="AC1138" i="2"/>
  <c r="AC1134" i="2"/>
  <c r="AC1122" i="2"/>
  <c r="AC1114" i="2"/>
  <c r="AC1106" i="2"/>
  <c r="AC1098" i="2"/>
  <c r="AC1090" i="2"/>
  <c r="AC1082" i="2"/>
  <c r="AC1074" i="2"/>
  <c r="AC1066" i="2"/>
  <c r="AC1370" i="2"/>
  <c r="AC1287" i="2"/>
  <c r="AC1282" i="2"/>
  <c r="AC1442" i="2"/>
  <c r="AC1348" i="2"/>
  <c r="AC1324" i="2"/>
  <c r="AC1218" i="2"/>
  <c r="AC1198" i="2"/>
  <c r="AC1185" i="2"/>
  <c r="AC1172" i="2"/>
  <c r="AC1128" i="2"/>
  <c r="AC1120" i="2"/>
  <c r="AC1245" i="2"/>
  <c r="AC1242" i="2"/>
  <c r="AC1233" i="2"/>
  <c r="AC1363" i="2"/>
  <c r="AC1278" i="2"/>
  <c r="AC1275" i="2"/>
  <c r="AC1220" i="2"/>
  <c r="AC1213" i="2"/>
  <c r="AC1202" i="2"/>
  <c r="AC1182" i="2"/>
  <c r="AC1169" i="2"/>
  <c r="AC1165" i="2"/>
  <c r="AC1161" i="2"/>
  <c r="AC1157" i="2"/>
  <c r="AC1153" i="2"/>
  <c r="AC1149" i="2"/>
  <c r="AC1145" i="2"/>
  <c r="AC1141" i="2"/>
  <c r="AC1137" i="2"/>
  <c r="AC1133" i="2"/>
  <c r="AC1126" i="2"/>
  <c r="AC1118" i="2"/>
  <c r="AC1110" i="2"/>
  <c r="AC1102" i="2"/>
  <c r="AC1094" i="2"/>
  <c r="AC1332" i="2"/>
  <c r="AC1273" i="2"/>
  <c r="AC1234" i="2"/>
  <c r="AC1226" i="2"/>
  <c r="AC1206" i="2"/>
  <c r="AC1193" i="2"/>
  <c r="AC1180" i="2"/>
  <c r="AC1173" i="2"/>
  <c r="AC1129" i="2"/>
  <c r="AC1121" i="2"/>
  <c r="AC1113" i="2"/>
  <c r="AC1105" i="2"/>
  <c r="AC1097" i="2"/>
  <c r="AC1089" i="2"/>
  <c r="AC1081" i="2"/>
  <c r="AC1073" i="2"/>
  <c r="AC1065" i="2"/>
  <c r="AC1345" i="2"/>
  <c r="AC1276" i="2"/>
  <c r="AC1271" i="2"/>
  <c r="AC1235" i="2"/>
  <c r="AC1221" i="2"/>
  <c r="AC1210" i="2"/>
  <c r="AC1190" i="2"/>
  <c r="AC1177" i="2"/>
  <c r="AC1127" i="2"/>
  <c r="AC1291" i="2"/>
  <c r="AC1140" i="2"/>
  <c r="AC1087" i="2"/>
  <c r="AC1083" i="2"/>
  <c r="AC1079" i="2"/>
  <c r="AC1075" i="2"/>
  <c r="AC1071" i="2"/>
  <c r="AC1067" i="2"/>
  <c r="AC1063" i="2"/>
  <c r="AC1059" i="2"/>
  <c r="AC1051" i="2"/>
  <c r="AC1043" i="2"/>
  <c r="AC1035" i="2"/>
  <c r="AC1027" i="2"/>
  <c r="AC1019" i="2"/>
  <c r="AC1011" i="2"/>
  <c r="AC1003" i="2"/>
  <c r="AC995" i="2"/>
  <c r="AC987" i="2"/>
  <c r="AC979" i="2"/>
  <c r="AC971" i="2"/>
  <c r="AC963" i="2"/>
  <c r="AC955" i="2"/>
  <c r="AC947" i="2"/>
  <c r="AC939" i="2"/>
  <c r="AC931" i="2"/>
  <c r="AC923" i="2"/>
  <c r="AC889" i="2"/>
  <c r="AC1238" i="2"/>
  <c r="AC1217" i="2"/>
  <c r="AC1197" i="2"/>
  <c r="AC1194" i="2"/>
  <c r="AC1168" i="2"/>
  <c r="AC1136" i="2"/>
  <c r="AC1125" i="2"/>
  <c r="AC1111" i="2"/>
  <c r="AC1093" i="2"/>
  <c r="AC1091" i="2"/>
  <c r="AC1054" i="2"/>
  <c r="AC1046" i="2"/>
  <c r="AC1038" i="2"/>
  <c r="AC1328" i="2"/>
  <c r="AC1204" i="2"/>
  <c r="AC1186" i="2"/>
  <c r="AC1178" i="2"/>
  <c r="AC1164" i="2"/>
  <c r="AC1132" i="2"/>
  <c r="AC1117" i="2"/>
  <c r="AC1115" i="2"/>
  <c r="AC1108" i="2"/>
  <c r="AC1104" i="2"/>
  <c r="AC1057" i="2"/>
  <c r="AC1049" i="2"/>
  <c r="AC1041" i="2"/>
  <c r="AC1033" i="2"/>
  <c r="AC1025" i="2"/>
  <c r="AC1017" i="2"/>
  <c r="AC1009" i="2"/>
  <c r="AC1001" i="2"/>
  <c r="AC993" i="2"/>
  <c r="AC985" i="2"/>
  <c r="AC1243" i="2"/>
  <c r="AC1222" i="2"/>
  <c r="AC1189" i="2"/>
  <c r="AC1160" i="2"/>
  <c r="AC1124" i="2"/>
  <c r="AC1095" i="2"/>
  <c r="AC1084" i="2"/>
  <c r="AC1076" i="2"/>
  <c r="AC1068" i="2"/>
  <c r="AC1060" i="2"/>
  <c r="AC1052" i="2"/>
  <c r="AC1044" i="2"/>
  <c r="AC1036" i="2"/>
  <c r="AC1028" i="2"/>
  <c r="AC1020" i="2"/>
  <c r="AC1012" i="2"/>
  <c r="AC1004" i="2"/>
  <c r="AC996" i="2"/>
  <c r="AC988" i="2"/>
  <c r="AC980" i="2"/>
  <c r="AC972" i="2"/>
  <c r="AC964" i="2"/>
  <c r="AC1225" i="2"/>
  <c r="AC1212" i="2"/>
  <c r="AC1209" i="2"/>
  <c r="AC1196" i="2"/>
  <c r="AC1174" i="2"/>
  <c r="AC1152" i="2"/>
  <c r="AC1119" i="2"/>
  <c r="AC1116" i="2"/>
  <c r="AC1112" i="2"/>
  <c r="AC1058" i="2"/>
  <c r="AC1050" i="2"/>
  <c r="AC1042" i="2"/>
  <c r="AC1034" i="2"/>
  <c r="AC1026" i="2"/>
  <c r="AC1018" i="2"/>
  <c r="AC1010" i="2"/>
  <c r="AC1002" i="2"/>
  <c r="AC994" i="2"/>
  <c r="AC986" i="2"/>
  <c r="AC978" i="2"/>
  <c r="AC970" i="2"/>
  <c r="AC962" i="2"/>
  <c r="AC954" i="2"/>
  <c r="AC946" i="2"/>
  <c r="AC938" i="2"/>
  <c r="AC930" i="2"/>
  <c r="AC922" i="2"/>
  <c r="AC1055" i="2"/>
  <c r="AC1014" i="2"/>
  <c r="AC991" i="2"/>
  <c r="AC981" i="2"/>
  <c r="AC974" i="2"/>
  <c r="AC965" i="2"/>
  <c r="AC958" i="2"/>
  <c r="AC950" i="2"/>
  <c r="AC942" i="2"/>
  <c r="AC934" i="2"/>
  <c r="AC926" i="2"/>
  <c r="AC918" i="2"/>
  <c r="AC884" i="2"/>
  <c r="AC876" i="2"/>
  <c r="AC868" i="2"/>
  <c r="AC837" i="2"/>
  <c r="AC829" i="2"/>
  <c r="AC820" i="2"/>
  <c r="AC812" i="2"/>
  <c r="AC804" i="2"/>
  <c r="AC796" i="2"/>
  <c r="AC788" i="2"/>
  <c r="AC780" i="2"/>
  <c r="AC772" i="2"/>
  <c r="AC764" i="2"/>
  <c r="AC756" i="2"/>
  <c r="AC748" i="2"/>
  <c r="AC740" i="2"/>
  <c r="AC732" i="2"/>
  <c r="AC724" i="2"/>
  <c r="AC716" i="2"/>
  <c r="AC708" i="2"/>
  <c r="AC700" i="2"/>
  <c r="AC692" i="2"/>
  <c r="AC684" i="2"/>
  <c r="AC676" i="2"/>
  <c r="AC668" i="2"/>
  <c r="AC660" i="2"/>
  <c r="AC652" i="2"/>
  <c r="AC644" i="2"/>
  <c r="AC636" i="2"/>
  <c r="AC1103" i="2"/>
  <c r="AC1099" i="2"/>
  <c r="AC1077" i="2"/>
  <c r="AC1061" i="2"/>
  <c r="AC1032" i="2"/>
  <c r="AC1006" i="2"/>
  <c r="AC983" i="2"/>
  <c r="AC967" i="2"/>
  <c r="AC956" i="2"/>
  <c r="AC952" i="2"/>
  <c r="AC948" i="2"/>
  <c r="AC944" i="2"/>
  <c r="AC940" i="2"/>
  <c r="AC936" i="2"/>
  <c r="AC932" i="2"/>
  <c r="AC928" i="2"/>
  <c r="AC924" i="2"/>
  <c r="AC920" i="2"/>
  <c r="AC890" i="2"/>
  <c r="AC885" i="2"/>
  <c r="AC877" i="2"/>
  <c r="AC869" i="2"/>
  <c r="AC838" i="2"/>
  <c r="AC830" i="2"/>
  <c r="AC815" i="2"/>
  <c r="AC807" i="2"/>
  <c r="AC799" i="2"/>
  <c r="AC791" i="2"/>
  <c r="AC783" i="2"/>
  <c r="AC775" i="2"/>
  <c r="AC767" i="2"/>
  <c r="AC759" i="2"/>
  <c r="AC751" i="2"/>
  <c r="AC743" i="2"/>
  <c r="AC735" i="2"/>
  <c r="AC727" i="2"/>
  <c r="AC719" i="2"/>
  <c r="AC711" i="2"/>
  <c r="AC703" i="2"/>
  <c r="AC695" i="2"/>
  <c r="AC687" i="2"/>
  <c r="AC679" i="2"/>
  <c r="AC671" i="2"/>
  <c r="AC663" i="2"/>
  <c r="AC655" i="2"/>
  <c r="AC647" i="2"/>
  <c r="AC1109" i="2"/>
  <c r="AC1096" i="2"/>
  <c r="AC1092" i="2"/>
  <c r="AC1086" i="2"/>
  <c r="AC1080" i="2"/>
  <c r="AC1070" i="2"/>
  <c r="AC1064" i="2"/>
  <c r="AC1040" i="2"/>
  <c r="AC1037" i="2"/>
  <c r="AC1029" i="2"/>
  <c r="AC1024" i="2"/>
  <c r="AC998" i="2"/>
  <c r="AC976" i="2"/>
  <c r="AC960" i="2"/>
  <c r="AC886" i="2"/>
  <c r="AC878" i="2"/>
  <c r="AC870" i="2"/>
  <c r="AC839" i="2"/>
  <c r="AC831" i="2"/>
  <c r="AC818" i="2"/>
  <c r="AC810" i="2"/>
  <c r="AC802" i="2"/>
  <c r="AC794" i="2"/>
  <c r="AC786" i="2"/>
  <c r="AC778" i="2"/>
  <c r="AC770" i="2"/>
  <c r="AC762" i="2"/>
  <c r="AC754" i="2"/>
  <c r="AC746" i="2"/>
  <c r="AC738" i="2"/>
  <c r="AC730" i="2"/>
  <c r="AC722" i="2"/>
  <c r="AC714" i="2"/>
  <c r="AC706" i="2"/>
  <c r="AC698" i="2"/>
  <c r="AC690" i="2"/>
  <c r="AC682" i="2"/>
  <c r="AC674" i="2"/>
  <c r="AC666" i="2"/>
  <c r="AC658" i="2"/>
  <c r="AC650" i="2"/>
  <c r="AC642" i="2"/>
  <c r="AC634" i="2"/>
  <c r="AC1101" i="2"/>
  <c r="AC1048" i="2"/>
  <c r="AC1045" i="2"/>
  <c r="AC1039" i="2"/>
  <c r="AC1023" i="2"/>
  <c r="AC1013" i="2"/>
  <c r="AC1008" i="2"/>
  <c r="AC982" i="2"/>
  <c r="AC973" i="2"/>
  <c r="AC966" i="2"/>
  <c r="AC957" i="2"/>
  <c r="AC949" i="2"/>
  <c r="AC941" i="2"/>
  <c r="AC933" i="2"/>
  <c r="AC925" i="2"/>
  <c r="AC917" i="2"/>
  <c r="AC880" i="2"/>
  <c r="AC872" i="2"/>
  <c r="AC841" i="2"/>
  <c r="AC833" i="2"/>
  <c r="AC816" i="2"/>
  <c r="AC808" i="2"/>
  <c r="AC800" i="2"/>
  <c r="AC792" i="2"/>
  <c r="AC784" i="2"/>
  <c r="AC776" i="2"/>
  <c r="AC768" i="2"/>
  <c r="AC760" i="2"/>
  <c r="AC752" i="2"/>
  <c r="AC744" i="2"/>
  <c r="AC736" i="2"/>
  <c r="AC728" i="2"/>
  <c r="AC720" i="2"/>
  <c r="AC712" i="2"/>
  <c r="AC704" i="2"/>
  <c r="AC696" i="2"/>
  <c r="AC688" i="2"/>
  <c r="AC680" i="2"/>
  <c r="AC672" i="2"/>
  <c r="AC664" i="2"/>
  <c r="AC1088" i="2"/>
  <c r="AC1085" i="2"/>
  <c r="AC1069" i="2"/>
  <c r="AC1015" i="2"/>
  <c r="AC1005" i="2"/>
  <c r="AC1000" i="2"/>
  <c r="AC975" i="2"/>
  <c r="AC959" i="2"/>
  <c r="AC953" i="2"/>
  <c r="AC951" i="2"/>
  <c r="AC945" i="2"/>
  <c r="AC943" i="2"/>
  <c r="AC937" i="2"/>
  <c r="AC935" i="2"/>
  <c r="AC929" i="2"/>
  <c r="AC927" i="2"/>
  <c r="AC921" i="2"/>
  <c r="AC919" i="2"/>
  <c r="AC892" i="2"/>
  <c r="AC888" i="2"/>
  <c r="AC881" i="2"/>
  <c r="AC873" i="2"/>
  <c r="AC842" i="2"/>
  <c r="AC834" i="2"/>
  <c r="AC827" i="2"/>
  <c r="AC819" i="2"/>
  <c r="AC811" i="2"/>
  <c r="AC803" i="2"/>
  <c r="AC795" i="2"/>
  <c r="AC787" i="2"/>
  <c r="AC779" i="2"/>
  <c r="AC771" i="2"/>
  <c r="AC763" i="2"/>
  <c r="AC755" i="2"/>
  <c r="AC747" i="2"/>
  <c r="AC739" i="2"/>
  <c r="AC731" i="2"/>
  <c r="AC723" i="2"/>
  <c r="AC715" i="2"/>
  <c r="AC707" i="2"/>
  <c r="AC1205" i="2"/>
  <c r="AC1156" i="2"/>
  <c r="AC1107" i="2"/>
  <c r="AC1022" i="2"/>
  <c r="AC999" i="2"/>
  <c r="AC989" i="2"/>
  <c r="AC984" i="2"/>
  <c r="AC977" i="2"/>
  <c r="AC961" i="2"/>
  <c r="AC883" i="2"/>
  <c r="AC875" i="2"/>
  <c r="AC867" i="2"/>
  <c r="AC844" i="2"/>
  <c r="AC836" i="2"/>
  <c r="AC828" i="2"/>
  <c r="AC817" i="2"/>
  <c r="AC809" i="2"/>
  <c r="AC801" i="2"/>
  <c r="AC793" i="2"/>
  <c r="AC785" i="2"/>
  <c r="AC777" i="2"/>
  <c r="AC769" i="2"/>
  <c r="AC761" i="2"/>
  <c r="AC753" i="2"/>
  <c r="AC745" i="2"/>
  <c r="AC737" i="2"/>
  <c r="AC729" i="2"/>
  <c r="AC721" i="2"/>
  <c r="AC713" i="2"/>
  <c r="AC705" i="2"/>
  <c r="AC697" i="2"/>
  <c r="AC689" i="2"/>
  <c r="AC681" i="2"/>
  <c r="AC673" i="2"/>
  <c r="AC1047" i="2"/>
  <c r="AC1030" i="2"/>
  <c r="AC1021" i="2"/>
  <c r="AC891" i="2"/>
  <c r="AC879" i="2"/>
  <c r="AC835" i="2"/>
  <c r="AC789" i="2"/>
  <c r="AC766" i="2"/>
  <c r="AC725" i="2"/>
  <c r="AC887" i="2"/>
  <c r="AC843" i="2"/>
  <c r="AC814" i="2"/>
  <c r="AC773" i="2"/>
  <c r="AC750" i="2"/>
  <c r="AC709" i="2"/>
  <c r="AC702" i="2"/>
  <c r="AC699" i="2"/>
  <c r="AC693" i="2"/>
  <c r="AC653" i="2"/>
  <c r="AC651" i="2"/>
  <c r="AC626" i="2"/>
  <c r="AC618" i="2"/>
  <c r="AC610" i="2"/>
  <c r="AC602" i="2"/>
  <c r="AC594" i="2"/>
  <c r="AC586" i="2"/>
  <c r="AC578" i="2"/>
  <c r="AC570" i="2"/>
  <c r="AC562" i="2"/>
  <c r="AC554" i="2"/>
  <c r="AC546" i="2"/>
  <c r="AC538" i="2"/>
  <c r="AC1078" i="2"/>
  <c r="AC1016" i="2"/>
  <c r="AC806" i="2"/>
  <c r="AC765" i="2"/>
  <c r="AC742" i="2"/>
  <c r="AC1148" i="2"/>
  <c r="AC1144" i="2"/>
  <c r="AC1123" i="2"/>
  <c r="AC1053" i="2"/>
  <c r="AC990" i="2"/>
  <c r="AC821" i="2"/>
  <c r="AC798" i="2"/>
  <c r="AC757" i="2"/>
  <c r="AC734" i="2"/>
  <c r="AC1100" i="2"/>
  <c r="AC1062" i="2"/>
  <c r="AC969" i="2"/>
  <c r="AC866" i="2"/>
  <c r="AC813" i="2"/>
  <c r="AC790" i="2"/>
  <c r="AC749" i="2"/>
  <c r="AC726" i="2"/>
  <c r="AC701" i="2"/>
  <c r="AC665" i="2"/>
  <c r="AC662" i="2"/>
  <c r="AC657" i="2"/>
  <c r="AC648" i="2"/>
  <c r="AC627" i="2"/>
  <c r="AC619" i="2"/>
  <c r="AC611" i="2"/>
  <c r="AC603" i="2"/>
  <c r="AC595" i="2"/>
  <c r="AC587" i="2"/>
  <c r="AC579" i="2"/>
  <c r="AC571" i="2"/>
  <c r="AC563" i="2"/>
  <c r="AC555" i="2"/>
  <c r="AC547" i="2"/>
  <c r="AC1031" i="2"/>
  <c r="AC1007" i="2"/>
  <c r="AC871" i="2"/>
  <c r="AC805" i="2"/>
  <c r="AC782" i="2"/>
  <c r="AC741" i="2"/>
  <c r="AC718" i="2"/>
  <c r="AC670" i="2"/>
  <c r="AC667" i="2"/>
  <c r="AC659" i="2"/>
  <c r="AC630" i="2"/>
  <c r="AC622" i="2"/>
  <c r="AC614" i="2"/>
  <c r="AC606" i="2"/>
  <c r="AC598" i="2"/>
  <c r="AC590" i="2"/>
  <c r="AC582" i="2"/>
  <c r="AC574" i="2"/>
  <c r="AC566" i="2"/>
  <c r="AC558" i="2"/>
  <c r="AC550" i="2"/>
  <c r="AC542" i="2"/>
  <c r="AC1072" i="2"/>
  <c r="AC1056" i="2"/>
  <c r="AC997" i="2"/>
  <c r="AC968" i="2"/>
  <c r="AC874" i="2"/>
  <c r="AC832" i="2"/>
  <c r="AC797" i="2"/>
  <c r="AC774" i="2"/>
  <c r="AC733" i="2"/>
  <c r="AC710" i="2"/>
  <c r="AC694" i="2"/>
  <c r="AC691" i="2"/>
  <c r="AC685" i="2"/>
  <c r="AC654" i="2"/>
  <c r="AC645" i="2"/>
  <c r="AC639" i="2"/>
  <c r="AC637" i="2"/>
  <c r="AC625" i="2"/>
  <c r="AC617" i="2"/>
  <c r="AC609" i="2"/>
  <c r="AC601" i="2"/>
  <c r="AC593" i="2"/>
  <c r="AC585" i="2"/>
  <c r="AC577" i="2"/>
  <c r="AC569" i="2"/>
  <c r="AC561" i="2"/>
  <c r="AC553" i="2"/>
  <c r="AC545" i="2"/>
  <c r="AC537" i="2"/>
  <c r="AC675" i="2"/>
  <c r="AC633" i="2"/>
  <c r="AC567" i="2"/>
  <c r="AC564" i="2"/>
  <c r="AC541" i="2"/>
  <c r="AC539" i="2"/>
  <c r="AC530" i="2"/>
  <c r="AC522" i="2"/>
  <c r="AC514" i="2"/>
  <c r="AC840" i="2"/>
  <c r="AC781" i="2"/>
  <c r="AC758" i="2"/>
  <c r="AC638" i="2"/>
  <c r="AC635" i="2"/>
  <c r="AC551" i="2"/>
  <c r="AC548" i="2"/>
  <c r="AC528" i="2"/>
  <c r="AC520" i="2"/>
  <c r="AC512" i="2"/>
  <c r="AC482" i="2"/>
  <c r="AC474" i="2"/>
  <c r="AC466" i="2"/>
  <c r="AC435" i="2"/>
  <c r="AC427" i="2"/>
  <c r="AC882" i="2"/>
  <c r="AC669" i="2"/>
  <c r="AC661" i="2"/>
  <c r="AC641" i="2"/>
  <c r="AC543" i="2"/>
  <c r="AC540" i="2"/>
  <c r="AC536" i="2"/>
  <c r="AC531" i="2"/>
  <c r="AC523" i="2"/>
  <c r="AC515" i="2"/>
  <c r="AC483" i="2"/>
  <c r="AC475" i="2"/>
  <c r="AC467" i="2"/>
  <c r="AC677" i="2"/>
  <c r="AC632" i="2"/>
  <c r="AC629" i="2"/>
  <c r="AC624" i="2"/>
  <c r="AC621" i="2"/>
  <c r="AC616" i="2"/>
  <c r="AC613" i="2"/>
  <c r="AC608" i="2"/>
  <c r="AC605" i="2"/>
  <c r="AC600" i="2"/>
  <c r="AC597" i="2"/>
  <c r="AC592" i="2"/>
  <c r="AC589" i="2"/>
  <c r="AC584" i="2"/>
  <c r="AC581" i="2"/>
  <c r="AC1130" i="2"/>
  <c r="AC656" i="2"/>
  <c r="AC649" i="2"/>
  <c r="AC646" i="2"/>
  <c r="AC643" i="2"/>
  <c r="AC640" i="2"/>
  <c r="AC565" i="2"/>
  <c r="AC560" i="2"/>
  <c r="AC529" i="2"/>
  <c r="AC521" i="2"/>
  <c r="AC513" i="2"/>
  <c r="AC485" i="2"/>
  <c r="AC477" i="2"/>
  <c r="AC469" i="2"/>
  <c r="AC461" i="2"/>
  <c r="AC438" i="2"/>
  <c r="AC430" i="2"/>
  <c r="AC992" i="2"/>
  <c r="AC686" i="2"/>
  <c r="AC631" i="2"/>
  <c r="AC628" i="2"/>
  <c r="AC623" i="2"/>
  <c r="AC620" i="2"/>
  <c r="AC615" i="2"/>
  <c r="AC612" i="2"/>
  <c r="AC607" i="2"/>
  <c r="AC604" i="2"/>
  <c r="AC599" i="2"/>
  <c r="AC596" i="2"/>
  <c r="AC591" i="2"/>
  <c r="AC588" i="2"/>
  <c r="AC583" i="2"/>
  <c r="AC580" i="2"/>
  <c r="AC575" i="2"/>
  <c r="AC572" i="2"/>
  <c r="AC549" i="2"/>
  <c r="AC544" i="2"/>
  <c r="AC535" i="2"/>
  <c r="AC527" i="2"/>
  <c r="AC519" i="2"/>
  <c r="AC487" i="2"/>
  <c r="AC479" i="2"/>
  <c r="AC471" i="2"/>
  <c r="AC463" i="2"/>
  <c r="AC559" i="2"/>
  <c r="AC526" i="2"/>
  <c r="AC484" i="2"/>
  <c r="AC468" i="2"/>
  <c r="AC437" i="2"/>
  <c r="AC432" i="2"/>
  <c r="AC717" i="2"/>
  <c r="AC532" i="2"/>
  <c r="AC516" i="2"/>
  <c r="AC481" i="2"/>
  <c r="AC465" i="2"/>
  <c r="AC525" i="2"/>
  <c r="AC478" i="2"/>
  <c r="AC462" i="2"/>
  <c r="AC573" i="2"/>
  <c r="AC534" i="2"/>
  <c r="AC518" i="2"/>
  <c r="AC683" i="2"/>
  <c r="AC678" i="2"/>
  <c r="AC524" i="2"/>
  <c r="AC473" i="2"/>
  <c r="AC426" i="2"/>
  <c r="AC576" i="2"/>
  <c r="AC568" i="2"/>
  <c r="AC556" i="2"/>
  <c r="AC552" i="2"/>
  <c r="AC533" i="2"/>
  <c r="AC517" i="2"/>
  <c r="AC486" i="2"/>
  <c r="AC470" i="2"/>
  <c r="AC439" i="2"/>
  <c r="AC436" i="2"/>
  <c r="AC480" i="2"/>
  <c r="AC464" i="2"/>
  <c r="AC433" i="2"/>
  <c r="AC431" i="2"/>
  <c r="AC423" i="2"/>
  <c r="AC425" i="2"/>
  <c r="AC557" i="2"/>
  <c r="AC476" i="2"/>
  <c r="AC429" i="2"/>
  <c r="AC422" i="2"/>
  <c r="AC472" i="2"/>
  <c r="AC434" i="2"/>
  <c r="AC424" i="2"/>
  <c r="AC428" i="2"/>
  <c r="K427" i="2"/>
  <c r="K830" i="2"/>
  <c r="K1237" i="2"/>
  <c r="K1238" i="2" l="1"/>
  <c r="K428" i="2"/>
  <c r="K832" i="2"/>
  <c r="K831" i="2"/>
  <c r="AC822" i="2"/>
  <c r="AC1227" i="2"/>
  <c r="AC1632" i="2"/>
  <c r="K834" i="2" l="1"/>
  <c r="K833" i="2"/>
  <c r="K429" i="2"/>
  <c r="K1239" i="2"/>
  <c r="K835" i="2" l="1"/>
  <c r="K430" i="2"/>
  <c r="K1240" i="2"/>
  <c r="K433" i="2" l="1"/>
  <c r="K432" i="2"/>
  <c r="K431" i="2"/>
  <c r="K434" i="2"/>
  <c r="K1241" i="2"/>
  <c r="K435" i="2"/>
  <c r="K436" i="2"/>
  <c r="K836" i="2"/>
  <c r="K837" i="2" l="1"/>
  <c r="K838" i="2"/>
  <c r="K1242" i="2"/>
  <c r="K437" i="2"/>
  <c r="K438" i="2" l="1"/>
  <c r="K839" i="2"/>
  <c r="K1243" i="2"/>
  <c r="K1244" i="2" l="1"/>
  <c r="K439" i="2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40" i="2"/>
  <c r="K1245" i="2" l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841" i="2"/>
  <c r="K842" i="2" s="1"/>
  <c r="K843" i="2" s="1"/>
  <c r="K844" i="2" s="1"/>
  <c r="K845" i="2" s="1"/>
  <c r="K846" i="2" s="1"/>
  <c r="K847" i="2" s="1"/>
  <c r="K848" i="2" s="1"/>
  <c r="K857" i="2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849" i="2"/>
  <c r="K850" i="2" s="1"/>
  <c r="K851" i="2" s="1"/>
  <c r="K852" i="2" s="1"/>
  <c r="K853" i="2" s="1"/>
  <c r="K854" i="2" s="1"/>
  <c r="K855" i="2" s="1"/>
  <c r="K856" i="2" s="1"/>
  <c r="E8" i="5" l="1"/>
  <c r="E14" i="5"/>
  <c r="E9" i="5"/>
  <c r="E23" i="5"/>
  <c r="E20" i="5"/>
  <c r="E25" i="5"/>
  <c r="E26" i="5"/>
  <c r="E10" i="5"/>
  <c r="E22" i="5"/>
  <c r="E7" i="5"/>
  <c r="E15" i="5"/>
  <c r="E11" i="5"/>
  <c r="E13" i="5"/>
  <c r="E19" i="5"/>
  <c r="E27" i="5"/>
  <c r="E21" i="5"/>
  <c r="O21" i="2"/>
  <c r="W24" i="2"/>
  <c r="X29" i="2"/>
  <c r="M27" i="2"/>
  <c r="AE27" i="2" s="1"/>
  <c r="P20" i="2"/>
  <c r="R30" i="2"/>
  <c r="J17" i="2"/>
  <c r="Q30" i="2"/>
  <c r="R20" i="2"/>
  <c r="X22" i="2"/>
  <c r="T27" i="2"/>
  <c r="L31" i="2"/>
  <c r="J24" i="2"/>
  <c r="S26" i="2"/>
  <c r="J21" i="2"/>
  <c r="Y31" i="2"/>
  <c r="M19" i="2"/>
  <c r="AE19" i="2" s="1"/>
  <c r="Y20" i="2"/>
  <c r="M18" i="2"/>
  <c r="AE18" i="2" s="1"/>
  <c r="M24" i="2"/>
  <c r="AE24" i="2" s="1"/>
  <c r="N30" i="2"/>
  <c r="R19" i="2"/>
  <c r="AA23" i="2"/>
  <c r="O26" i="2"/>
  <c r="N29" i="2"/>
  <c r="N23" i="2"/>
  <c r="Q17" i="2"/>
  <c r="Z24" i="2"/>
  <c r="AA26" i="2"/>
  <c r="R22" i="2"/>
  <c r="O27" i="2"/>
  <c r="X27" i="2"/>
  <c r="M29" i="2"/>
  <c r="AE29" i="2" s="1"/>
  <c r="Q28" i="2"/>
  <c r="L26" i="2"/>
  <c r="P30" i="2"/>
  <c r="P23" i="2"/>
  <c r="J18" i="2"/>
  <c r="Q19" i="2"/>
  <c r="P31" i="2"/>
  <c r="W30" i="2"/>
  <c r="O23" i="2"/>
  <c r="P27" i="2"/>
  <c r="W19" i="2"/>
  <c r="AA19" i="2"/>
  <c r="R18" i="2"/>
  <c r="N21" i="2"/>
  <c r="N24" i="2"/>
  <c r="X17" i="2"/>
  <c r="L27" i="2"/>
  <c r="Z19" i="2"/>
  <c r="Y25" i="2"/>
  <c r="P17" i="2"/>
  <c r="P24" i="2"/>
  <c r="J28" i="2"/>
  <c r="J20" i="2"/>
  <c r="S17" i="2"/>
  <c r="N31" i="2"/>
  <c r="S24" i="2"/>
  <c r="O19" i="2"/>
  <c r="O29" i="2"/>
  <c r="Q26" i="2"/>
  <c r="X21" i="2"/>
  <c r="R26" i="2"/>
  <c r="Q20" i="2"/>
  <c r="W28" i="2"/>
  <c r="J23" i="2"/>
  <c r="AA17" i="2"/>
  <c r="X25" i="2"/>
  <c r="O17" i="2"/>
  <c r="U31" i="2"/>
  <c r="L25" i="2"/>
  <c r="P19" i="2"/>
  <c r="P29" i="2"/>
  <c r="L20" i="2"/>
  <c r="Z26" i="2"/>
  <c r="L29" i="2"/>
  <c r="L19" i="2"/>
  <c r="M20" i="2"/>
  <c r="AE20" i="2" s="1"/>
  <c r="U18" i="2"/>
  <c r="AF18" i="2" s="1"/>
  <c r="Z25" i="2"/>
  <c r="L21" i="2"/>
  <c r="AA20" i="2"/>
  <c r="T28" i="2"/>
  <c r="P22" i="2"/>
  <c r="R27" i="2"/>
  <c r="N19" i="2"/>
  <c r="W22" i="2"/>
  <c r="S30" i="2"/>
  <c r="Z31" i="2"/>
  <c r="M30" i="2"/>
  <c r="AE30" i="2" s="1"/>
  <c r="J22" i="2"/>
  <c r="Y24" i="2"/>
  <c r="S23" i="2"/>
  <c r="U29" i="2"/>
  <c r="AF29" i="2" s="1"/>
  <c r="R28" i="2"/>
  <c r="Q23" i="2"/>
  <c r="AA31" i="2"/>
  <c r="W21" i="2"/>
  <c r="AA21" i="2"/>
  <c r="Y27" i="2"/>
  <c r="O22" i="2"/>
  <c r="R29" i="2"/>
  <c r="P21" i="2"/>
  <c r="W18" i="2"/>
  <c r="Q18" i="2"/>
  <c r="L24" i="2"/>
  <c r="W17" i="2"/>
  <c r="R17" i="2"/>
  <c r="M21" i="2"/>
  <c r="AE21" i="2" s="1"/>
  <c r="M25" i="2"/>
  <c r="AE25" i="2" s="1"/>
  <c r="T17" i="2"/>
  <c r="M31" i="2"/>
  <c r="AE31" i="2" s="1"/>
  <c r="T18" i="2"/>
  <c r="P28" i="2"/>
  <c r="S29" i="2"/>
  <c r="R31" i="2"/>
  <c r="Y17" i="2"/>
  <c r="M23" i="2"/>
  <c r="AE23" i="2" s="1"/>
  <c r="O25" i="2"/>
  <c r="J31" i="2"/>
  <c r="T25" i="2"/>
  <c r="Y19" i="2"/>
  <c r="Q24" i="2"/>
  <c r="N25" i="2"/>
  <c r="Z23" i="2"/>
  <c r="X26" i="2"/>
  <c r="Q31" i="2"/>
  <c r="O18" i="2"/>
  <c r="U22" i="2"/>
  <c r="W25" i="2"/>
  <c r="S28" i="2"/>
  <c r="T21" i="2"/>
  <c r="Y23" i="2"/>
  <c r="N17" i="2"/>
  <c r="Z20" i="2"/>
  <c r="L23" i="2"/>
  <c r="S22" i="2"/>
  <c r="Y29" i="2"/>
  <c r="Z28" i="2"/>
  <c r="Y22" i="2"/>
  <c r="Q27" i="2"/>
  <c r="P18" i="2"/>
  <c r="M26" i="2"/>
  <c r="AE26" i="2" s="1"/>
  <c r="O20" i="2"/>
  <c r="U30" i="2"/>
  <c r="AF30" i="2" s="1"/>
  <c r="AA29" i="2"/>
  <c r="J25" i="2"/>
  <c r="L18" i="2"/>
  <c r="R25" i="2"/>
  <c r="T31" i="2"/>
  <c r="R21" i="2"/>
  <c r="T29" i="2"/>
  <c r="W31" i="2"/>
  <c r="AA30" i="2"/>
  <c r="U27" i="2"/>
  <c r="X18" i="2"/>
  <c r="O24" i="2"/>
  <c r="R32" i="2"/>
  <c r="AA24" i="2"/>
  <c r="S20" i="2"/>
  <c r="R24" i="2"/>
  <c r="Q32" i="2"/>
  <c r="Y21" i="2"/>
  <c r="U26" i="2"/>
  <c r="N26" i="2"/>
  <c r="X32" i="2"/>
  <c r="O33" i="2"/>
  <c r="X28" i="2"/>
  <c r="Q21" i="2"/>
  <c r="Z17" i="2"/>
  <c r="W29" i="2"/>
  <c r="W23" i="2"/>
  <c r="P32" i="2"/>
  <c r="Q25" i="2"/>
  <c r="P25" i="2"/>
  <c r="U23" i="2"/>
  <c r="AF23" i="2" s="1"/>
  <c r="AA25" i="2"/>
  <c r="J29" i="2"/>
  <c r="N22" i="2"/>
  <c r="M28" i="2"/>
  <c r="AE28" i="2" s="1"/>
  <c r="N18" i="2"/>
  <c r="X20" i="2"/>
  <c r="U19" i="2"/>
  <c r="AF19" i="2" s="1"/>
  <c r="S31" i="2"/>
  <c r="S18" i="2"/>
  <c r="N20" i="2"/>
  <c r="M22" i="2"/>
  <c r="AE22" i="2" s="1"/>
  <c r="U20" i="2"/>
  <c r="AF20" i="2" s="1"/>
  <c r="L30" i="2"/>
  <c r="T19" i="2"/>
  <c r="AA32" i="2"/>
  <c r="N28" i="2"/>
  <c r="R23" i="2"/>
  <c r="AA27" i="2"/>
  <c r="W27" i="2"/>
  <c r="Z29" i="2"/>
  <c r="Y28" i="2"/>
  <c r="T23" i="2"/>
  <c r="X19" i="2"/>
  <c r="O28" i="2"/>
  <c r="S21" i="2"/>
  <c r="Z27" i="2"/>
  <c r="Z18" i="2"/>
  <c r="L17" i="2"/>
  <c r="T26" i="2"/>
  <c r="R33" i="2"/>
  <c r="X23" i="2"/>
  <c r="S19" i="2"/>
  <c r="W26" i="2"/>
  <c r="Z21" i="2"/>
  <c r="Z22" i="2"/>
  <c r="AA18" i="2"/>
  <c r="U21" i="2"/>
  <c r="AF21" i="2" s="1"/>
  <c r="AA28" i="2"/>
  <c r="U17" i="2"/>
  <c r="AF17" i="2" s="1"/>
  <c r="T30" i="2"/>
  <c r="N32" i="2"/>
  <c r="N27" i="2"/>
  <c r="J26" i="2"/>
  <c r="U28" i="2"/>
  <c r="AF28" i="2" s="1"/>
  <c r="X30" i="2"/>
  <c r="S33" i="2"/>
  <c r="J30" i="2"/>
  <c r="O31" i="2"/>
  <c r="L22" i="2"/>
  <c r="X31" i="2"/>
  <c r="U24" i="2"/>
  <c r="Q29" i="2"/>
  <c r="Y30" i="2"/>
  <c r="T24" i="2"/>
  <c r="S25" i="2"/>
  <c r="T20" i="2"/>
  <c r="Z30" i="2"/>
  <c r="J19" i="2"/>
  <c r="T22" i="2"/>
  <c r="AA22" i="2"/>
  <c r="X24" i="2"/>
  <c r="O30" i="2"/>
  <c r="M17" i="2"/>
  <c r="L28" i="2"/>
  <c r="Q22" i="2"/>
  <c r="U25" i="2"/>
  <c r="AF25" i="2" s="1"/>
  <c r="J27" i="2"/>
  <c r="Y26" i="2"/>
  <c r="Y18" i="2"/>
  <c r="W20" i="2"/>
  <c r="P26" i="2"/>
  <c r="Y42" i="2"/>
  <c r="S27" i="2"/>
  <c r="T46" i="2"/>
  <c r="Z127" i="2"/>
  <c r="AA352" i="2"/>
  <c r="U75" i="2"/>
  <c r="L409" i="2"/>
  <c r="Z415" i="2"/>
  <c r="Z84" i="2"/>
  <c r="Z218" i="2"/>
  <c r="Z220" i="2"/>
  <c r="Z230" i="2"/>
  <c r="W304" i="2"/>
  <c r="N219" i="2"/>
  <c r="L116" i="2"/>
  <c r="T91" i="2"/>
  <c r="Z122" i="2"/>
  <c r="T102" i="2"/>
  <c r="J157" i="2"/>
  <c r="L246" i="2"/>
  <c r="J389" i="2"/>
  <c r="O290" i="2"/>
  <c r="X102" i="2"/>
  <c r="U129" i="2"/>
  <c r="AF129" i="2" s="1"/>
  <c r="M42" i="2"/>
  <c r="AE42" i="2" s="1"/>
  <c r="X224" i="2"/>
  <c r="O282" i="2"/>
  <c r="Z143" i="2"/>
  <c r="R179" i="2"/>
  <c r="N82" i="2"/>
  <c r="AA98" i="2"/>
  <c r="N40" i="2"/>
  <c r="Q276" i="2"/>
  <c r="W47" i="2"/>
  <c r="S316" i="2"/>
  <c r="W111" i="2"/>
  <c r="M362" i="2"/>
  <c r="AE362" i="2" s="1"/>
  <c r="AA278" i="2"/>
  <c r="T131" i="2"/>
  <c r="AA77" i="2"/>
  <c r="AA173" i="2"/>
  <c r="X325" i="2"/>
  <c r="M132" i="2"/>
  <c r="AE132" i="2" s="1"/>
  <c r="L363" i="2"/>
  <c r="Z348" i="2"/>
  <c r="N92" i="2"/>
  <c r="Z117" i="2"/>
  <c r="Q253" i="2"/>
  <c r="M237" i="2"/>
  <c r="AE237" i="2" s="1"/>
  <c r="O116" i="2"/>
  <c r="R138" i="2"/>
  <c r="S263" i="2"/>
  <c r="J56" i="2"/>
  <c r="U69" i="2"/>
  <c r="AA409" i="2"/>
  <c r="O228" i="2"/>
  <c r="X236" i="2"/>
  <c r="T100" i="2"/>
  <c r="W243" i="2"/>
  <c r="U162" i="2"/>
  <c r="X162" i="2"/>
  <c r="N71" i="2"/>
  <c r="J64" i="2"/>
  <c r="J267" i="2"/>
  <c r="M179" i="2"/>
  <c r="AE179" i="2" s="1"/>
  <c r="W102" i="2"/>
  <c r="T158" i="2"/>
  <c r="O69" i="2"/>
  <c r="J48" i="2"/>
  <c r="T95" i="2"/>
  <c r="AA168" i="2"/>
  <c r="S285" i="2"/>
  <c r="Q204" i="2"/>
  <c r="J213" i="2"/>
  <c r="AA314" i="2"/>
  <c r="O238" i="2"/>
  <c r="O198" i="2"/>
  <c r="Z201" i="2"/>
  <c r="X267" i="2"/>
  <c r="T132" i="2"/>
  <c r="N228" i="2"/>
  <c r="U277" i="2"/>
  <c r="Z191" i="2"/>
  <c r="R300" i="2"/>
  <c r="P67" i="2"/>
  <c r="W93" i="2"/>
  <c r="O85" i="2"/>
  <c r="W144" i="2"/>
  <c r="X290" i="2"/>
  <c r="R69" i="2"/>
  <c r="M199" i="2"/>
  <c r="AE199" i="2" s="1"/>
  <c r="S124" i="2"/>
  <c r="O50" i="2"/>
  <c r="AA196" i="2"/>
  <c r="U108" i="2"/>
  <c r="M119" i="2"/>
  <c r="AE119" i="2" s="1"/>
  <c r="R94" i="2"/>
  <c r="O98" i="2"/>
  <c r="R102" i="2"/>
  <c r="W165" i="2"/>
  <c r="M219" i="2"/>
  <c r="AE219" i="2" s="1"/>
  <c r="M192" i="2"/>
  <c r="AE192" i="2" s="1"/>
  <c r="Y313" i="2"/>
  <c r="J243" i="2"/>
  <c r="N268" i="2"/>
  <c r="R125" i="2"/>
  <c r="O114" i="2"/>
  <c r="O230" i="2"/>
  <c r="M197" i="2"/>
  <c r="AE197" i="2" s="1"/>
  <c r="S103" i="2"/>
  <c r="Y187" i="2"/>
  <c r="P406" i="2"/>
  <c r="R154" i="2"/>
  <c r="J394" i="2"/>
  <c r="J130" i="2"/>
  <c r="Y114" i="2"/>
  <c r="J88" i="2"/>
  <c r="J400" i="2"/>
  <c r="X142" i="2"/>
  <c r="Y224" i="2"/>
  <c r="J55" i="2"/>
  <c r="S166" i="2"/>
  <c r="P133" i="2"/>
  <c r="U181" i="2"/>
  <c r="P48" i="2"/>
  <c r="P248" i="2"/>
  <c r="U147" i="2"/>
  <c r="T299" i="2"/>
  <c r="R205" i="2"/>
  <c r="J261" i="2"/>
  <c r="L132" i="2"/>
  <c r="Q203" i="2"/>
  <c r="R188" i="2"/>
  <c r="AA239" i="2"/>
  <c r="T145" i="2"/>
  <c r="J159" i="2"/>
  <c r="R75" i="2"/>
  <c r="M174" i="2"/>
  <c r="AE174" i="2" s="1"/>
  <c r="J285" i="2"/>
  <c r="L263" i="2"/>
  <c r="S224" i="2"/>
  <c r="Z183" i="2"/>
  <c r="Y66" i="2"/>
  <c r="Y311" i="2"/>
  <c r="Z205" i="2"/>
  <c r="Y218" i="2"/>
  <c r="M87" i="2"/>
  <c r="AE87" i="2" s="1"/>
  <c r="T116" i="2"/>
  <c r="Z322" i="2"/>
  <c r="L139" i="2"/>
  <c r="T44" i="2"/>
  <c r="L62" i="2"/>
  <c r="R412" i="2"/>
  <c r="W280" i="2"/>
  <c r="L201" i="2"/>
  <c r="Z124" i="2"/>
  <c r="Q85" i="2"/>
  <c r="L112" i="2"/>
  <c r="M89" i="2"/>
  <c r="AE89" i="2" s="1"/>
  <c r="M70" i="2"/>
  <c r="AE70" i="2" s="1"/>
  <c r="T297" i="2"/>
  <c r="J230" i="2"/>
  <c r="Z222" i="2"/>
  <c r="M38" i="2"/>
  <c r="AE38" i="2" s="1"/>
  <c r="X160" i="2"/>
  <c r="P121" i="2"/>
  <c r="Q56" i="2"/>
  <c r="J375" i="2"/>
  <c r="AA58" i="2"/>
  <c r="R34" i="2"/>
  <c r="Y289" i="2"/>
  <c r="R221" i="2"/>
  <c r="Y307" i="2"/>
  <c r="Y120" i="2"/>
  <c r="R308" i="2"/>
  <c r="Z98" i="2"/>
  <c r="AA71" i="2"/>
  <c r="U320" i="2"/>
  <c r="R37" i="2"/>
  <c r="T97" i="2"/>
  <c r="O78" i="2"/>
  <c r="P218" i="2"/>
  <c r="W211" i="2"/>
  <c r="O89" i="2"/>
  <c r="P63" i="2"/>
  <c r="M58" i="2"/>
  <c r="AE58" i="2" s="1"/>
  <c r="U341" i="2"/>
  <c r="U350" i="2"/>
  <c r="Z177" i="2"/>
  <c r="Q188" i="2"/>
  <c r="S257" i="2"/>
  <c r="X105" i="2"/>
  <c r="S125" i="2"/>
  <c r="AA224" i="2"/>
  <c r="U233" i="2"/>
  <c r="L82" i="2"/>
  <c r="U149" i="2"/>
  <c r="L115" i="2"/>
  <c r="R200" i="2"/>
  <c r="X63" i="2"/>
  <c r="AA146" i="2"/>
  <c r="M74" i="2"/>
  <c r="AE74" i="2" s="1"/>
  <c r="S204" i="2"/>
  <c r="T174" i="2"/>
  <c r="R196" i="2"/>
  <c r="S167" i="2"/>
  <c r="L97" i="2"/>
  <c r="AA182" i="2"/>
  <c r="J50" i="2"/>
  <c r="N48" i="2"/>
  <c r="J37" i="2"/>
  <c r="J136" i="2"/>
  <c r="W181" i="2"/>
  <c r="X262" i="2"/>
  <c r="L169" i="2"/>
  <c r="X146" i="2"/>
  <c r="L52" i="2"/>
  <c r="Z194" i="2"/>
  <c r="M133" i="2"/>
  <c r="AE133" i="2" s="1"/>
  <c r="L76" i="2"/>
  <c r="N72" i="2"/>
  <c r="Z390" i="2"/>
  <c r="S163" i="2"/>
  <c r="P229" i="2"/>
  <c r="AA160" i="2"/>
  <c r="Y118" i="2"/>
  <c r="O120" i="2"/>
  <c r="O173" i="2"/>
  <c r="X128" i="2"/>
  <c r="Y43" i="2"/>
  <c r="S195" i="2"/>
  <c r="AA134" i="2"/>
  <c r="W305" i="2"/>
  <c r="Q321" i="2"/>
  <c r="W186" i="2"/>
  <c r="R223" i="2"/>
  <c r="W409" i="2"/>
  <c r="O164" i="2"/>
  <c r="L280" i="2"/>
  <c r="X176" i="2"/>
  <c r="S217" i="2"/>
  <c r="O414" i="2"/>
  <c r="M215" i="2"/>
  <c r="AE215" i="2" s="1"/>
  <c r="N207" i="2"/>
  <c r="U199" i="2"/>
  <c r="Y301" i="2"/>
  <c r="X158" i="2"/>
  <c r="W180" i="2"/>
  <c r="L214" i="2"/>
  <c r="Z359" i="2"/>
  <c r="T293" i="2"/>
  <c r="N204" i="2"/>
  <c r="N163" i="2"/>
  <c r="J183" i="2"/>
  <c r="J38" i="2"/>
  <c r="Y294" i="2"/>
  <c r="U414" i="2"/>
  <c r="N117" i="2"/>
  <c r="Y367" i="2"/>
  <c r="R407" i="2"/>
  <c r="AA411" i="2"/>
  <c r="X383" i="2"/>
  <c r="W397" i="2"/>
  <c r="N291" i="2"/>
  <c r="W384" i="2"/>
  <c r="Y88" i="2"/>
  <c r="M301" i="2"/>
  <c r="AE301" i="2" s="1"/>
  <c r="L339" i="2"/>
  <c r="Q374" i="2"/>
  <c r="S51" i="2"/>
  <c r="Y372" i="2"/>
  <c r="S340" i="2"/>
  <c r="Q402" i="2"/>
  <c r="AA294" i="2"/>
  <c r="Z116" i="2"/>
  <c r="W278" i="2"/>
  <c r="L235" i="2"/>
  <c r="Y362" i="2"/>
  <c r="X79" i="2"/>
  <c r="Y253" i="2"/>
  <c r="AA378" i="2"/>
  <c r="AA376" i="2"/>
  <c r="R411" i="2"/>
  <c r="L198" i="2"/>
  <c r="T292" i="2"/>
  <c r="R353" i="2"/>
  <c r="P405" i="2"/>
  <c r="L382" i="2"/>
  <c r="W205" i="2"/>
  <c r="N346" i="2"/>
  <c r="Z166" i="2"/>
  <c r="Y275" i="2"/>
  <c r="U310" i="2"/>
  <c r="O119" i="2"/>
  <c r="U40" i="2"/>
  <c r="Y49" i="2"/>
  <c r="P136" i="2"/>
  <c r="N266" i="2"/>
  <c r="T244" i="2"/>
  <c r="S138" i="2"/>
  <c r="N211" i="2"/>
  <c r="N205" i="2"/>
  <c r="AA97" i="2"/>
  <c r="Y305" i="2"/>
  <c r="L190" i="2"/>
  <c r="Y167" i="2"/>
  <c r="Y348" i="2"/>
  <c r="N209" i="2"/>
  <c r="R304" i="2"/>
  <c r="AA144" i="2"/>
  <c r="Z121" i="2"/>
  <c r="Y378" i="2"/>
  <c r="M107" i="2"/>
  <c r="AE107" i="2" s="1"/>
  <c r="L251" i="2"/>
  <c r="R167" i="2"/>
  <c r="W259" i="2"/>
  <c r="T89" i="2"/>
  <c r="L105" i="2"/>
  <c r="J59" i="2"/>
  <c r="L289" i="2"/>
  <c r="Q136" i="2"/>
  <c r="W396" i="2"/>
  <c r="AA216" i="2"/>
  <c r="O221" i="2"/>
  <c r="L74" i="2"/>
  <c r="S372" i="2"/>
  <c r="X400" i="2"/>
  <c r="J224" i="2"/>
  <c r="T408" i="2"/>
  <c r="T331" i="2"/>
  <c r="Y351" i="2"/>
  <c r="U400" i="2"/>
  <c r="O358" i="2"/>
  <c r="AA398" i="2"/>
  <c r="U177" i="2"/>
  <c r="R357" i="2"/>
  <c r="T394" i="2"/>
  <c r="O171" i="2"/>
  <c r="U33" i="2"/>
  <c r="Y260" i="2"/>
  <c r="M396" i="2"/>
  <c r="AE396" i="2" s="1"/>
  <c r="Q405" i="2"/>
  <c r="N290" i="2"/>
  <c r="O153" i="2"/>
  <c r="T294" i="2"/>
  <c r="U321" i="2"/>
  <c r="P380" i="2"/>
  <c r="U349" i="2"/>
  <c r="T340" i="2"/>
  <c r="Y303" i="2"/>
  <c r="Q399" i="2"/>
  <c r="M291" i="2"/>
  <c r="AE291" i="2" s="1"/>
  <c r="M366" i="2"/>
  <c r="AE366" i="2" s="1"/>
  <c r="M407" i="2"/>
  <c r="AE407" i="2" s="1"/>
  <c r="N222" i="2"/>
  <c r="Z403" i="2"/>
  <c r="L397" i="2"/>
  <c r="S65" i="2"/>
  <c r="J62" i="2"/>
  <c r="O56" i="2"/>
  <c r="P302" i="2"/>
  <c r="P100" i="2"/>
  <c r="Q340" i="2"/>
  <c r="J295" i="2"/>
  <c r="AA218" i="2"/>
  <c r="AA391" i="2"/>
  <c r="Y338" i="2"/>
  <c r="R218" i="2"/>
  <c r="AA277" i="2"/>
  <c r="Y336" i="2"/>
  <c r="N261" i="2"/>
  <c r="S325" i="2"/>
  <c r="Y412" i="2"/>
  <c r="R271" i="2"/>
  <c r="L405" i="2"/>
  <c r="X360" i="2"/>
  <c r="Q311" i="2"/>
  <c r="Z338" i="2"/>
  <c r="AA334" i="2"/>
  <c r="T373" i="2"/>
  <c r="X166" i="2"/>
  <c r="AA416" i="2"/>
  <c r="Q259" i="2"/>
  <c r="Z408" i="2"/>
  <c r="N409" i="2"/>
  <c r="Y410" i="2"/>
  <c r="Z334" i="2"/>
  <c r="S324" i="2"/>
  <c r="R216" i="2"/>
  <c r="S273" i="2"/>
  <c r="J332" i="2"/>
  <c r="Z288" i="2"/>
  <c r="M411" i="2"/>
  <c r="AE411" i="2" s="1"/>
  <c r="Q369" i="2"/>
  <c r="X384" i="2"/>
  <c r="S393" i="2"/>
  <c r="Q302" i="2"/>
  <c r="Y267" i="2"/>
  <c r="S416" i="2"/>
  <c r="U218" i="2"/>
  <c r="AF218" i="2" s="1"/>
  <c r="R118" i="2"/>
  <c r="W179" i="2"/>
  <c r="R181" i="2"/>
  <c r="N252" i="2"/>
  <c r="M72" i="2"/>
  <c r="AE72" i="2" s="1"/>
  <c r="T79" i="2"/>
  <c r="W161" i="2"/>
  <c r="S245" i="2"/>
  <c r="X133" i="2"/>
  <c r="Z244" i="2"/>
  <c r="P74" i="2"/>
  <c r="N58" i="2"/>
  <c r="T182" i="2"/>
  <c r="X285" i="2"/>
  <c r="Q158" i="2"/>
  <c r="T121" i="2"/>
  <c r="J94" i="2"/>
  <c r="AA119" i="2"/>
  <c r="U44" i="2"/>
  <c r="S98" i="2"/>
  <c r="T125" i="2"/>
  <c r="Z249" i="2"/>
  <c r="J228" i="2"/>
  <c r="Q230" i="2"/>
  <c r="L146" i="2"/>
  <c r="AA75" i="2"/>
  <c r="S74" i="2"/>
  <c r="Y201" i="2"/>
  <c r="Z243" i="2"/>
  <c r="S182" i="2"/>
  <c r="Q293" i="2"/>
  <c r="J363" i="2"/>
  <c r="N340" i="2"/>
  <c r="Z308" i="2"/>
  <c r="Y239" i="2"/>
  <c r="Z198" i="2"/>
  <c r="Z364" i="2"/>
  <c r="U347" i="2"/>
  <c r="Y369" i="2"/>
  <c r="T380" i="2"/>
  <c r="P403" i="2"/>
  <c r="R336" i="2"/>
  <c r="W191" i="2"/>
  <c r="L314" i="2"/>
  <c r="W222" i="2"/>
  <c r="U399" i="2"/>
  <c r="W292" i="2"/>
  <c r="Q404" i="2"/>
  <c r="S356" i="2"/>
  <c r="M313" i="2"/>
  <c r="AE313" i="2" s="1"/>
  <c r="AA384" i="2"/>
  <c r="Q108" i="2"/>
  <c r="N326" i="2"/>
  <c r="R274" i="2"/>
  <c r="Z358" i="2"/>
  <c r="J274" i="2"/>
  <c r="U260" i="2"/>
  <c r="AF260" i="2" s="1"/>
  <c r="Q287" i="2"/>
  <c r="T304" i="2"/>
  <c r="R248" i="2"/>
  <c r="R166" i="2"/>
  <c r="U415" i="2"/>
  <c r="R293" i="2"/>
  <c r="T374" i="2"/>
  <c r="Z416" i="2"/>
  <c r="R375" i="2"/>
  <c r="L156" i="2"/>
  <c r="Z258" i="2"/>
  <c r="Y279" i="2"/>
  <c r="L249" i="2"/>
  <c r="U67" i="2"/>
  <c r="R76" i="2"/>
  <c r="Z200" i="2"/>
  <c r="AA263" i="2"/>
  <c r="T115" i="2"/>
  <c r="Y399" i="2"/>
  <c r="P299" i="2"/>
  <c r="L80" i="2"/>
  <c r="U148" i="2"/>
  <c r="W145" i="2"/>
  <c r="J221" i="2"/>
  <c r="M270" i="2"/>
  <c r="AE270" i="2" s="1"/>
  <c r="N239" i="2"/>
  <c r="P89" i="2"/>
  <c r="M62" i="2"/>
  <c r="AE62" i="2" s="1"/>
  <c r="R100" i="2"/>
  <c r="T339" i="2"/>
  <c r="Q196" i="2"/>
  <c r="AA184" i="2"/>
  <c r="Z300" i="2"/>
  <c r="W184" i="2"/>
  <c r="AA89" i="2"/>
  <c r="R273" i="2"/>
  <c r="O138" i="2"/>
  <c r="Q150" i="2"/>
  <c r="AA195" i="2"/>
  <c r="Z232" i="2"/>
  <c r="M398" i="2"/>
  <c r="AE398" i="2" s="1"/>
  <c r="T200" i="2"/>
  <c r="Q255" i="2"/>
  <c r="Y170" i="2"/>
  <c r="S171" i="2"/>
  <c r="T253" i="2"/>
  <c r="T167" i="2"/>
  <c r="J251" i="2"/>
  <c r="W223" i="2"/>
  <c r="J175" i="2"/>
  <c r="W197" i="2"/>
  <c r="M52" i="2"/>
  <c r="AE52" i="2" s="1"/>
  <c r="Q58" i="2"/>
  <c r="Y95" i="2"/>
  <c r="Q90" i="2"/>
  <c r="N145" i="2"/>
  <c r="L256" i="2"/>
  <c r="W314" i="2"/>
  <c r="AA254" i="2"/>
  <c r="Z248" i="2"/>
  <c r="Z75" i="2"/>
  <c r="O73" i="2"/>
  <c r="J126" i="2"/>
  <c r="W394" i="2"/>
  <c r="U261" i="2"/>
  <c r="Y297" i="2"/>
  <c r="P171" i="2"/>
  <c r="P196" i="2"/>
  <c r="J34" i="2"/>
  <c r="O64" i="2"/>
  <c r="P134" i="2"/>
  <c r="R255" i="2"/>
  <c r="U155" i="2"/>
  <c r="O322" i="2"/>
  <c r="Q219" i="2"/>
  <c r="X275" i="2"/>
  <c r="L70" i="2"/>
  <c r="Z101" i="2"/>
  <c r="S49" i="2"/>
  <c r="S85" i="2"/>
  <c r="L306" i="2"/>
  <c r="M287" i="2"/>
  <c r="AE287" i="2" s="1"/>
  <c r="N303" i="2"/>
  <c r="T330" i="2"/>
  <c r="Y72" i="2"/>
  <c r="AA55" i="2"/>
  <c r="U82" i="2"/>
  <c r="Z255" i="2"/>
  <c r="Q235" i="2"/>
  <c r="S403" i="2"/>
  <c r="L51" i="2"/>
  <c r="AA253" i="2"/>
  <c r="Q117" i="2"/>
  <c r="S45" i="2"/>
  <c r="Q218" i="2"/>
  <c r="Q141" i="2"/>
  <c r="S237" i="2"/>
  <c r="R201" i="2"/>
  <c r="Q229" i="2"/>
  <c r="R71" i="2"/>
  <c r="R329" i="2"/>
  <c r="L304" i="2"/>
  <c r="R280" i="2"/>
  <c r="P263" i="2"/>
  <c r="P112" i="2"/>
  <c r="P139" i="2"/>
  <c r="Z138" i="2"/>
  <c r="AA79" i="2"/>
  <c r="Y325" i="2"/>
  <c r="J203" i="2"/>
  <c r="AA355" i="2"/>
  <c r="X56" i="2"/>
  <c r="Q160" i="2"/>
  <c r="X111" i="2"/>
  <c r="L53" i="2"/>
  <c r="O272" i="2"/>
  <c r="Q104" i="2"/>
  <c r="P392" i="2"/>
  <c r="N248" i="2"/>
  <c r="O140" i="2"/>
  <c r="L42" i="2"/>
  <c r="O51" i="2"/>
  <c r="L40" i="2"/>
  <c r="Q76" i="2"/>
  <c r="N244" i="2"/>
  <c r="Y125" i="2"/>
  <c r="Y213" i="2"/>
  <c r="U326" i="2"/>
  <c r="M75" i="2"/>
  <c r="AE75" i="2" s="1"/>
  <c r="AA87" i="2"/>
  <c r="P102" i="2"/>
  <c r="M241" i="2"/>
  <c r="AE241" i="2" s="1"/>
  <c r="X210" i="2"/>
  <c r="J362" i="2"/>
  <c r="N150" i="2"/>
  <c r="M47" i="2"/>
  <c r="AE47" i="2" s="1"/>
  <c r="J315" i="2"/>
  <c r="AA91" i="2"/>
  <c r="Q382" i="2"/>
  <c r="O355" i="2"/>
  <c r="Z147" i="2"/>
  <c r="N175" i="2"/>
  <c r="N185" i="2"/>
  <c r="Q143" i="2"/>
  <c r="AA150" i="2"/>
  <c r="O68" i="2"/>
  <c r="Z95" i="2"/>
  <c r="U104" i="2"/>
  <c r="N308" i="2"/>
  <c r="J164" i="2"/>
  <c r="Z48" i="2"/>
  <c r="X53" i="2"/>
  <c r="Z274" i="2"/>
  <c r="S235" i="2"/>
  <c r="N304" i="2"/>
  <c r="L125" i="2"/>
  <c r="O304" i="2"/>
  <c r="Q162" i="2"/>
  <c r="T220" i="2"/>
  <c r="Q260" i="2"/>
  <c r="Z131" i="2"/>
  <c r="M129" i="2"/>
  <c r="AE129" i="2" s="1"/>
  <c r="AA154" i="2"/>
  <c r="Z82" i="2"/>
  <c r="N80" i="2"/>
  <c r="J69" i="2"/>
  <c r="U298" i="2"/>
  <c r="U185" i="2"/>
  <c r="AA139" i="2"/>
  <c r="U395" i="2"/>
  <c r="AA297" i="2"/>
  <c r="N130" i="2"/>
  <c r="N403" i="2"/>
  <c r="Q192" i="2"/>
  <c r="AA126" i="2"/>
  <c r="R240" i="2"/>
  <c r="W154" i="2"/>
  <c r="Q71" i="2"/>
  <c r="P82" i="2"/>
  <c r="U72" i="2"/>
  <c r="AF72" i="2" s="1"/>
  <c r="O151" i="2"/>
  <c r="Z321" i="2"/>
  <c r="Q124" i="2"/>
  <c r="M401" i="2"/>
  <c r="AE401" i="2" s="1"/>
  <c r="R211" i="2"/>
  <c r="AA133" i="2"/>
  <c r="S148" i="2"/>
  <c r="J180" i="2"/>
  <c r="AA137" i="2"/>
  <c r="Y40" i="2"/>
  <c r="J90" i="2"/>
  <c r="O410" i="2"/>
  <c r="Z58" i="2"/>
  <c r="J234" i="2"/>
  <c r="O216" i="2"/>
  <c r="L157" i="2"/>
  <c r="X314" i="2"/>
  <c r="O214" i="2"/>
  <c r="Z180" i="2"/>
  <c r="Z372" i="2"/>
  <c r="U202" i="2"/>
  <c r="S293" i="2"/>
  <c r="O208" i="2"/>
  <c r="M376" i="2"/>
  <c r="AE376" i="2" s="1"/>
  <c r="L176" i="2"/>
  <c r="R153" i="2"/>
  <c r="J46" i="2"/>
  <c r="L250" i="2"/>
  <c r="AA387" i="2"/>
  <c r="Z280" i="2"/>
  <c r="W363" i="2"/>
  <c r="N61" i="2"/>
  <c r="S176" i="2"/>
  <c r="L264" i="2"/>
  <c r="P92" i="2"/>
  <c r="U215" i="2"/>
  <c r="R257" i="2"/>
  <c r="Z245" i="2"/>
  <c r="W99" i="2"/>
  <c r="T147" i="2"/>
  <c r="J133" i="2"/>
  <c r="X191" i="2"/>
  <c r="W82" i="2"/>
  <c r="N132" i="2"/>
  <c r="M299" i="2"/>
  <c r="AE299" i="2" s="1"/>
  <c r="M280" i="2"/>
  <c r="AE280" i="2" s="1"/>
  <c r="N159" i="2"/>
  <c r="U319" i="2"/>
  <c r="M69" i="2"/>
  <c r="AE69" i="2" s="1"/>
  <c r="U94" i="2"/>
  <c r="Y82" i="2"/>
  <c r="AA283" i="2"/>
  <c r="Q216" i="2"/>
  <c r="N251" i="2"/>
  <c r="P194" i="2"/>
  <c r="U223" i="2"/>
  <c r="AF223" i="2" s="1"/>
  <c r="X76" i="2"/>
  <c r="J158" i="2"/>
  <c r="N57" i="2"/>
  <c r="AA159" i="2"/>
  <c r="AA237" i="2"/>
  <c r="M248" i="2"/>
  <c r="AE248" i="2" s="1"/>
  <c r="Q128" i="2"/>
  <c r="R370" i="2"/>
  <c r="T184" i="2"/>
  <c r="O70" i="2"/>
  <c r="L356" i="2"/>
  <c r="Q132" i="2"/>
  <c r="Y366" i="2"/>
  <c r="X194" i="2"/>
  <c r="L254" i="2"/>
  <c r="Q39" i="2"/>
  <c r="L48" i="2"/>
  <c r="J87" i="2"/>
  <c r="P235" i="2"/>
  <c r="W267" i="2"/>
  <c r="X352" i="2"/>
  <c r="T92" i="2"/>
  <c r="P271" i="2"/>
  <c r="Z400" i="2"/>
  <c r="Q356" i="2"/>
  <c r="Q328" i="2"/>
  <c r="J311" i="2"/>
  <c r="N361" i="2"/>
  <c r="P376" i="2"/>
  <c r="X387" i="2"/>
  <c r="R358" i="2"/>
  <c r="P411" i="2"/>
  <c r="O347" i="2"/>
  <c r="P170" i="2"/>
  <c r="Q312" i="2"/>
  <c r="M304" i="2"/>
  <c r="AE304" i="2" s="1"/>
  <c r="R291" i="2"/>
  <c r="AA403" i="2"/>
  <c r="S382" i="2"/>
  <c r="O357" i="2"/>
  <c r="L305" i="2"/>
  <c r="X405" i="2"/>
  <c r="S101" i="2"/>
  <c r="T291" i="2"/>
  <c r="W357" i="2"/>
  <c r="Y302" i="2"/>
  <c r="Q224" i="2"/>
  <c r="Z265" i="2"/>
  <c r="W340" i="2"/>
  <c r="T306" i="2"/>
  <c r="Y401" i="2"/>
  <c r="J115" i="2"/>
  <c r="Z263" i="2"/>
  <c r="W410" i="2"/>
  <c r="L298" i="2"/>
  <c r="X74" i="2"/>
  <c r="N135" i="2"/>
  <c r="S303" i="2"/>
  <c r="X229" i="2"/>
  <c r="AA205" i="2"/>
  <c r="AA158" i="2"/>
  <c r="AA202" i="2"/>
  <c r="T217" i="2"/>
  <c r="X283" i="2"/>
  <c r="T318" i="2"/>
  <c r="R203" i="2"/>
  <c r="Y197" i="2"/>
  <c r="T33" i="2"/>
  <c r="J67" i="2"/>
  <c r="L41" i="2"/>
  <c r="Z257" i="2"/>
  <c r="S151" i="2"/>
  <c r="X208" i="2"/>
  <c r="L175" i="2"/>
  <c r="T53" i="2"/>
  <c r="U246" i="2"/>
  <c r="N151" i="2"/>
  <c r="S89" i="2"/>
  <c r="L300" i="2"/>
  <c r="X180" i="2"/>
  <c r="X137" i="2"/>
  <c r="Z42" i="2"/>
  <c r="M81" i="2"/>
  <c r="AE81" i="2" s="1"/>
  <c r="O225" i="2"/>
  <c r="L272" i="2"/>
  <c r="W169" i="2"/>
  <c r="AA131" i="2"/>
  <c r="X181" i="2"/>
  <c r="N284" i="2"/>
  <c r="L325" i="2"/>
  <c r="Y408" i="2"/>
  <c r="W168" i="2"/>
  <c r="X284" i="2"/>
  <c r="M260" i="2"/>
  <c r="AE260" i="2" s="1"/>
  <c r="O231" i="2"/>
  <c r="M364" i="2"/>
  <c r="AE364" i="2" s="1"/>
  <c r="Q270" i="2"/>
  <c r="P325" i="2"/>
  <c r="M356" i="2"/>
  <c r="AE356" i="2" s="1"/>
  <c r="M296" i="2"/>
  <c r="AE296" i="2" s="1"/>
  <c r="T357" i="2"/>
  <c r="S299" i="2"/>
  <c r="X374" i="2"/>
  <c r="U392" i="2"/>
  <c r="AF392" i="2" s="1"/>
  <c r="R393" i="2"/>
  <c r="Y383" i="2"/>
  <c r="U322" i="2"/>
  <c r="S415" i="2"/>
  <c r="T137" i="2"/>
  <c r="W294" i="2"/>
  <c r="U212" i="2"/>
  <c r="AA407" i="2"/>
  <c r="N294" i="2"/>
  <c r="R262" i="2"/>
  <c r="N327" i="2"/>
  <c r="J397" i="2"/>
  <c r="Y411" i="2"/>
  <c r="S301" i="2"/>
  <c r="W130" i="2"/>
  <c r="O280" i="2"/>
  <c r="Z125" i="2"/>
  <c r="P154" i="2"/>
  <c r="O289" i="2"/>
  <c r="O177" i="2"/>
  <c r="L337" i="2"/>
  <c r="T188" i="2"/>
  <c r="O275" i="2"/>
  <c r="M151" i="2"/>
  <c r="AE151" i="2" s="1"/>
  <c r="L178" i="2"/>
  <c r="Y67" i="2"/>
  <c r="R62" i="2"/>
  <c r="L58" i="2"/>
  <c r="L398" i="2"/>
  <c r="W219" i="2"/>
  <c r="Z315" i="2"/>
  <c r="O309" i="2"/>
  <c r="M249" i="2"/>
  <c r="AE249" i="2" s="1"/>
  <c r="AA94" i="2"/>
  <c r="T270" i="2"/>
  <c r="Y165" i="2"/>
  <c r="O132" i="2"/>
  <c r="W248" i="2"/>
  <c r="AA213" i="2"/>
  <c r="P230" i="2"/>
  <c r="W212" i="2"/>
  <c r="X71" i="2"/>
  <c r="U39" i="2"/>
  <c r="AF39" i="2" s="1"/>
  <c r="X35" i="2"/>
  <c r="Q376" i="2"/>
  <c r="Q161" i="2"/>
  <c r="N256" i="2"/>
  <c r="X173" i="2"/>
  <c r="S213" i="2"/>
  <c r="X153" i="2"/>
  <c r="W129" i="2"/>
  <c r="L50" i="2"/>
  <c r="T124" i="2"/>
  <c r="P281" i="2"/>
  <c r="Q314" i="2"/>
  <c r="Y91" i="2"/>
  <c r="S247" i="2"/>
  <c r="W116" i="2"/>
  <c r="U56" i="2"/>
  <c r="M290" i="2"/>
  <c r="AE290" i="2" s="1"/>
  <c r="P310" i="2"/>
  <c r="AA140" i="2"/>
  <c r="W200" i="2"/>
  <c r="X270" i="2"/>
  <c r="R126" i="2"/>
  <c r="X88" i="2"/>
  <c r="T36" i="2"/>
  <c r="W32" i="2"/>
  <c r="N342" i="2"/>
  <c r="S214" i="2"/>
  <c r="R229" i="2"/>
  <c r="J317" i="2"/>
  <c r="Q201" i="2"/>
  <c r="Y182" i="2"/>
  <c r="U150" i="2"/>
  <c r="W121" i="2"/>
  <c r="N113" i="2"/>
  <c r="M213" i="2"/>
  <c r="AE213" i="2" s="1"/>
  <c r="S135" i="2"/>
  <c r="R225" i="2"/>
  <c r="W270" i="2"/>
  <c r="O181" i="2"/>
  <c r="Z316" i="2"/>
  <c r="Y242" i="2"/>
  <c r="AA381" i="2"/>
  <c r="Q123" i="2"/>
  <c r="Y211" i="2"/>
  <c r="U194" i="2"/>
  <c r="L114" i="2"/>
  <c r="Z291" i="2"/>
  <c r="Q184" i="2"/>
  <c r="R115" i="2"/>
  <c r="Y144" i="2"/>
  <c r="Q169" i="2"/>
  <c r="P153" i="2"/>
  <c r="P108" i="2"/>
  <c r="P145" i="2"/>
  <c r="Z246" i="2"/>
  <c r="W136" i="2"/>
  <c r="X277" i="2"/>
  <c r="O99" i="2"/>
  <c r="Q190" i="2"/>
  <c r="M110" i="2"/>
  <c r="AE110" i="2" s="1"/>
  <c r="L299" i="2"/>
  <c r="T228" i="2"/>
  <c r="J198" i="2"/>
  <c r="P210" i="2"/>
  <c r="Z99" i="2"/>
  <c r="O241" i="2"/>
  <c r="U106" i="2"/>
  <c r="M145" i="2"/>
  <c r="AE145" i="2" s="1"/>
  <c r="U140" i="2"/>
  <c r="S256" i="2"/>
  <c r="P172" i="2"/>
  <c r="J151" i="2"/>
  <c r="M64" i="2"/>
  <c r="AE64" i="2" s="1"/>
  <c r="W85" i="2"/>
  <c r="Z86" i="2"/>
  <c r="U166" i="2"/>
  <c r="X93" i="2"/>
  <c r="AA179" i="2"/>
  <c r="J127" i="2"/>
  <c r="U371" i="2"/>
  <c r="AF371" i="2" s="1"/>
  <c r="Z130" i="2"/>
  <c r="Z254" i="2"/>
  <c r="M170" i="2"/>
  <c r="AE170" i="2" s="1"/>
  <c r="S206" i="2"/>
  <c r="W128" i="2"/>
  <c r="X165" i="2"/>
  <c r="U47" i="2"/>
  <c r="M44" i="2"/>
  <c r="AE44" i="2" s="1"/>
  <c r="Q38" i="2"/>
  <c r="U35" i="2"/>
  <c r="Q170" i="2"/>
  <c r="U282" i="2"/>
  <c r="O325" i="2"/>
  <c r="R238" i="2"/>
  <c r="M88" i="2"/>
  <c r="AE88" i="2" s="1"/>
  <c r="Q80" i="2"/>
  <c r="AA36" i="2"/>
  <c r="R284" i="2"/>
  <c r="M113" i="2"/>
  <c r="AE113" i="2" s="1"/>
  <c r="O220" i="2"/>
  <c r="N198" i="2"/>
  <c r="Y154" i="2"/>
  <c r="Z68" i="2"/>
  <c r="Y344" i="2"/>
  <c r="Q362" i="2"/>
  <c r="O400" i="2"/>
  <c r="L228" i="2"/>
  <c r="P388" i="2"/>
  <c r="J95" i="2"/>
  <c r="S240" i="2"/>
  <c r="Z173" i="2"/>
  <c r="W100" i="2"/>
  <c r="T345" i="2"/>
  <c r="X189" i="2"/>
  <c r="R170" i="2"/>
  <c r="O371" i="2"/>
  <c r="Z206" i="2"/>
  <c r="W140" i="2"/>
  <c r="Y347" i="2"/>
  <c r="J194" i="2"/>
  <c r="L266" i="2"/>
  <c r="O193" i="2"/>
  <c r="R241" i="2"/>
  <c r="J71" i="2"/>
  <c r="X159" i="2"/>
  <c r="N81" i="2"/>
  <c r="T85" i="2"/>
  <c r="O326" i="2"/>
  <c r="AA166" i="2"/>
  <c r="J121" i="2"/>
  <c r="R136" i="2"/>
  <c r="T196" i="2"/>
  <c r="M207" i="2"/>
  <c r="AE207" i="2" s="1"/>
  <c r="R45" i="2"/>
  <c r="N178" i="2"/>
  <c r="T127" i="2"/>
  <c r="W34" i="2"/>
  <c r="R190" i="2"/>
  <c r="N393" i="2"/>
  <c r="M222" i="2"/>
  <c r="AE222" i="2" s="1"/>
  <c r="P62" i="2"/>
  <c r="O113" i="2"/>
  <c r="O37" i="2"/>
  <c r="AA252" i="2"/>
  <c r="T252" i="2"/>
  <c r="P331" i="2"/>
  <c r="Z281" i="2"/>
  <c r="J226" i="2"/>
  <c r="Z164" i="2"/>
  <c r="Z154" i="2"/>
  <c r="AA324" i="2"/>
  <c r="Q115" i="2"/>
  <c r="T104" i="2"/>
  <c r="T130" i="2"/>
  <c r="W108" i="2"/>
  <c r="AA304" i="2"/>
  <c r="W215" i="2"/>
  <c r="L238" i="2"/>
  <c r="L106" i="2"/>
  <c r="Y97" i="2"/>
  <c r="Z90" i="2"/>
  <c r="N134" i="2"/>
  <c r="Q91" i="2"/>
  <c r="U175" i="2"/>
  <c r="Q177" i="2"/>
  <c r="O76" i="2"/>
  <c r="Z41" i="2"/>
  <c r="O34" i="2"/>
  <c r="P44" i="2"/>
  <c r="R67" i="2"/>
  <c r="Q156" i="2"/>
  <c r="P349" i="2"/>
  <c r="R359" i="2"/>
  <c r="U93" i="2"/>
  <c r="Y228" i="2"/>
  <c r="R110" i="2"/>
  <c r="U348" i="2"/>
  <c r="AF348" i="2" s="1"/>
  <c r="S384" i="2"/>
  <c r="J79" i="2"/>
  <c r="O163" i="2"/>
  <c r="T232" i="2"/>
  <c r="R77" i="2"/>
  <c r="M239" i="2"/>
  <c r="AE239" i="2" s="1"/>
  <c r="P262" i="2"/>
  <c r="S210" i="2"/>
  <c r="S69" i="2"/>
  <c r="U152" i="2"/>
  <c r="Q392" i="2"/>
  <c r="Y130" i="2"/>
  <c r="J345" i="2"/>
  <c r="R322" i="2"/>
  <c r="X218" i="2"/>
  <c r="M155" i="2"/>
  <c r="AE155" i="2" s="1"/>
  <c r="S157" i="2"/>
  <c r="U38" i="2"/>
  <c r="J119" i="2"/>
  <c r="L142" i="2"/>
  <c r="L301" i="2"/>
  <c r="N243" i="2"/>
  <c r="N193" i="2"/>
  <c r="R159" i="2"/>
  <c r="W235" i="2"/>
  <c r="R162" i="2"/>
  <c r="Y178" i="2"/>
  <c r="AA127" i="2"/>
  <c r="AA123" i="2"/>
  <c r="W150" i="2"/>
  <c r="X151" i="2"/>
  <c r="P228" i="2"/>
  <c r="L278" i="2"/>
  <c r="P329" i="2"/>
  <c r="AA249" i="2"/>
  <c r="Y204" i="2"/>
  <c r="T338" i="2"/>
  <c r="T379" i="2"/>
  <c r="N316" i="2"/>
  <c r="AA210" i="2"/>
  <c r="M386" i="2"/>
  <c r="AE386" i="2" s="1"/>
  <c r="W295" i="2"/>
  <c r="X386" i="2"/>
  <c r="P394" i="2"/>
  <c r="L290" i="2"/>
  <c r="S402" i="2"/>
  <c r="O293" i="2"/>
  <c r="T406" i="2"/>
  <c r="W232" i="2"/>
  <c r="U252" i="2"/>
  <c r="L211" i="2"/>
  <c r="W332" i="2"/>
  <c r="S383" i="2"/>
  <c r="P249" i="2"/>
  <c r="J313" i="2"/>
  <c r="Z325" i="2"/>
  <c r="M338" i="2"/>
  <c r="AE338" i="2" s="1"/>
  <c r="U408" i="2"/>
  <c r="L412" i="2"/>
  <c r="O200" i="2"/>
  <c r="O369" i="2"/>
  <c r="Y316" i="2"/>
  <c r="L313" i="2"/>
  <c r="Q342" i="2"/>
  <c r="M100" i="2"/>
  <c r="AE100" i="2" s="1"/>
  <c r="N400" i="2"/>
  <c r="M354" i="2"/>
  <c r="AE354" i="2" s="1"/>
  <c r="Y248" i="2"/>
  <c r="N125" i="2"/>
  <c r="N133" i="2"/>
  <c r="W74" i="2"/>
  <c r="Z53" i="2"/>
  <c r="R35" i="2"/>
  <c r="O145" i="2"/>
  <c r="S264" i="2"/>
  <c r="AA235" i="2"/>
  <c r="S134" i="2"/>
  <c r="AA185" i="2"/>
  <c r="O155" i="2"/>
  <c r="T67" i="2"/>
  <c r="U109" i="2"/>
  <c r="Y127" i="2"/>
  <c r="L242" i="2"/>
  <c r="T117" i="2"/>
  <c r="Z241" i="2"/>
  <c r="J86" i="2"/>
  <c r="L165" i="2"/>
  <c r="O92" i="2"/>
  <c r="AA85" i="2"/>
  <c r="J99" i="2"/>
  <c r="N49" i="2"/>
  <c r="S179" i="2"/>
  <c r="M202" i="2"/>
  <c r="AE202" i="2" s="1"/>
  <c r="W194" i="2"/>
  <c r="W193" i="2"/>
  <c r="M246" i="2"/>
  <c r="AE246" i="2" s="1"/>
  <c r="Z104" i="2"/>
  <c r="M118" i="2"/>
  <c r="AE118" i="2" s="1"/>
  <c r="Z152" i="2"/>
  <c r="X51" i="2"/>
  <c r="Q46" i="2"/>
  <c r="X38" i="2"/>
  <c r="Q175" i="2"/>
  <c r="N272" i="2"/>
  <c r="J179" i="2"/>
  <c r="P162" i="2"/>
  <c r="Y190" i="2"/>
  <c r="L362" i="2"/>
  <c r="T250" i="2"/>
  <c r="T311" i="2"/>
  <c r="R149" i="2"/>
  <c r="AA322" i="2"/>
  <c r="W375" i="2"/>
  <c r="Y342" i="2"/>
  <c r="X315" i="2"/>
  <c r="S373" i="2"/>
  <c r="L261" i="2"/>
  <c r="P412" i="2"/>
  <c r="Q332" i="2"/>
  <c r="P407" i="2"/>
  <c r="P245" i="2"/>
  <c r="W253" i="2"/>
  <c r="N260" i="2"/>
  <c r="N367" i="2"/>
  <c r="X397" i="2"/>
  <c r="P341" i="2"/>
  <c r="J359" i="2"/>
  <c r="M383" i="2"/>
  <c r="AE383" i="2" s="1"/>
  <c r="T372" i="2"/>
  <c r="U306" i="2"/>
  <c r="Y203" i="2"/>
  <c r="X239" i="2"/>
  <c r="N385" i="2"/>
  <c r="O415" i="2"/>
  <c r="J286" i="2"/>
  <c r="S375" i="2"/>
  <c r="S174" i="2"/>
  <c r="P239" i="2"/>
  <c r="W366" i="2"/>
  <c r="AA319" i="2"/>
  <c r="T151" i="2"/>
  <c r="T193" i="2"/>
  <c r="J77" i="2"/>
  <c r="P117" i="2"/>
  <c r="AA320" i="2"/>
  <c r="X216" i="2"/>
  <c r="R290" i="2"/>
  <c r="S164" i="2"/>
  <c r="W207" i="2"/>
  <c r="L388" i="2"/>
  <c r="L364" i="2"/>
  <c r="AA340" i="2"/>
  <c r="Y268" i="2"/>
  <c r="W386" i="2"/>
  <c r="R380" i="2"/>
  <c r="S298" i="2"/>
  <c r="M212" i="2"/>
  <c r="AE212" i="2" s="1"/>
  <c r="R348" i="2"/>
  <c r="S288" i="2"/>
  <c r="U183" i="2"/>
  <c r="J408" i="2"/>
  <c r="W241" i="2"/>
  <c r="S346" i="2"/>
  <c r="AA358" i="2"/>
  <c r="N263" i="2"/>
  <c r="W333" i="2"/>
  <c r="M328" i="2"/>
  <c r="AE328" i="2" s="1"/>
  <c r="M370" i="2"/>
  <c r="AE370" i="2" s="1"/>
  <c r="Z260" i="2"/>
  <c r="M331" i="2"/>
  <c r="AE331" i="2" s="1"/>
  <c r="Z317" i="2"/>
  <c r="O327" i="2"/>
  <c r="X375" i="2"/>
  <c r="T159" i="2"/>
  <c r="O328" i="2"/>
  <c r="S404" i="2"/>
  <c r="P357" i="2"/>
  <c r="R320" i="2"/>
  <c r="T411" i="2"/>
  <c r="M409" i="2"/>
  <c r="AE409" i="2" s="1"/>
  <c r="X308" i="2"/>
  <c r="R74" i="2"/>
  <c r="X330" i="2"/>
  <c r="T155" i="2"/>
  <c r="W348" i="2"/>
  <c r="L377" i="2"/>
  <c r="Y39" i="2"/>
  <c r="R324" i="2"/>
  <c r="Q212" i="2"/>
  <c r="U70" i="2"/>
  <c r="N124" i="2"/>
  <c r="T195" i="2"/>
  <c r="U278" i="2"/>
  <c r="J260" i="2"/>
  <c r="N154" i="2"/>
  <c r="W77" i="2"/>
  <c r="P152" i="2"/>
  <c r="T134" i="2"/>
  <c r="N270" i="2"/>
  <c r="O174" i="2"/>
  <c r="R258" i="2"/>
  <c r="M94" i="2"/>
  <c r="AE94" i="2" s="1"/>
  <c r="Y415" i="2"/>
  <c r="Q226" i="2"/>
  <c r="AA191" i="2"/>
  <c r="S338" i="2"/>
  <c r="M120" i="2"/>
  <c r="AE120" i="2" s="1"/>
  <c r="M116" i="2"/>
  <c r="AE116" i="2" s="1"/>
  <c r="AA108" i="2"/>
  <c r="R101" i="2"/>
  <c r="Y87" i="2"/>
  <c r="Z385" i="2"/>
  <c r="Y341" i="2"/>
  <c r="U311" i="2"/>
  <c r="AF311" i="2" s="1"/>
  <c r="O232" i="2"/>
  <c r="S194" i="2"/>
  <c r="L335" i="2"/>
  <c r="L391" i="2"/>
  <c r="W230" i="2"/>
  <c r="S270" i="2"/>
  <c r="W342" i="2"/>
  <c r="J379" i="2"/>
  <c r="J368" i="2"/>
  <c r="O318" i="2"/>
  <c r="J414" i="2"/>
  <c r="U370" i="2"/>
  <c r="Q182" i="2"/>
  <c r="T400" i="2"/>
  <c r="P320" i="2"/>
  <c r="P223" i="2"/>
  <c r="U228" i="2"/>
  <c r="AF228" i="2" s="1"/>
  <c r="Z279" i="2"/>
  <c r="S175" i="2"/>
  <c r="P404" i="2"/>
  <c r="R330" i="2"/>
  <c r="J212" i="2"/>
  <c r="L326" i="2"/>
  <c r="P335" i="2"/>
  <c r="L399" i="2"/>
  <c r="O217" i="2"/>
  <c r="T290" i="2"/>
  <c r="Y223" i="2"/>
  <c r="L239" i="2"/>
  <c r="Y328" i="2"/>
  <c r="X299" i="2"/>
  <c r="O350" i="2"/>
  <c r="M412" i="2"/>
  <c r="AE412" i="2" s="1"/>
  <c r="P309" i="2"/>
  <c r="W42" i="2"/>
  <c r="S116" i="2"/>
  <c r="R281" i="2"/>
  <c r="T344" i="2"/>
  <c r="P365" i="2"/>
  <c r="P150" i="2"/>
  <c r="P193" i="2"/>
  <c r="J108" i="2"/>
  <c r="N99" i="2"/>
  <c r="X89" i="2"/>
  <c r="Y215" i="2"/>
  <c r="S272" i="2"/>
  <c r="O245" i="2"/>
  <c r="T218" i="2"/>
  <c r="T211" i="2"/>
  <c r="Z109" i="2"/>
  <c r="X68" i="2"/>
  <c r="AA61" i="2"/>
  <c r="L274" i="2"/>
  <c r="U288" i="2"/>
  <c r="L297" i="2"/>
  <c r="Z214" i="2"/>
  <c r="M123" i="2"/>
  <c r="AE123" i="2" s="1"/>
  <c r="U107" i="2"/>
  <c r="N122" i="2"/>
  <c r="N223" i="2"/>
  <c r="P200" i="2"/>
  <c r="P186" i="2"/>
  <c r="O192" i="2"/>
  <c r="P212" i="2"/>
  <c r="O157" i="2"/>
  <c r="M35" i="2"/>
  <c r="AE35" i="2" s="1"/>
  <c r="AA93" i="2"/>
  <c r="P68" i="2"/>
  <c r="U230" i="2"/>
  <c r="Q249" i="2"/>
  <c r="N148" i="2"/>
  <c r="N235" i="2"/>
  <c r="T329" i="2"/>
  <c r="R47" i="2"/>
  <c r="N230" i="2"/>
  <c r="X251" i="2"/>
  <c r="N116" i="2"/>
  <c r="W255" i="2"/>
  <c r="T138" i="2"/>
  <c r="T162" i="2"/>
  <c r="AA147" i="2"/>
  <c r="J240" i="2"/>
  <c r="P119" i="2"/>
  <c r="L205" i="2"/>
  <c r="O79" i="2"/>
  <c r="Z118" i="2"/>
  <c r="O249" i="2"/>
  <c r="W90" i="2"/>
  <c r="J192" i="2"/>
  <c r="P402" i="2"/>
  <c r="N258" i="2"/>
  <c r="T139" i="2"/>
  <c r="AA292" i="2"/>
  <c r="O107" i="2"/>
  <c r="Q101" i="2"/>
  <c r="T335" i="2"/>
  <c r="Z139" i="2"/>
  <c r="U290" i="2"/>
  <c r="Y278" i="2"/>
  <c r="T179" i="2"/>
  <c r="S184" i="2"/>
  <c r="M315" i="2"/>
  <c r="AE315" i="2" s="1"/>
  <c r="M77" i="2"/>
  <c r="AE77" i="2" s="1"/>
  <c r="P323" i="2"/>
  <c r="O278" i="2"/>
  <c r="M336" i="2"/>
  <c r="AE336" i="2" s="1"/>
  <c r="L194" i="2"/>
  <c r="T266" i="2"/>
  <c r="R169" i="2"/>
  <c r="W133" i="2"/>
  <c r="J74" i="2"/>
  <c r="X328" i="2"/>
  <c r="AA312" i="2"/>
  <c r="X209" i="2"/>
  <c r="J271" i="2"/>
  <c r="AA208" i="2"/>
  <c r="W132" i="2"/>
  <c r="J111" i="2"/>
  <c r="Y308" i="2"/>
  <c r="J128" i="2"/>
  <c r="P301" i="2"/>
  <c r="AA163" i="2"/>
  <c r="S304" i="2"/>
  <c r="U255" i="2"/>
  <c r="M141" i="2"/>
  <c r="AE141" i="2" s="1"/>
  <c r="J152" i="2"/>
  <c r="S335" i="2"/>
  <c r="U159" i="2"/>
  <c r="R334" i="2"/>
  <c r="N194" i="2"/>
  <c r="S140" i="2"/>
  <c r="S32" i="2"/>
  <c r="N229" i="2"/>
  <c r="R406" i="2"/>
  <c r="S178" i="2"/>
  <c r="O185" i="2"/>
  <c r="Z161" i="2"/>
  <c r="P189" i="2"/>
  <c r="S107" i="2"/>
  <c r="X143" i="2"/>
  <c r="N39" i="2"/>
  <c r="R228" i="2"/>
  <c r="J237" i="2"/>
  <c r="J323" i="2"/>
  <c r="P60" i="2"/>
  <c r="W265" i="2"/>
  <c r="S327" i="2"/>
  <c r="W68" i="2"/>
  <c r="U178" i="2"/>
  <c r="AF178" i="2" s="1"/>
  <c r="X101" i="2"/>
  <c r="X293" i="2"/>
  <c r="Y230" i="2"/>
  <c r="L222" i="2"/>
  <c r="R215" i="2"/>
  <c r="W73" i="2"/>
  <c r="O131" i="2"/>
  <c r="W109" i="2"/>
  <c r="M303" i="2"/>
  <c r="AE303" i="2" s="1"/>
  <c r="O178" i="2"/>
  <c r="P256" i="2"/>
  <c r="Y357" i="2"/>
  <c r="AA51" i="2"/>
  <c r="M102" i="2"/>
  <c r="AE102" i="2" s="1"/>
  <c r="Z56" i="2"/>
  <c r="W112" i="2"/>
  <c r="M152" i="2"/>
  <c r="AE152" i="2" s="1"/>
  <c r="X227" i="2"/>
  <c r="O43" i="2"/>
  <c r="O319" i="2"/>
  <c r="J47" i="2"/>
  <c r="J113" i="2"/>
  <c r="Q296" i="2"/>
  <c r="M104" i="2"/>
  <c r="AE104" i="2" s="1"/>
  <c r="Q358" i="2"/>
  <c r="X235" i="2"/>
  <c r="J355" i="2"/>
  <c r="R106" i="2"/>
  <c r="X117" i="2"/>
  <c r="S152" i="2"/>
  <c r="L47" i="2"/>
  <c r="N413" i="2"/>
  <c r="W208" i="2"/>
  <c r="J328" i="2"/>
  <c r="Q289" i="2"/>
  <c r="AA181" i="2"/>
  <c r="AA171" i="2"/>
  <c r="N217" i="2"/>
  <c r="N103" i="2"/>
  <c r="O67" i="2"/>
  <c r="R243" i="2"/>
  <c r="N216" i="2"/>
  <c r="W300" i="2"/>
  <c r="J134" i="2"/>
  <c r="U332" i="2"/>
  <c r="L189" i="2"/>
  <c r="AA101" i="2"/>
  <c r="M247" i="2"/>
  <c r="AE247" i="2" s="1"/>
  <c r="R123" i="2"/>
  <c r="U207" i="2"/>
  <c r="Q209" i="2"/>
  <c r="M146" i="2"/>
  <c r="AE146" i="2" s="1"/>
  <c r="Z73" i="2"/>
  <c r="O66" i="2"/>
  <c r="P76" i="2"/>
  <c r="Y107" i="2"/>
  <c r="Z259" i="2"/>
  <c r="Y151" i="2"/>
  <c r="M216" i="2"/>
  <c r="AE216" i="2" s="1"/>
  <c r="O303" i="2"/>
  <c r="J197" i="2"/>
  <c r="P109" i="2"/>
  <c r="L109" i="2"/>
  <c r="Z339" i="2"/>
  <c r="S253" i="2"/>
  <c r="S317" i="2"/>
  <c r="U238" i="2"/>
  <c r="P43" i="2"/>
  <c r="P140" i="2"/>
  <c r="S83" i="2"/>
  <c r="W46" i="2"/>
  <c r="J329" i="2"/>
  <c r="W106" i="2"/>
  <c r="Q48" i="2"/>
  <c r="S55" i="2"/>
  <c r="O223" i="2"/>
  <c r="Y216" i="2"/>
  <c r="J232" i="2"/>
  <c r="Z253" i="2"/>
  <c r="Z262" i="2"/>
  <c r="Z70" i="2"/>
  <c r="AA236" i="2"/>
  <c r="Q205" i="2"/>
  <c r="N174" i="2"/>
  <c r="J142" i="2"/>
  <c r="O97" i="2"/>
  <c r="O74" i="2"/>
  <c r="Q234" i="2"/>
  <c r="W76" i="2"/>
  <c r="W94" i="2"/>
  <c r="X149" i="2"/>
  <c r="J227" i="2"/>
  <c r="Y261" i="2"/>
  <c r="W282" i="2"/>
  <c r="L134" i="2"/>
  <c r="N165" i="2"/>
  <c r="Z78" i="2"/>
  <c r="L150" i="2"/>
  <c r="Z178" i="2"/>
  <c r="X115" i="2"/>
  <c r="N324" i="2"/>
  <c r="P336" i="2"/>
  <c r="AA107" i="2"/>
  <c r="R79" i="2"/>
  <c r="P59" i="2"/>
  <c r="W51" i="2"/>
  <c r="J61" i="2"/>
  <c r="AA357" i="2"/>
  <c r="X170" i="2"/>
  <c r="R116" i="2"/>
  <c r="P94" i="2"/>
  <c r="L98" i="2"/>
  <c r="X45" i="2"/>
  <c r="L240" i="2"/>
  <c r="L200" i="2"/>
  <c r="S229" i="2"/>
  <c r="P95" i="2"/>
  <c r="M184" i="2"/>
  <c r="AE184" i="2" s="1"/>
  <c r="X86" i="2"/>
  <c r="S36" i="2"/>
  <c r="Q232" i="2"/>
  <c r="P66" i="2"/>
  <c r="M56" i="2"/>
  <c r="AE56" i="2" s="1"/>
  <c r="W203" i="2"/>
  <c r="J346" i="2"/>
  <c r="T156" i="2"/>
  <c r="M324" i="2"/>
  <c r="AE324" i="2" s="1"/>
  <c r="L158" i="2"/>
  <c r="T192" i="2"/>
  <c r="S59" i="2"/>
  <c r="J253" i="2"/>
  <c r="T197" i="2"/>
  <c r="L154" i="2"/>
  <c r="L126" i="2"/>
  <c r="AA151" i="2"/>
  <c r="U76" i="2"/>
  <c r="X108" i="2"/>
  <c r="L49" i="2"/>
  <c r="L60" i="2"/>
  <c r="Q164" i="2"/>
  <c r="J168" i="2"/>
  <c r="N240" i="2"/>
  <c r="Y214" i="2"/>
  <c r="N70" i="2"/>
  <c r="O100" i="2"/>
  <c r="Q102" i="2"/>
  <c r="S336" i="2"/>
  <c r="S199" i="2"/>
  <c r="S129" i="2"/>
  <c r="X309" i="2"/>
  <c r="AA174" i="2"/>
  <c r="Z135" i="2"/>
  <c r="J116" i="2"/>
  <c r="R251" i="2"/>
  <c r="R213" i="2"/>
  <c r="T313" i="2"/>
  <c r="N275" i="2"/>
  <c r="Q261" i="2"/>
  <c r="M357" i="2"/>
  <c r="AE357" i="2" s="1"/>
  <c r="Q285" i="2"/>
  <c r="W240" i="2"/>
  <c r="L318" i="2"/>
  <c r="AA295" i="2"/>
  <c r="N289" i="2"/>
  <c r="P339" i="2"/>
  <c r="O366" i="2"/>
  <c r="Y240" i="2"/>
  <c r="Q393" i="2"/>
  <c r="M375" i="2"/>
  <c r="AE375" i="2" s="1"/>
  <c r="AA401" i="2"/>
  <c r="N278" i="2"/>
  <c r="J270" i="2"/>
  <c r="Q112" i="2"/>
  <c r="R369" i="2"/>
  <c r="W254" i="2"/>
  <c r="M345" i="2"/>
  <c r="AE345" i="2" s="1"/>
  <c r="T284" i="2"/>
  <c r="O308" i="2"/>
  <c r="J416" i="2"/>
  <c r="Q263" i="2"/>
  <c r="T387" i="2"/>
  <c r="Y371" i="2"/>
  <c r="M277" i="2"/>
  <c r="AE277" i="2" s="1"/>
  <c r="J172" i="2"/>
  <c r="T388" i="2"/>
  <c r="T271" i="2"/>
  <c r="X408" i="2"/>
  <c r="M334" i="2"/>
  <c r="AE334" i="2" s="1"/>
  <c r="J393" i="2"/>
  <c r="W376" i="2"/>
  <c r="L135" i="2"/>
  <c r="W156" i="2"/>
  <c r="M135" i="2"/>
  <c r="AE135" i="2" s="1"/>
  <c r="S292" i="2"/>
  <c r="X90" i="2"/>
  <c r="L219" i="2"/>
  <c r="M201" i="2"/>
  <c r="AE201" i="2" s="1"/>
  <c r="Q193" i="2"/>
  <c r="S62" i="2"/>
  <c r="M106" i="2"/>
  <c r="AE106" i="2" s="1"/>
  <c r="S261" i="2"/>
  <c r="O169" i="2"/>
  <c r="Z132" i="2"/>
  <c r="N33" i="2"/>
  <c r="X219" i="2"/>
  <c r="T48" i="2"/>
  <c r="X46" i="2"/>
  <c r="L233" i="2"/>
  <c r="X305" i="2"/>
  <c r="J403" i="2"/>
  <c r="N344" i="2"/>
  <c r="Q74" i="2"/>
  <c r="S102" i="2"/>
  <c r="AA243" i="2"/>
  <c r="Q227" i="2"/>
  <c r="O243" i="2"/>
  <c r="Q59" i="2"/>
  <c r="U318" i="2"/>
  <c r="W123" i="2"/>
  <c r="R119" i="2"/>
  <c r="W182" i="2"/>
  <c r="N325" i="2"/>
  <c r="Y143" i="2"/>
  <c r="Z354" i="2"/>
  <c r="Z80" i="2"/>
  <c r="AA365" i="2"/>
  <c r="P253" i="2"/>
  <c r="W218" i="2"/>
  <c r="J380" i="2"/>
  <c r="X371" i="2"/>
  <c r="Z361" i="2"/>
  <c r="Z370" i="2"/>
  <c r="R340" i="2"/>
  <c r="R397" i="2"/>
  <c r="X379" i="2"/>
  <c r="L294" i="2"/>
  <c r="T312" i="2"/>
  <c r="L210" i="2"/>
  <c r="AA337" i="2"/>
  <c r="N352" i="2"/>
  <c r="Y397" i="2"/>
  <c r="Z342" i="2"/>
  <c r="S367" i="2"/>
  <c r="AA413" i="2"/>
  <c r="AA305" i="2"/>
  <c r="T258" i="2"/>
  <c r="M351" i="2"/>
  <c r="AE351" i="2" s="1"/>
  <c r="W319" i="2"/>
  <c r="Q298" i="2"/>
  <c r="L361" i="2"/>
  <c r="AA287" i="2"/>
  <c r="R389" i="2"/>
  <c r="X388" i="2"/>
  <c r="U406" i="2"/>
  <c r="Y300" i="2"/>
  <c r="R97" i="2"/>
  <c r="J299" i="2"/>
  <c r="U229" i="2"/>
  <c r="AA60" i="2"/>
  <c r="M136" i="2"/>
  <c r="AE136" i="2" s="1"/>
  <c r="P377" i="2"/>
  <c r="X310" i="2"/>
  <c r="M368" i="2"/>
  <c r="AE368" i="2" s="1"/>
  <c r="AA45" i="2"/>
  <c r="U387" i="2"/>
  <c r="S413" i="2"/>
  <c r="O348" i="2"/>
  <c r="P103" i="2"/>
  <c r="T367" i="2"/>
  <c r="T229" i="2"/>
  <c r="U368" i="2"/>
  <c r="P300" i="2"/>
  <c r="Y259" i="2"/>
  <c r="Z397" i="2"/>
  <c r="AA356" i="2"/>
  <c r="N307" i="2"/>
  <c r="T300" i="2"/>
  <c r="M267" i="2"/>
  <c r="AE267" i="2" s="1"/>
  <c r="U301" i="2"/>
  <c r="AF301" i="2" s="1"/>
  <c r="Z389" i="2"/>
  <c r="Z392" i="2"/>
  <c r="R396" i="2"/>
  <c r="U407" i="2"/>
  <c r="X342" i="2"/>
  <c r="N253" i="2"/>
  <c r="T246" i="2"/>
  <c r="Y392" i="2"/>
  <c r="L279" i="2"/>
  <c r="AA187" i="2"/>
  <c r="T219" i="2"/>
  <c r="U244" i="2"/>
  <c r="O365" i="2"/>
  <c r="S274" i="2"/>
  <c r="O390" i="2"/>
  <c r="AA392" i="2"/>
  <c r="L381" i="2"/>
  <c r="O264" i="2"/>
  <c r="P47" i="2"/>
  <c r="X288" i="2"/>
  <c r="P173" i="2"/>
  <c r="Q199" i="2"/>
  <c r="O324" i="2"/>
  <c r="U302" i="2"/>
  <c r="AF302" i="2" s="1"/>
  <c r="T65" i="2"/>
  <c r="R114" i="2"/>
  <c r="R54" i="2"/>
  <c r="L390" i="2"/>
  <c r="J139" i="2"/>
  <c r="Z314" i="2"/>
  <c r="J199" i="2"/>
  <c r="M227" i="2"/>
  <c r="AE227" i="2" s="1"/>
  <c r="Q154" i="2"/>
  <c r="U92" i="2"/>
  <c r="AF92" i="2" s="1"/>
  <c r="U48" i="2"/>
  <c r="N202" i="2"/>
  <c r="Z174" i="2"/>
  <c r="S177" i="2"/>
  <c r="P202" i="2"/>
  <c r="T71" i="2"/>
  <c r="Y132" i="2"/>
  <c r="P135" i="2"/>
  <c r="X257" i="2"/>
  <c r="P287" i="2"/>
  <c r="N280" i="2"/>
  <c r="S218" i="2"/>
  <c r="W59" i="2"/>
  <c r="O93" i="2"/>
  <c r="S215" i="2"/>
  <c r="N119" i="2"/>
  <c r="T148" i="2"/>
  <c r="U257" i="2"/>
  <c r="R208" i="2"/>
  <c r="Q385" i="2"/>
  <c r="S294" i="2"/>
  <c r="M240" i="2"/>
  <c r="AE240" i="2" s="1"/>
  <c r="O172" i="2"/>
  <c r="P360" i="2"/>
  <c r="Z406" i="2"/>
  <c r="O381" i="2"/>
  <c r="AA343" i="2"/>
  <c r="N336" i="2"/>
  <c r="Q395" i="2"/>
  <c r="Q323" i="2"/>
  <c r="P49" i="2"/>
  <c r="L373" i="2"/>
  <c r="X401" i="2"/>
  <c r="Q367" i="2"/>
  <c r="W119" i="2"/>
  <c r="P233" i="2"/>
  <c r="AA301" i="2"/>
  <c r="R356" i="2"/>
  <c r="Q401" i="2"/>
  <c r="T386" i="2"/>
  <c r="Q389" i="2"/>
  <c r="S326" i="2"/>
  <c r="S302" i="2"/>
  <c r="R352" i="2"/>
  <c r="T287" i="2"/>
  <c r="T278" i="2"/>
  <c r="W361" i="2"/>
  <c r="Z330" i="2"/>
  <c r="W237" i="2"/>
  <c r="Z345" i="2"/>
  <c r="W277" i="2"/>
  <c r="J366" i="2"/>
  <c r="U270" i="2"/>
  <c r="Q185" i="2"/>
  <c r="M84" i="2"/>
  <c r="AE84" i="2" s="1"/>
  <c r="R207" i="2"/>
  <c r="Z233" i="2"/>
  <c r="S77" i="2"/>
  <c r="M61" i="2"/>
  <c r="AE61" i="2" s="1"/>
  <c r="R50" i="2"/>
  <c r="X280" i="2"/>
  <c r="Z137" i="2"/>
  <c r="T376" i="2"/>
  <c r="X266" i="2"/>
  <c r="N168" i="2"/>
  <c r="X140" i="2"/>
  <c r="N123" i="2"/>
  <c r="X81" i="2"/>
  <c r="U57" i="2"/>
  <c r="T364" i="2"/>
  <c r="P266" i="2"/>
  <c r="AA189" i="2"/>
  <c r="J205" i="2"/>
  <c r="L117" i="2"/>
  <c r="Q65" i="2"/>
  <c r="U112" i="2"/>
  <c r="P298" i="2"/>
  <c r="U170" i="2"/>
  <c r="M342" i="2"/>
  <c r="AE342" i="2" s="1"/>
  <c r="M198" i="2"/>
  <c r="AE198" i="2" s="1"/>
  <c r="O53" i="2"/>
  <c r="P197" i="2"/>
  <c r="O125" i="2"/>
  <c r="J167" i="2"/>
  <c r="J201" i="2"/>
  <c r="Z170" i="2"/>
  <c r="T81" i="2"/>
  <c r="Q139" i="2"/>
  <c r="N114" i="2"/>
  <c r="M193" i="2"/>
  <c r="AE193" i="2" s="1"/>
  <c r="L196" i="2"/>
  <c r="AA49" i="2"/>
  <c r="O128" i="2"/>
  <c r="S200" i="2"/>
  <c r="L181" i="2"/>
  <c r="M211" i="2"/>
  <c r="AE211" i="2" s="1"/>
  <c r="X134" i="2"/>
  <c r="L164" i="2"/>
  <c r="L111" i="2"/>
  <c r="R129" i="2"/>
  <c r="Q34" i="2"/>
  <c r="Z261" i="2"/>
  <c r="M266" i="2"/>
  <c r="AE266" i="2" s="1"/>
  <c r="W347" i="2"/>
  <c r="J210" i="2"/>
  <c r="Y262" i="2"/>
  <c r="J101" i="2"/>
  <c r="R58" i="2"/>
  <c r="U114" i="2"/>
  <c r="AF114" i="2" s="1"/>
  <c r="Y363" i="2"/>
  <c r="R245" i="2"/>
  <c r="S268" i="2"/>
  <c r="AA62" i="2"/>
  <c r="Z182" i="2"/>
  <c r="W174" i="2"/>
  <c r="U214" i="2"/>
  <c r="AF214" i="2" s="1"/>
  <c r="Y377" i="2"/>
  <c r="AA111" i="2"/>
  <c r="U168" i="2"/>
  <c r="Z186" i="2"/>
  <c r="J264" i="2"/>
  <c r="J76" i="2"/>
  <c r="Q83" i="2"/>
  <c r="J106" i="2"/>
  <c r="U275" i="2"/>
  <c r="AF275" i="2" s="1"/>
  <c r="N380" i="2"/>
  <c r="O189" i="2"/>
  <c r="J338" i="2"/>
  <c r="O297" i="2"/>
  <c r="U234" i="2"/>
  <c r="J32" i="2"/>
  <c r="AA217" i="2"/>
  <c r="W199" i="2"/>
  <c r="X248" i="2"/>
  <c r="T123" i="2"/>
  <c r="R59" i="2"/>
  <c r="W146" i="2"/>
  <c r="N111" i="2"/>
  <c r="L102" i="2"/>
  <c r="S219" i="2"/>
  <c r="O306" i="2"/>
  <c r="AA219" i="2"/>
  <c r="AA100" i="2"/>
  <c r="U186" i="2"/>
  <c r="O307" i="2"/>
  <c r="Z159" i="2"/>
  <c r="S254" i="2"/>
  <c r="T172" i="2"/>
  <c r="X211" i="2"/>
  <c r="Z103" i="2"/>
  <c r="T62" i="2"/>
  <c r="X291" i="2"/>
  <c r="W138" i="2"/>
  <c r="R219" i="2"/>
  <c r="M55" i="2"/>
  <c r="AE55" i="2" s="1"/>
  <c r="AA142" i="2"/>
  <c r="O42" i="2"/>
  <c r="W227" i="2"/>
  <c r="W104" i="2"/>
  <c r="Q179" i="2"/>
  <c r="Y212" i="2"/>
  <c r="J333" i="2"/>
  <c r="Y111" i="2"/>
  <c r="X395" i="2"/>
  <c r="S80" i="2"/>
  <c r="P232" i="2"/>
  <c r="S54" i="2"/>
  <c r="X64" i="2"/>
  <c r="R264" i="2"/>
  <c r="J316" i="2"/>
  <c r="S185" i="2"/>
  <c r="R133" i="2"/>
  <c r="O184" i="2"/>
  <c r="X322" i="2"/>
  <c r="L108" i="2"/>
  <c r="AA244" i="2"/>
  <c r="M378" i="2"/>
  <c r="AE378" i="2" s="1"/>
  <c r="Q151" i="2"/>
  <c r="O212" i="2"/>
  <c r="AA262" i="2"/>
  <c r="S239" i="2"/>
  <c r="L86" i="2"/>
  <c r="M121" i="2"/>
  <c r="AE121" i="2" s="1"/>
  <c r="P167" i="2"/>
  <c r="S230" i="2"/>
  <c r="T88" i="2"/>
  <c r="S190" i="2"/>
  <c r="T141" i="2"/>
  <c r="Y37" i="2"/>
  <c r="L137" i="2"/>
  <c r="N45" i="2"/>
  <c r="W398" i="2"/>
  <c r="U167" i="2"/>
  <c r="AF167" i="2" s="1"/>
  <c r="P304" i="2"/>
  <c r="J277" i="2"/>
  <c r="O108" i="2"/>
  <c r="W126" i="2"/>
  <c r="O47" i="2"/>
  <c r="Y251" i="2"/>
  <c r="Z212" i="2"/>
  <c r="S281" i="2"/>
  <c r="Q256" i="2"/>
  <c r="Y75" i="2"/>
  <c r="AA266" i="2"/>
  <c r="P156" i="2"/>
  <c r="X112" i="2"/>
  <c r="M302" i="2"/>
  <c r="AE302" i="2" s="1"/>
  <c r="S409" i="2"/>
  <c r="X202" i="2"/>
  <c r="R148" i="2"/>
  <c r="R91" i="2"/>
  <c r="X49" i="2"/>
  <c r="X77" i="2"/>
  <c r="T146" i="2"/>
  <c r="L232" i="2"/>
  <c r="S279" i="2"/>
  <c r="L147" i="2"/>
  <c r="AA118" i="2"/>
  <c r="S88" i="2"/>
  <c r="S365" i="2"/>
  <c r="Q131" i="2"/>
  <c r="X199" i="2"/>
  <c r="R177" i="2"/>
  <c r="J147" i="2"/>
  <c r="U117" i="2"/>
  <c r="P342" i="2"/>
  <c r="W404" i="2"/>
  <c r="Z224" i="2"/>
  <c r="Z128" i="2"/>
  <c r="O127" i="2"/>
  <c r="AA412" i="2"/>
  <c r="W225" i="2"/>
  <c r="T325" i="2"/>
  <c r="N93" i="2"/>
  <c r="L65" i="2"/>
  <c r="L309" i="2"/>
  <c r="L220" i="2"/>
  <c r="J66" i="2"/>
  <c r="AA73" i="2"/>
  <c r="N86" i="2"/>
  <c r="S248" i="2"/>
  <c r="O265" i="2"/>
  <c r="R168" i="2"/>
  <c r="O197" i="2"/>
  <c r="T166" i="2"/>
  <c r="X302" i="2"/>
  <c r="W137" i="2"/>
  <c r="S198" i="2"/>
  <c r="R299" i="2"/>
  <c r="O104" i="2"/>
  <c r="S223" i="2"/>
  <c r="Y188" i="2"/>
  <c r="O393" i="2"/>
  <c r="AA52" i="2"/>
  <c r="J215" i="2"/>
  <c r="R161" i="2"/>
  <c r="Q280" i="2"/>
  <c r="AA48" i="2"/>
  <c r="U134" i="2"/>
  <c r="AF134" i="2" s="1"/>
  <c r="T82" i="2"/>
  <c r="U258" i="2"/>
  <c r="AA103" i="2"/>
  <c r="R275" i="2"/>
  <c r="P324" i="2"/>
  <c r="R85" i="2"/>
  <c r="O49" i="2"/>
  <c r="Z119" i="2"/>
  <c r="N142" i="2"/>
  <c r="O361" i="2"/>
  <c r="L100" i="2"/>
  <c r="Z302" i="2"/>
  <c r="R310" i="2"/>
  <c r="W97" i="2"/>
  <c r="O81" i="2"/>
  <c r="T202" i="2"/>
  <c r="T84" i="2"/>
  <c r="Q233" i="2"/>
  <c r="Z210" i="2"/>
  <c r="N153" i="2"/>
  <c r="P191" i="2"/>
  <c r="T168" i="2"/>
  <c r="T144" i="2"/>
  <c r="R86" i="2"/>
  <c r="U250" i="2"/>
  <c r="T222" i="2"/>
  <c r="Z184" i="2"/>
  <c r="R146" i="2"/>
  <c r="J154" i="2"/>
  <c r="Z142" i="2"/>
  <c r="M122" i="2"/>
  <c r="AE122" i="2" s="1"/>
  <c r="O316" i="2"/>
  <c r="X179" i="2"/>
  <c r="Q370" i="2"/>
  <c r="U285" i="2"/>
  <c r="L35" i="2"/>
  <c r="X73" i="2"/>
  <c r="T185" i="2"/>
  <c r="S320" i="2"/>
  <c r="Z305" i="2"/>
  <c r="U359" i="2"/>
  <c r="T106" i="2"/>
  <c r="R186" i="2"/>
  <c r="AA113" i="2"/>
  <c r="O77" i="2"/>
  <c r="Z208" i="2"/>
  <c r="W325" i="2"/>
  <c r="AA155" i="2"/>
  <c r="R224" i="2"/>
  <c r="N144" i="2"/>
  <c r="AA406" i="2"/>
  <c r="N364" i="2"/>
  <c r="N254" i="2"/>
  <c r="W247" i="2"/>
  <c r="AA373" i="2"/>
  <c r="Q346" i="2"/>
  <c r="T254" i="2"/>
  <c r="Y271" i="2"/>
  <c r="R365" i="2"/>
  <c r="L243" i="2"/>
  <c r="Y387" i="2"/>
  <c r="L281" i="2"/>
  <c r="W385" i="2"/>
  <c r="Y356" i="2"/>
  <c r="AA313" i="2"/>
  <c r="J296" i="2"/>
  <c r="X306" i="2"/>
  <c r="M264" i="2"/>
  <c r="AE264" i="2" s="1"/>
  <c r="P322" i="2"/>
  <c r="M251" i="2"/>
  <c r="AE251" i="2" s="1"/>
  <c r="R230" i="2"/>
  <c r="U391" i="2"/>
  <c r="L353" i="2"/>
  <c r="AA259" i="2"/>
  <c r="Z158" i="2"/>
  <c r="S305" i="2"/>
  <c r="X354" i="2"/>
  <c r="Z399" i="2"/>
  <c r="L350" i="2"/>
  <c r="J287" i="2"/>
  <c r="O346" i="2"/>
  <c r="R414" i="2"/>
  <c r="O352" i="2"/>
  <c r="X42" i="2"/>
  <c r="Q72" i="2"/>
  <c r="Q106" i="2"/>
  <c r="Y206" i="2"/>
  <c r="R141" i="2"/>
  <c r="R265" i="2"/>
  <c r="P206" i="2"/>
  <c r="L59" i="2"/>
  <c r="P141" i="2"/>
  <c r="Q134" i="2"/>
  <c r="X163" i="2"/>
  <c r="X195" i="2"/>
  <c r="N372" i="2"/>
  <c r="N181" i="2"/>
  <c r="X312" i="2"/>
  <c r="J63" i="2"/>
  <c r="T238" i="2"/>
  <c r="R286" i="2"/>
  <c r="Y92" i="2"/>
  <c r="Z398" i="2"/>
  <c r="AA183" i="2"/>
  <c r="Q181" i="2"/>
  <c r="O248" i="2"/>
  <c r="Y105" i="2"/>
  <c r="Z169" i="2"/>
  <c r="L159" i="2"/>
  <c r="N162" i="2"/>
  <c r="O274" i="2"/>
  <c r="J276" i="2"/>
  <c r="N140" i="2"/>
  <c r="T39" i="2"/>
  <c r="O71" i="2"/>
  <c r="T45" i="2"/>
  <c r="X144" i="2"/>
  <c r="Z193" i="2"/>
  <c r="T153" i="2"/>
  <c r="L216" i="2"/>
  <c r="Y189" i="2"/>
  <c r="J297" i="2"/>
  <c r="W414" i="2"/>
  <c r="AA350" i="2"/>
  <c r="X317" i="2"/>
  <c r="M355" i="2"/>
  <c r="AE355" i="2" s="1"/>
  <c r="Q353" i="2"/>
  <c r="U376" i="2"/>
  <c r="AF376" i="2" s="1"/>
  <c r="AA284" i="2"/>
  <c r="T415" i="2"/>
  <c r="Y331" i="2"/>
  <c r="M319" i="2"/>
  <c r="AE319" i="2" s="1"/>
  <c r="Y354" i="2"/>
  <c r="U240" i="2"/>
  <c r="AF240" i="2" s="1"/>
  <c r="Y244" i="2"/>
  <c r="X414" i="2"/>
  <c r="J218" i="2"/>
  <c r="U281" i="2"/>
  <c r="N265" i="2"/>
  <c r="O335" i="2"/>
  <c r="N189" i="2"/>
  <c r="W242" i="2"/>
  <c r="L396" i="2"/>
  <c r="Y365" i="2"/>
  <c r="Q397" i="2"/>
  <c r="L203" i="2"/>
  <c r="N313" i="2"/>
  <c r="X359" i="2"/>
  <c r="T347" i="2"/>
  <c r="W301" i="2"/>
  <c r="R378" i="2"/>
  <c r="AA251" i="2"/>
  <c r="U383" i="2"/>
  <c r="T143" i="2"/>
  <c r="S38" i="2"/>
  <c r="W70" i="2"/>
  <c r="J68" i="2"/>
  <c r="Z114" i="2"/>
  <c r="S109" i="2"/>
  <c r="N166" i="2"/>
  <c r="Q88" i="2"/>
  <c r="N138" i="2"/>
  <c r="AA245" i="2"/>
  <c r="Y69" i="2"/>
  <c r="Q292" i="2"/>
  <c r="S315" i="2"/>
  <c r="T348" i="2"/>
  <c r="AA190" i="2"/>
  <c r="P398" i="2"/>
  <c r="O376" i="2"/>
  <c r="Q267" i="2"/>
  <c r="W371" i="2"/>
  <c r="R382" i="2"/>
  <c r="P307" i="2"/>
  <c r="X249" i="2"/>
  <c r="L367" i="2"/>
  <c r="O288" i="2"/>
  <c r="AA400" i="2"/>
  <c r="U192" i="2"/>
  <c r="L295" i="2"/>
  <c r="P269" i="2"/>
  <c r="R345" i="2"/>
  <c r="U340" i="2"/>
  <c r="N127" i="2"/>
  <c r="W331" i="2"/>
  <c r="Y265" i="2"/>
  <c r="Z367" i="2"/>
  <c r="Z404" i="2"/>
  <c r="U333" i="2"/>
  <c r="Z351" i="2"/>
  <c r="J262" i="2"/>
  <c r="Y235" i="2"/>
  <c r="AA242" i="2"/>
  <c r="X340" i="2"/>
  <c r="S250" i="2"/>
  <c r="L355" i="2"/>
  <c r="W395" i="2"/>
  <c r="AA267" i="2"/>
  <c r="X187" i="2"/>
  <c r="W401" i="2"/>
  <c r="U292" i="2"/>
  <c r="O273" i="2"/>
  <c r="Z46" i="2"/>
  <c r="O383" i="2"/>
  <c r="M242" i="2"/>
  <c r="AE242" i="2" s="1"/>
  <c r="Y403" i="2"/>
  <c r="T118" i="2"/>
  <c r="M144" i="2"/>
  <c r="AE144" i="2" s="1"/>
  <c r="Z100" i="2"/>
  <c r="S35" i="2"/>
  <c r="M273" i="2"/>
  <c r="AE273" i="2" s="1"/>
  <c r="W338" i="2"/>
  <c r="N90" i="2"/>
  <c r="J112" i="2"/>
  <c r="N51" i="2"/>
  <c r="T194" i="2"/>
  <c r="Q236" i="2"/>
  <c r="N264" i="2"/>
  <c r="T268" i="2"/>
  <c r="X294" i="2"/>
  <c r="N177" i="2"/>
  <c r="W63" i="2"/>
  <c r="S211" i="2"/>
  <c r="J190" i="2"/>
  <c r="O168" i="2"/>
  <c r="M164" i="2"/>
  <c r="AE164" i="2" s="1"/>
  <c r="W120" i="2"/>
  <c r="S360" i="2"/>
  <c r="Z363" i="2"/>
  <c r="J330" i="2"/>
  <c r="U274" i="2"/>
  <c r="O339" i="2"/>
  <c r="R392" i="2"/>
  <c r="O285" i="2"/>
  <c r="M289" i="2"/>
  <c r="AE289" i="2" s="1"/>
  <c r="S296" i="2"/>
  <c r="W289" i="2"/>
  <c r="W244" i="2"/>
  <c r="N262" i="2"/>
  <c r="N370" i="2"/>
  <c r="P385" i="2"/>
  <c r="X357" i="2"/>
  <c r="J308" i="2"/>
  <c r="R234" i="2"/>
  <c r="Y361" i="2"/>
  <c r="L380" i="2"/>
  <c r="Z407" i="2"/>
  <c r="N354" i="2"/>
  <c r="Y334" i="2"/>
  <c r="Y349" i="2"/>
  <c r="S374" i="2"/>
  <c r="O161" i="2"/>
  <c r="U366" i="2"/>
  <c r="AF366" i="2" s="1"/>
  <c r="N306" i="2"/>
  <c r="X415" i="2"/>
  <c r="W378" i="2"/>
  <c r="W261" i="2"/>
  <c r="Q319" i="2"/>
  <c r="R342" i="2"/>
  <c r="J280" i="2"/>
  <c r="AA402" i="2"/>
  <c r="M217" i="2"/>
  <c r="AE217" i="2" s="1"/>
  <c r="R124" i="2"/>
  <c r="R99" i="2"/>
  <c r="S252" i="2"/>
  <c r="Y162" i="2"/>
  <c r="W117" i="2"/>
  <c r="J354" i="2"/>
  <c r="X114" i="2"/>
  <c r="W177" i="2"/>
  <c r="P297" i="2"/>
  <c r="P168" i="2"/>
  <c r="J141" i="2"/>
  <c r="Z185" i="2"/>
  <c r="Z231" i="2"/>
  <c r="L288" i="2"/>
  <c r="Q318" i="2"/>
  <c r="T135" i="2"/>
  <c r="T128" i="2"/>
  <c r="U189" i="2"/>
  <c r="AF189" i="2" s="1"/>
  <c r="AA257" i="2"/>
  <c r="Q351" i="2"/>
  <c r="J163" i="2"/>
  <c r="AA388" i="2"/>
  <c r="R95" i="2"/>
  <c r="J150" i="2"/>
  <c r="AA148" i="2"/>
  <c r="W183" i="2"/>
  <c r="O152" i="2"/>
  <c r="N351" i="2"/>
  <c r="X253" i="2"/>
  <c r="O147" i="2"/>
  <c r="W176" i="2"/>
  <c r="R52" i="2"/>
  <c r="J268" i="2"/>
  <c r="R269" i="2"/>
  <c r="J381" i="2"/>
  <c r="M128" i="2"/>
  <c r="AE128" i="2" s="1"/>
  <c r="J411" i="2"/>
  <c r="L354" i="2"/>
  <c r="S58" i="2"/>
  <c r="X121" i="2"/>
  <c r="W88" i="2"/>
  <c r="U116" i="2"/>
  <c r="W113" i="2"/>
  <c r="L319" i="2"/>
  <c r="Y199" i="2"/>
  <c r="AA161" i="2"/>
  <c r="U63" i="2"/>
  <c r="AA233" i="2"/>
  <c r="Q217" i="2"/>
  <c r="Y209" i="2"/>
  <c r="S406" i="2"/>
  <c r="W411" i="2"/>
  <c r="X116" i="2"/>
  <c r="S113" i="2"/>
  <c r="P188" i="2"/>
  <c r="O112" i="2"/>
  <c r="M231" i="2"/>
  <c r="AE231" i="2" s="1"/>
  <c r="Q41" i="2"/>
  <c r="X61" i="2"/>
  <c r="M59" i="2"/>
  <c r="AE59" i="2" s="1"/>
  <c r="J82" i="2"/>
  <c r="Z411" i="2"/>
  <c r="T191" i="2"/>
  <c r="AA269" i="2"/>
  <c r="R134" i="2"/>
  <c r="S158" i="2"/>
  <c r="U164" i="2"/>
  <c r="T60" i="2"/>
  <c r="R212" i="2"/>
  <c r="R195" i="2"/>
  <c r="L122" i="2"/>
  <c r="O262" i="2"/>
  <c r="R191" i="2"/>
  <c r="N149" i="2"/>
  <c r="P254" i="2"/>
  <c r="J231" i="2"/>
  <c r="Y245" i="2"/>
  <c r="O210" i="2"/>
  <c r="J283" i="2"/>
  <c r="S366" i="2"/>
  <c r="O84" i="2"/>
  <c r="Z32" i="2"/>
  <c r="Z61" i="2"/>
  <c r="Z267" i="2"/>
  <c r="T272" i="2"/>
  <c r="Z160" i="2"/>
  <c r="Q237" i="2"/>
  <c r="O158" i="2"/>
  <c r="N56" i="2"/>
  <c r="J117" i="2"/>
  <c r="X99" i="2"/>
  <c r="R331" i="2"/>
  <c r="AA153" i="2"/>
  <c r="Y122" i="2"/>
  <c r="J110" i="2"/>
  <c r="J173" i="2"/>
  <c r="R165" i="2"/>
  <c r="Y158" i="2"/>
  <c r="Z123" i="2"/>
  <c r="P289" i="2"/>
  <c r="Y121" i="2"/>
  <c r="T171" i="2"/>
  <c r="X152" i="2"/>
  <c r="O204" i="2"/>
  <c r="P52" i="2"/>
  <c r="S133" i="2"/>
  <c r="R98" i="2"/>
  <c r="S395" i="2"/>
  <c r="U287" i="2"/>
  <c r="T377" i="2"/>
  <c r="O148" i="2"/>
  <c r="U119" i="2"/>
  <c r="R70" i="2"/>
  <c r="M79" i="2"/>
  <c r="AE79" i="2" s="1"/>
  <c r="O75" i="2"/>
  <c r="Q322" i="2"/>
  <c r="W239" i="2"/>
  <c r="M137" i="2"/>
  <c r="AE137" i="2" s="1"/>
  <c r="Y150" i="2"/>
  <c r="R78" i="2"/>
  <c r="L163" i="2"/>
  <c r="X148" i="2"/>
  <c r="J187" i="2"/>
  <c r="T225" i="2"/>
  <c r="O379" i="2"/>
  <c r="J124" i="2"/>
  <c r="Y281" i="2"/>
  <c r="Q157" i="2"/>
  <c r="Y47" i="2"/>
  <c r="U137" i="2"/>
  <c r="X261" i="2"/>
  <c r="S275" i="2"/>
  <c r="M234" i="2"/>
  <c r="AE234" i="2" s="1"/>
  <c r="W160" i="2"/>
  <c r="N188" i="2"/>
  <c r="R66" i="2"/>
  <c r="S92" i="2"/>
  <c r="L360" i="2"/>
  <c r="X205" i="2"/>
  <c r="L269" i="2"/>
  <c r="O211" i="2"/>
  <c r="T110" i="2"/>
  <c r="Q189" i="2"/>
  <c r="U231" i="2"/>
  <c r="R189" i="2"/>
  <c r="AA135" i="2"/>
  <c r="Y225" i="2"/>
  <c r="O356" i="2"/>
  <c r="Q81" i="2"/>
  <c r="Q77" i="2"/>
  <c r="O159" i="2"/>
  <c r="Z190" i="2"/>
  <c r="R217" i="2"/>
  <c r="N164" i="2"/>
  <c r="J166" i="2"/>
  <c r="Y160" i="2"/>
  <c r="J186" i="2"/>
  <c r="T136" i="2"/>
  <c r="R122" i="2"/>
  <c r="S269" i="2"/>
  <c r="AA200" i="2"/>
  <c r="J131" i="2"/>
  <c r="Q107" i="2"/>
  <c r="X326" i="2"/>
  <c r="AA198" i="2"/>
  <c r="Y168" i="2"/>
  <c r="AA125" i="2"/>
  <c r="R43" i="2"/>
  <c r="U105" i="2"/>
  <c r="AF105" i="2" s="1"/>
  <c r="T113" i="2"/>
  <c r="R112" i="2"/>
  <c r="Q213" i="2"/>
  <c r="R235" i="2"/>
  <c r="Q118" i="2"/>
  <c r="Y71" i="2"/>
  <c r="T59" i="2"/>
  <c r="S295" i="2"/>
  <c r="U127" i="2"/>
  <c r="AF127" i="2" s="1"/>
  <c r="U73" i="2"/>
  <c r="X84" i="2"/>
  <c r="AA215" i="2"/>
  <c r="Y174" i="2"/>
  <c r="U64" i="2"/>
  <c r="AF64" i="2" s="1"/>
  <c r="AA66" i="2"/>
  <c r="P142" i="2"/>
  <c r="T107" i="2"/>
  <c r="W312" i="2"/>
  <c r="W206" i="2"/>
  <c r="T204" i="2"/>
  <c r="AA226" i="2"/>
  <c r="X87" i="2"/>
  <c r="O233" i="2"/>
  <c r="P195" i="2"/>
  <c r="S144" i="2"/>
  <c r="X69" i="2"/>
  <c r="M158" i="2"/>
  <c r="AE158" i="2" s="1"/>
  <c r="U253" i="2"/>
  <c r="AA326" i="2"/>
  <c r="P180" i="2"/>
  <c r="X122" i="2"/>
  <c r="P88" i="2"/>
  <c r="Y340" i="2"/>
  <c r="Z167" i="2"/>
  <c r="P187" i="2"/>
  <c r="Z256" i="2"/>
  <c r="P203" i="2"/>
  <c r="N267" i="2"/>
  <c r="Q125" i="2"/>
  <c r="Z240" i="2"/>
  <c r="Z157" i="2"/>
  <c r="T224" i="2"/>
  <c r="S170" i="2"/>
  <c r="W275" i="2"/>
  <c r="P54" i="2"/>
  <c r="J301" i="2"/>
  <c r="P45" i="2"/>
  <c r="R44" i="2"/>
  <c r="Z227" i="2"/>
  <c r="N259" i="2"/>
  <c r="Q114" i="2"/>
  <c r="L81" i="2"/>
  <c r="Z179" i="2"/>
  <c r="S192" i="2"/>
  <c r="O188" i="2"/>
  <c r="Z149" i="2"/>
  <c r="J100" i="2"/>
  <c r="AA95" i="2"/>
  <c r="M177" i="2"/>
  <c r="AE177" i="2" s="1"/>
  <c r="Z344" i="2"/>
  <c r="O206" i="2"/>
  <c r="P244" i="2"/>
  <c r="T90" i="2"/>
  <c r="L171" i="2"/>
  <c r="N46" i="2"/>
  <c r="W364" i="2"/>
  <c r="P246" i="2"/>
  <c r="Y329" i="2"/>
  <c r="Y145" i="2"/>
  <c r="Y141" i="2"/>
  <c r="J185" i="2"/>
  <c r="W50" i="2"/>
  <c r="Y208" i="2"/>
  <c r="R120" i="2"/>
  <c r="Z187" i="2"/>
  <c r="X139" i="2"/>
  <c r="M114" i="2"/>
  <c r="AE114" i="2" s="1"/>
  <c r="Y93" i="2"/>
  <c r="U138" i="2"/>
  <c r="U89" i="2"/>
  <c r="O166" i="2"/>
  <c r="T164" i="2"/>
  <c r="O244" i="2"/>
  <c r="U262" i="2"/>
  <c r="Z44" i="2"/>
  <c r="AA377" i="2"/>
  <c r="P383" i="2"/>
  <c r="S397" i="2"/>
  <c r="AA204" i="2"/>
  <c r="X320" i="2"/>
  <c r="P260" i="2"/>
  <c r="U394" i="2"/>
  <c r="P225" i="2"/>
  <c r="M344" i="2"/>
  <c r="AE344" i="2" s="1"/>
  <c r="W365" i="2"/>
  <c r="Q262" i="2"/>
  <c r="M188" i="2"/>
  <c r="AE188" i="2" s="1"/>
  <c r="T366" i="2"/>
  <c r="Q337" i="2"/>
  <c r="Y373" i="2"/>
  <c r="Q222" i="2"/>
  <c r="X376" i="2"/>
  <c r="AA389" i="2"/>
  <c r="P255" i="2"/>
  <c r="Q313" i="2"/>
  <c r="N353" i="2"/>
  <c r="M365" i="2"/>
  <c r="AE365" i="2" s="1"/>
  <c r="S333" i="2"/>
  <c r="P338" i="2"/>
  <c r="R83" i="2"/>
  <c r="Q309" i="2"/>
  <c r="M405" i="2"/>
  <c r="AE405" i="2" s="1"/>
  <c r="S343" i="2"/>
  <c r="X307" i="2"/>
  <c r="M326" i="2"/>
  <c r="AE326" i="2" s="1"/>
  <c r="L345" i="2"/>
  <c r="T209" i="2"/>
  <c r="P73" i="2"/>
  <c r="M85" i="2"/>
  <c r="AE85" i="2" s="1"/>
  <c r="AA241" i="2"/>
  <c r="S139" i="2"/>
  <c r="Z401" i="2"/>
  <c r="AA156" i="2"/>
  <c r="J165" i="2"/>
  <c r="Y96" i="2"/>
  <c r="Y80" i="2"/>
  <c r="Z89" i="2"/>
  <c r="M149" i="2"/>
  <c r="AE149" i="2" s="1"/>
  <c r="W231" i="2"/>
  <c r="P234" i="2"/>
  <c r="Z278" i="2"/>
  <c r="M40" i="2"/>
  <c r="AE40" i="2" s="1"/>
  <c r="N34" i="2"/>
  <c r="P181" i="2"/>
  <c r="Q67" i="2"/>
  <c r="R303" i="2"/>
  <c r="P177" i="2"/>
  <c r="AA361" i="2"/>
  <c r="N95" i="2"/>
  <c r="U120" i="2"/>
  <c r="AF120" i="2" s="1"/>
  <c r="O40" i="2"/>
  <c r="R49" i="2"/>
  <c r="U196" i="2"/>
  <c r="U267" i="2"/>
  <c r="AF267" i="2" s="1"/>
  <c r="O149" i="2"/>
  <c r="S155" i="2"/>
  <c r="J96" i="2"/>
  <c r="Y45" i="2"/>
  <c r="Z304" i="2"/>
  <c r="N187" i="2"/>
  <c r="P205" i="2"/>
  <c r="T210" i="2"/>
  <c r="O162" i="2"/>
  <c r="W228" i="2"/>
  <c r="O359" i="2"/>
  <c r="O305" i="2"/>
  <c r="Y172" i="2"/>
  <c r="L384" i="2"/>
  <c r="S400" i="2"/>
  <c r="Y407" i="2"/>
  <c r="Z311" i="2"/>
  <c r="AA396" i="2"/>
  <c r="U220" i="2"/>
  <c r="R289" i="2"/>
  <c r="X264" i="2"/>
  <c r="J258" i="2"/>
  <c r="P371" i="2"/>
  <c r="L215" i="2"/>
  <c r="Y257" i="2"/>
  <c r="U172" i="2"/>
  <c r="AF172" i="2" s="1"/>
  <c r="W343" i="2"/>
  <c r="T267" i="2"/>
  <c r="L237" i="2"/>
  <c r="M252" i="2"/>
  <c r="AE252" i="2" s="1"/>
  <c r="T375" i="2"/>
  <c r="M388" i="2"/>
  <c r="AE388" i="2" s="1"/>
  <c r="W390" i="2"/>
  <c r="Z148" i="2"/>
  <c r="O329" i="2"/>
  <c r="L267" i="2"/>
  <c r="R410" i="2"/>
  <c r="S76" i="2"/>
  <c r="J303" i="2"/>
  <c r="W360" i="2"/>
  <c r="P330" i="2"/>
  <c r="J401" i="2"/>
  <c r="P157" i="2"/>
  <c r="AA232" i="2"/>
  <c r="M221" i="2"/>
  <c r="AE221" i="2" s="1"/>
  <c r="S277" i="2"/>
  <c r="O59" i="2"/>
  <c r="O106" i="2"/>
  <c r="S243" i="2"/>
  <c r="AA82" i="2"/>
  <c r="R298" i="2"/>
  <c r="N271" i="2"/>
  <c r="P278" i="2"/>
  <c r="U195" i="2"/>
  <c r="P70" i="2"/>
  <c r="M169" i="2"/>
  <c r="AE169" i="2" s="1"/>
  <c r="L120" i="2"/>
  <c r="W216" i="2"/>
  <c r="Y237" i="2"/>
  <c r="X260" i="2"/>
  <c r="X113" i="2"/>
  <c r="T178" i="2"/>
  <c r="L44" i="2"/>
  <c r="O160" i="2"/>
  <c r="M165" i="2"/>
  <c r="AE165" i="2" s="1"/>
  <c r="U273" i="2"/>
  <c r="Y358" i="2"/>
  <c r="R173" i="2"/>
  <c r="Q252" i="2"/>
  <c r="AA268" i="2"/>
  <c r="S47" i="2"/>
  <c r="Y166" i="2"/>
  <c r="Y163" i="2"/>
  <c r="Q215" i="2"/>
  <c r="Q250" i="2"/>
  <c r="M166" i="2"/>
  <c r="AE166" i="2" s="1"/>
  <c r="R321" i="2"/>
  <c r="Q66" i="2"/>
  <c r="AA149" i="2"/>
  <c r="S216" i="2"/>
  <c r="Q282" i="2"/>
  <c r="R198" i="2"/>
  <c r="U156" i="2"/>
  <c r="N186" i="2"/>
  <c r="L67" i="2"/>
  <c r="L224" i="2"/>
  <c r="O46" i="2"/>
  <c r="P118" i="2"/>
  <c r="S165" i="2"/>
  <c r="Z373" i="2"/>
  <c r="X100" i="2"/>
  <c r="L231" i="2"/>
  <c r="T275" i="2"/>
  <c r="AA44" i="2"/>
  <c r="R151" i="2"/>
  <c r="Q49" i="2"/>
  <c r="P242" i="2"/>
  <c r="S408" i="2"/>
  <c r="P250" i="2"/>
  <c r="R180" i="2"/>
  <c r="J193" i="2"/>
  <c r="Y123" i="2"/>
  <c r="X104" i="2"/>
  <c r="U143" i="2"/>
  <c r="AF143" i="2" s="1"/>
  <c r="M157" i="2"/>
  <c r="AE157" i="2" s="1"/>
  <c r="AA201" i="2"/>
  <c r="Y102" i="2"/>
  <c r="L286" i="2"/>
  <c r="Q149" i="2"/>
  <c r="Q84" i="2"/>
  <c r="Y74" i="2"/>
  <c r="U386" i="2"/>
  <c r="AF386" i="2" s="1"/>
  <c r="M205" i="2"/>
  <c r="AE205" i="2" s="1"/>
  <c r="S249" i="2"/>
  <c r="R172" i="2"/>
  <c r="Y136" i="2"/>
  <c r="M186" i="2"/>
  <c r="AE186" i="2" s="1"/>
  <c r="M167" i="2"/>
  <c r="AE167" i="2" s="1"/>
  <c r="N63" i="2"/>
  <c r="X242" i="2"/>
  <c r="X366" i="2"/>
  <c r="N318" i="2"/>
  <c r="O397" i="2"/>
  <c r="Y175" i="2"/>
  <c r="J42" i="2"/>
  <c r="O111" i="2"/>
  <c r="M337" i="2"/>
  <c r="AE337" i="2" s="1"/>
  <c r="X106" i="2"/>
  <c r="T230" i="2"/>
  <c r="O180" i="2"/>
  <c r="P161" i="2"/>
  <c r="T108" i="2"/>
  <c r="R318" i="2"/>
  <c r="J293" i="2"/>
  <c r="U136" i="2"/>
  <c r="AF136" i="2" s="1"/>
  <c r="J235" i="2"/>
  <c r="W167" i="2"/>
  <c r="AA80" i="2"/>
  <c r="R87" i="2"/>
  <c r="M51" i="2"/>
  <c r="AE51" i="2" s="1"/>
  <c r="X131" i="2"/>
  <c r="Z266" i="2"/>
  <c r="Z290" i="2"/>
  <c r="S267" i="2"/>
  <c r="S207" i="2"/>
  <c r="P35" i="2"/>
  <c r="Y59" i="2"/>
  <c r="Q52" i="2"/>
  <c r="S329" i="2"/>
  <c r="AA229" i="2"/>
  <c r="W309" i="2"/>
  <c r="M43" i="2"/>
  <c r="AE43" i="2" s="1"/>
  <c r="O183" i="2"/>
  <c r="X250" i="2"/>
  <c r="N196" i="2"/>
  <c r="AA341" i="2"/>
  <c r="Y266" i="2"/>
  <c r="J207" i="2"/>
  <c r="U396" i="2"/>
  <c r="AF396" i="2" s="1"/>
  <c r="X292" i="2"/>
  <c r="Y52" i="2"/>
  <c r="M50" i="2"/>
  <c r="AE50" i="2" s="1"/>
  <c r="T203" i="2"/>
  <c r="Y128" i="2"/>
  <c r="J225" i="2"/>
  <c r="Y285" i="2"/>
  <c r="T175" i="2"/>
  <c r="S169" i="2"/>
  <c r="Y148" i="2"/>
  <c r="M68" i="2"/>
  <c r="AE68" i="2" s="1"/>
  <c r="N121" i="2"/>
  <c r="Z202" i="2"/>
  <c r="AA203" i="2"/>
  <c r="Y35" i="2"/>
  <c r="W157" i="2"/>
  <c r="N118" i="2"/>
  <c r="L207" i="2"/>
  <c r="J72" i="2"/>
  <c r="O362" i="2"/>
  <c r="Y210" i="2"/>
  <c r="S137" i="2"/>
  <c r="Z188" i="2"/>
  <c r="T283" i="2"/>
  <c r="P113" i="2"/>
  <c r="M142" i="2"/>
  <c r="AE142" i="2" s="1"/>
  <c r="S212" i="2"/>
  <c r="O139" i="2"/>
  <c r="Z151" i="2"/>
  <c r="U367" i="2"/>
  <c r="AF367" i="2" s="1"/>
  <c r="X171" i="2"/>
  <c r="T286" i="2"/>
  <c r="R64" i="2"/>
  <c r="S122" i="2"/>
  <c r="Q116" i="2"/>
  <c r="S81" i="2"/>
  <c r="Y129" i="2"/>
  <c r="Z324" i="2"/>
  <c r="P130" i="2"/>
  <c r="M32" i="2"/>
  <c r="AE32" i="2" s="1"/>
  <c r="Z268" i="2"/>
  <c r="X136" i="2"/>
  <c r="Z283" i="2"/>
  <c r="P387" i="2"/>
  <c r="Y38" i="2"/>
  <c r="W58" i="2"/>
  <c r="AA274" i="2"/>
  <c r="J239" i="2"/>
  <c r="Y310" i="2"/>
  <c r="Z273" i="2"/>
  <c r="L236" i="2"/>
  <c r="M282" i="2"/>
  <c r="AE282" i="2" s="1"/>
  <c r="Z67" i="2"/>
  <c r="P97" i="2"/>
  <c r="P236" i="2"/>
  <c r="Y112" i="2"/>
  <c r="R89" i="2"/>
  <c r="L129" i="2"/>
  <c r="T142" i="2"/>
  <c r="W170" i="2"/>
  <c r="M238" i="2"/>
  <c r="AE238" i="2" s="1"/>
  <c r="Y90" i="2"/>
  <c r="O311" i="2"/>
  <c r="Y222" i="2"/>
  <c r="N226" i="2"/>
  <c r="X197" i="2"/>
  <c r="Z331" i="2"/>
  <c r="O250" i="2"/>
  <c r="P91" i="2"/>
  <c r="L329" i="2"/>
  <c r="S309" i="2"/>
  <c r="Q146" i="2"/>
  <c r="Y94" i="2"/>
  <c r="U345" i="2"/>
  <c r="AF345" i="2" s="1"/>
  <c r="J272" i="2"/>
  <c r="S354" i="2"/>
  <c r="O109" i="2"/>
  <c r="O44" i="2"/>
  <c r="N37" i="2"/>
  <c r="X331" i="2"/>
  <c r="AA206" i="2"/>
  <c r="U404" i="2"/>
  <c r="S242" i="2"/>
  <c r="Y196" i="2"/>
  <c r="T70" i="2"/>
  <c r="L143" i="2"/>
  <c r="M286" i="2"/>
  <c r="AE286" i="2" s="1"/>
  <c r="Z247" i="2"/>
  <c r="N247" i="2"/>
  <c r="O266" i="2"/>
  <c r="W407" i="2"/>
  <c r="N170" i="2"/>
  <c r="P355" i="2"/>
  <c r="AA178" i="2"/>
  <c r="U161" i="2"/>
  <c r="R143" i="2"/>
  <c r="U197" i="2"/>
  <c r="AF197" i="2" s="1"/>
  <c r="S266" i="2"/>
  <c r="U182" i="2"/>
  <c r="O255" i="2"/>
  <c r="N411" i="2"/>
  <c r="N84" i="2"/>
  <c r="U169" i="2"/>
  <c r="AF169" i="2" s="1"/>
  <c r="Y32" i="2"/>
  <c r="AA286" i="2"/>
  <c r="Z238" i="2"/>
  <c r="S241" i="2"/>
  <c r="N129" i="2"/>
  <c r="Q119" i="2"/>
  <c r="U54" i="2"/>
  <c r="L170" i="2"/>
  <c r="W95" i="2"/>
  <c r="T247" i="2"/>
  <c r="L234" i="2"/>
  <c r="N206" i="2"/>
  <c r="Z162" i="2"/>
  <c r="U157" i="2"/>
  <c r="P115" i="2"/>
  <c r="Z150" i="2"/>
  <c r="T281" i="2"/>
  <c r="O135" i="2"/>
  <c r="P238" i="2"/>
  <c r="N155" i="2"/>
  <c r="O83" i="2"/>
  <c r="X124" i="2"/>
  <c r="M90" i="2"/>
  <c r="AE90" i="2" s="1"/>
  <c r="Q137" i="2"/>
  <c r="M134" i="2"/>
  <c r="AE134" i="2" s="1"/>
  <c r="P183" i="2"/>
  <c r="J209" i="2"/>
  <c r="X193" i="2"/>
  <c r="AA56" i="2"/>
  <c r="Q206" i="2"/>
  <c r="N334" i="2"/>
  <c r="Q388" i="2"/>
  <c r="S205" i="2"/>
  <c r="O276" i="2"/>
  <c r="X364" i="2"/>
  <c r="W262" i="2"/>
  <c r="R344" i="2"/>
  <c r="T233" i="2"/>
  <c r="T346" i="2"/>
  <c r="Q257" i="2"/>
  <c r="Q372" i="2"/>
  <c r="O314" i="2"/>
  <c r="S369" i="2"/>
  <c r="O403" i="2"/>
  <c r="X204" i="2"/>
  <c r="Q352" i="2"/>
  <c r="J377" i="2"/>
  <c r="U416" i="2"/>
  <c r="T288" i="2"/>
  <c r="W287" i="2"/>
  <c r="AA290" i="2"/>
  <c r="R400" i="2"/>
  <c r="J327" i="2"/>
  <c r="Z110" i="2"/>
  <c r="N366" i="2"/>
  <c r="N375" i="2"/>
  <c r="Z298" i="2"/>
  <c r="W271" i="2"/>
  <c r="T349" i="2"/>
  <c r="M377" i="2"/>
  <c r="AE377" i="2" s="1"/>
  <c r="T231" i="2"/>
  <c r="Q347" i="2"/>
  <c r="X48" i="2"/>
  <c r="X373" i="2"/>
  <c r="J161" i="2"/>
  <c r="W49" i="2"/>
  <c r="O88" i="2"/>
  <c r="AA121" i="2"/>
  <c r="O345" i="2"/>
  <c r="T307" i="2"/>
  <c r="N238" i="2"/>
  <c r="N394" i="2"/>
  <c r="S187" i="2"/>
  <c r="N67" i="2"/>
  <c r="S251" i="2"/>
  <c r="N381" i="2"/>
  <c r="AA221" i="2"/>
  <c r="X172" i="2"/>
  <c r="J269" i="2"/>
  <c r="L148" i="2"/>
  <c r="Y99" i="2"/>
  <c r="T47" i="2"/>
  <c r="U295" i="2"/>
  <c r="Z221" i="2"/>
  <c r="J188" i="2"/>
  <c r="AA170" i="2"/>
  <c r="W166" i="2"/>
  <c r="P107" i="2"/>
  <c r="T173" i="2"/>
  <c r="U133" i="2"/>
  <c r="X351" i="2"/>
  <c r="AA347" i="2"/>
  <c r="S50" i="2"/>
  <c r="U62" i="2"/>
  <c r="X169" i="2"/>
  <c r="Q254" i="2"/>
  <c r="U241" i="2"/>
  <c r="AF241" i="2" s="1"/>
  <c r="Z388" i="2"/>
  <c r="W250" i="2"/>
  <c r="W53" i="2"/>
  <c r="R283" i="2"/>
  <c r="M400" i="2"/>
  <c r="AE400" i="2" s="1"/>
  <c r="N343" i="2"/>
  <c r="P179" i="2"/>
  <c r="Y318" i="2"/>
  <c r="AA336" i="2"/>
  <c r="M380" i="2"/>
  <c r="AE380" i="2" s="1"/>
  <c r="R367" i="2"/>
  <c r="N246" i="2"/>
  <c r="J320" i="2"/>
  <c r="T154" i="2"/>
  <c r="W354" i="2"/>
  <c r="W316" i="2"/>
  <c r="N348" i="2"/>
  <c r="O406" i="2"/>
  <c r="X207" i="2"/>
  <c r="W256" i="2"/>
  <c r="O292" i="2"/>
  <c r="L346" i="2"/>
  <c r="S209" i="2"/>
  <c r="Q348" i="2"/>
  <c r="L253" i="2"/>
  <c r="O363" i="2"/>
  <c r="S391" i="2"/>
  <c r="T133" i="2"/>
  <c r="P207" i="2"/>
  <c r="W389" i="2"/>
  <c r="U339" i="2"/>
  <c r="AF339" i="2" s="1"/>
  <c r="N212" i="2"/>
  <c r="N362" i="2"/>
  <c r="L340" i="2"/>
  <c r="J318" i="2"/>
  <c r="R372" i="2"/>
  <c r="M271" i="2"/>
  <c r="AE271" i="2" s="1"/>
  <c r="AA78" i="2"/>
  <c r="N83" i="2"/>
  <c r="Q94" i="2"/>
  <c r="P40" i="2"/>
  <c r="J233" i="2"/>
  <c r="J200" i="2"/>
  <c r="L182" i="2"/>
  <c r="AA359" i="2"/>
  <c r="W383" i="2"/>
  <c r="N85" i="2"/>
  <c r="U325" i="2"/>
  <c r="AF325" i="2" s="1"/>
  <c r="T412" i="2"/>
  <c r="T395" i="2"/>
  <c r="M385" i="2"/>
  <c r="AE385" i="2" s="1"/>
  <c r="Y219" i="2"/>
  <c r="R405" i="2"/>
  <c r="Y339" i="2"/>
  <c r="U208" i="2"/>
  <c r="R292" i="2"/>
  <c r="Z337" i="2"/>
  <c r="Z199" i="2"/>
  <c r="Y376" i="2"/>
  <c r="O398" i="2"/>
  <c r="N360" i="2"/>
  <c r="U403" i="2"/>
  <c r="AF403" i="2" s="1"/>
  <c r="AA399" i="2"/>
  <c r="M236" i="2"/>
  <c r="AE236" i="2" s="1"/>
  <c r="U307" i="2"/>
  <c r="AF307" i="2" s="1"/>
  <c r="U163" i="2"/>
  <c r="AF163" i="2" s="1"/>
  <c r="Z378" i="2"/>
  <c r="O385" i="2"/>
  <c r="O235" i="2"/>
  <c r="X245" i="2"/>
  <c r="W274" i="2"/>
  <c r="J406" i="2"/>
  <c r="W399" i="2"/>
  <c r="R394" i="2"/>
  <c r="P199" i="2"/>
  <c r="R377" i="2"/>
  <c r="R315" i="2"/>
  <c r="P389" i="2"/>
  <c r="AA46" i="2"/>
  <c r="R383" i="2"/>
  <c r="L258" i="2"/>
  <c r="P213" i="2"/>
  <c r="Y169" i="2"/>
  <c r="N65" i="2"/>
  <c r="Y103" i="2"/>
  <c r="O294" i="2"/>
  <c r="S225" i="2"/>
  <c r="Y56" i="2"/>
  <c r="Y110" i="2"/>
  <c r="R368" i="2"/>
  <c r="X198" i="2"/>
  <c r="Y200" i="2"/>
  <c r="Y254" i="2"/>
  <c r="T34" i="2"/>
  <c r="W71" i="2"/>
  <c r="AA65" i="2"/>
  <c r="O219" i="2"/>
  <c r="J259" i="2"/>
  <c r="S142" i="2"/>
  <c r="Y220" i="2"/>
  <c r="U191" i="2"/>
  <c r="X44" i="2"/>
  <c r="X130" i="2"/>
  <c r="R197" i="2"/>
  <c r="R227" i="2"/>
  <c r="L230" i="2"/>
  <c r="X241" i="2"/>
  <c r="Y108" i="2"/>
  <c r="P104" i="2"/>
  <c r="T37" i="2"/>
  <c r="O156" i="2"/>
  <c r="U239" i="2"/>
  <c r="AF239" i="2" s="1"/>
  <c r="Q241" i="2"/>
  <c r="N108" i="2"/>
  <c r="W125" i="2"/>
  <c r="Y309" i="2"/>
  <c r="R319" i="2"/>
  <c r="P361" i="2"/>
  <c r="W114" i="2"/>
  <c r="N368" i="2"/>
  <c r="N242" i="2"/>
  <c r="M373" i="2"/>
  <c r="AE373" i="2" s="1"/>
  <c r="S386" i="2"/>
  <c r="R272" i="2"/>
  <c r="M410" i="2"/>
  <c r="AE410" i="2" s="1"/>
  <c r="S392" i="2"/>
  <c r="M382" i="2"/>
  <c r="AE382" i="2" s="1"/>
  <c r="N395" i="2"/>
  <c r="Y263" i="2"/>
  <c r="U358" i="2"/>
  <c r="AF358" i="2" s="1"/>
  <c r="Y332" i="2"/>
  <c r="W291" i="2"/>
  <c r="Q357" i="2"/>
  <c r="J364" i="2"/>
  <c r="M295" i="2"/>
  <c r="AE295" i="2" s="1"/>
  <c r="Z371" i="2"/>
  <c r="W350" i="2"/>
  <c r="U184" i="2"/>
  <c r="R295" i="2"/>
  <c r="R204" i="2"/>
  <c r="N408" i="2"/>
  <c r="Q363" i="2"/>
  <c r="O267" i="2"/>
  <c r="T322" i="2"/>
  <c r="Y255" i="2"/>
  <c r="L271" i="2"/>
  <c r="L368" i="2"/>
  <c r="Y46" i="2"/>
  <c r="P409" i="2"/>
  <c r="Q221" i="2"/>
  <c r="P293" i="2"/>
  <c r="Z301" i="2"/>
  <c r="T207" i="2"/>
  <c r="N109" i="2"/>
  <c r="S112" i="2"/>
  <c r="J39" i="2"/>
  <c r="P274" i="2"/>
  <c r="T216" i="2"/>
  <c r="J336" i="2"/>
  <c r="L320" i="2"/>
  <c r="P132" i="2"/>
  <c r="Y79" i="2"/>
  <c r="J145" i="2"/>
  <c r="P93" i="2"/>
  <c r="O404" i="2"/>
  <c r="O246" i="2"/>
  <c r="Y345" i="2"/>
  <c r="Q163" i="2"/>
  <c r="P159" i="2"/>
  <c r="N104" i="2"/>
  <c r="Z97" i="2"/>
  <c r="U385" i="2"/>
  <c r="P126" i="2"/>
  <c r="T399" i="2"/>
  <c r="L351" i="2"/>
  <c r="Z72" i="2"/>
  <c r="Q57" i="2"/>
  <c r="X135" i="2"/>
  <c r="J383" i="2"/>
  <c r="L226" i="2"/>
  <c r="W105" i="2"/>
  <c r="X254" i="2"/>
  <c r="R92" i="2"/>
  <c r="AA393" i="2"/>
  <c r="AA282" i="2"/>
  <c r="W392" i="2"/>
  <c r="J104" i="2"/>
  <c r="P252" i="2"/>
  <c r="J256" i="2"/>
  <c r="P209" i="2"/>
  <c r="U379" i="2"/>
  <c r="M214" i="2"/>
  <c r="AE214" i="2" s="1"/>
  <c r="M143" i="2"/>
  <c r="AE143" i="2" s="1"/>
  <c r="Q36" i="2"/>
  <c r="L34" i="2"/>
  <c r="W43" i="2"/>
  <c r="Y256" i="2"/>
  <c r="W251" i="2"/>
  <c r="X190" i="2"/>
  <c r="S99" i="2"/>
  <c r="AA37" i="2"/>
  <c r="M48" i="2"/>
  <c r="AE48" i="2" s="1"/>
  <c r="R150" i="2"/>
  <c r="U269" i="2"/>
  <c r="R199" i="2"/>
  <c r="Y64" i="2"/>
  <c r="R390" i="2"/>
  <c r="O115" i="2"/>
  <c r="M91" i="2"/>
  <c r="AE91" i="2" s="1"/>
  <c r="P192" i="2"/>
  <c r="S314" i="2"/>
  <c r="N312" i="2"/>
  <c r="Q306" i="2"/>
  <c r="U193" i="2"/>
  <c r="M306" i="2"/>
  <c r="AE306" i="2" s="1"/>
  <c r="Z207" i="2"/>
  <c r="X96" i="2"/>
  <c r="M33" i="2"/>
  <c r="AE33" i="2" s="1"/>
  <c r="Z228" i="2"/>
  <c r="L312" i="2"/>
  <c r="X138" i="2"/>
  <c r="M168" i="2"/>
  <c r="AE168" i="2" s="1"/>
  <c r="X103" i="2"/>
  <c r="O58" i="2"/>
  <c r="P36" i="2"/>
  <c r="AA193" i="2"/>
  <c r="Q210" i="2"/>
  <c r="R270" i="2"/>
  <c r="L218" i="2"/>
  <c r="AA41" i="2"/>
  <c r="P155" i="2"/>
  <c r="X403" i="2"/>
  <c r="J238" i="2"/>
  <c r="R147" i="2"/>
  <c r="P321" i="2"/>
  <c r="U213" i="2"/>
  <c r="AF213" i="2" s="1"/>
  <c r="R193" i="2"/>
  <c r="AA35" i="2"/>
  <c r="L113" i="2"/>
  <c r="AA115" i="2"/>
  <c r="J196" i="2"/>
  <c r="P165" i="2"/>
  <c r="Q278" i="2"/>
  <c r="P131" i="2"/>
  <c r="Z216" i="2"/>
  <c r="N157" i="2"/>
  <c r="AA116" i="2"/>
  <c r="J171" i="2"/>
  <c r="Y250" i="2"/>
  <c r="M332" i="2"/>
  <c r="AE332" i="2" s="1"/>
  <c r="W185" i="2"/>
  <c r="Q247" i="2"/>
  <c r="Q240" i="2"/>
  <c r="Z146" i="2"/>
  <c r="L411" i="2"/>
  <c r="P198" i="2"/>
  <c r="N391" i="2"/>
  <c r="L144" i="2"/>
  <c r="U151" i="2"/>
  <c r="AF151" i="2" s="1"/>
  <c r="P116" i="2"/>
  <c r="P158" i="2"/>
  <c r="L136" i="2"/>
  <c r="S41" i="2"/>
  <c r="P160" i="2"/>
  <c r="Z235" i="2"/>
  <c r="L283" i="2"/>
  <c r="J220" i="2"/>
  <c r="J44" i="2"/>
  <c r="R51" i="2"/>
  <c r="X145" i="2"/>
  <c r="S208" i="2"/>
  <c r="R249" i="2"/>
  <c r="X184" i="2"/>
  <c r="O342" i="2"/>
  <c r="X244" i="2"/>
  <c r="J211" i="2"/>
  <c r="T111" i="2"/>
  <c r="S220" i="2"/>
  <c r="P137" i="2"/>
  <c r="Q214" i="2"/>
  <c r="L187" i="2"/>
  <c r="Z347" i="2"/>
  <c r="AA310" i="2"/>
  <c r="U160" i="2"/>
  <c r="AF160" i="2" s="1"/>
  <c r="AA68" i="2"/>
  <c r="Y135" i="2"/>
  <c r="AA228" i="2"/>
  <c r="Q109" i="2"/>
  <c r="S173" i="2"/>
  <c r="R231" i="2"/>
  <c r="Q197" i="2"/>
  <c r="R39" i="2"/>
  <c r="AA260" i="2"/>
  <c r="P127" i="2"/>
  <c r="Q273" i="2"/>
  <c r="R38" i="2"/>
  <c r="T187" i="2"/>
  <c r="X37" i="2"/>
  <c r="O337" i="2"/>
  <c r="O54" i="2"/>
  <c r="P367" i="2"/>
  <c r="Y246" i="2"/>
  <c r="N215" i="2"/>
  <c r="J214" i="2"/>
  <c r="Z270" i="2"/>
  <c r="AA109" i="2"/>
  <c r="Q294" i="2"/>
  <c r="AA124" i="2"/>
  <c r="L32" i="2"/>
  <c r="M140" i="2"/>
  <c r="AE140" i="2" s="1"/>
  <c r="T381" i="2"/>
  <c r="X154" i="2"/>
  <c r="U305" i="2"/>
  <c r="AF305" i="2" s="1"/>
  <c r="S48" i="2"/>
  <c r="N176" i="2"/>
  <c r="R96" i="2"/>
  <c r="S67" i="2"/>
  <c r="T303" i="2"/>
  <c r="AA152" i="2"/>
  <c r="Z129" i="2"/>
  <c r="P38" i="2"/>
  <c r="N195" i="2"/>
  <c r="J153" i="2"/>
  <c r="O209" i="2"/>
  <c r="J122" i="2"/>
  <c r="X316" i="2"/>
  <c r="X301" i="2"/>
  <c r="W415" i="2"/>
  <c r="P182" i="2"/>
  <c r="J263" i="2"/>
  <c r="U131" i="2"/>
  <c r="S128" i="2"/>
  <c r="J54" i="2"/>
  <c r="M181" i="2"/>
  <c r="AE181" i="2" s="1"/>
  <c r="L284" i="2"/>
  <c r="L296" i="2"/>
  <c r="T109" i="2"/>
  <c r="M115" i="2"/>
  <c r="AE115" i="2" s="1"/>
  <c r="AA157" i="2"/>
  <c r="M156" i="2"/>
  <c r="AE156" i="2" s="1"/>
  <c r="L145" i="2"/>
  <c r="M108" i="2"/>
  <c r="AE108" i="2" s="1"/>
  <c r="S363" i="2"/>
  <c r="U206" i="2"/>
  <c r="AF206" i="2" s="1"/>
  <c r="J300" i="2"/>
  <c r="W96" i="2"/>
  <c r="J279" i="2"/>
  <c r="X226" i="2"/>
  <c r="M36" i="2"/>
  <c r="AE36" i="2" s="1"/>
  <c r="S131" i="2"/>
  <c r="U85" i="2"/>
  <c r="AF85" i="2" s="1"/>
  <c r="U237" i="2"/>
  <c r="AF237" i="2" s="1"/>
  <c r="R178" i="2"/>
  <c r="Y283" i="2"/>
  <c r="U135" i="2"/>
  <c r="AF135" i="2" s="1"/>
  <c r="P81" i="2"/>
  <c r="Y85" i="2"/>
  <c r="N75" i="2"/>
  <c r="M99" i="2"/>
  <c r="AE99" i="2" s="1"/>
  <c r="U401" i="2"/>
  <c r="AF401" i="2" s="1"/>
  <c r="Y389" i="2"/>
  <c r="T169" i="2"/>
  <c r="U100" i="2"/>
  <c r="Z312" i="2"/>
  <c r="T240" i="2"/>
  <c r="O41" i="2"/>
  <c r="Z43" i="2"/>
  <c r="P315" i="2"/>
  <c r="X255" i="2"/>
  <c r="L199" i="2"/>
  <c r="L270" i="2"/>
  <c r="P148" i="2"/>
  <c r="O130" i="2"/>
  <c r="L63" i="2"/>
  <c r="X289" i="2"/>
  <c r="O150" i="2"/>
  <c r="U81" i="2"/>
  <c r="S126" i="2"/>
  <c r="S130" i="2"/>
  <c r="T226" i="2"/>
  <c r="W41" i="2"/>
  <c r="AA63" i="2"/>
  <c r="T83" i="2"/>
  <c r="M80" i="2"/>
  <c r="AE80" i="2" s="1"/>
  <c r="Q243" i="2"/>
  <c r="N146" i="2"/>
  <c r="X147" i="2"/>
  <c r="Z242" i="2"/>
  <c r="L107" i="2"/>
  <c r="AA145" i="2"/>
  <c r="AA92" i="2"/>
  <c r="Y83" i="2"/>
  <c r="O247" i="2"/>
  <c r="Y119" i="2"/>
  <c r="Q305" i="2"/>
  <c r="Q61" i="2"/>
  <c r="M294" i="2"/>
  <c r="AE294" i="2" s="1"/>
  <c r="O57" i="2"/>
  <c r="X123" i="2"/>
  <c r="Y156" i="2"/>
  <c r="X156" i="2"/>
  <c r="T176" i="2"/>
  <c r="T407" i="2"/>
  <c r="S168" i="2"/>
  <c r="Q245" i="2"/>
  <c r="R144" i="2"/>
  <c r="N190" i="2"/>
  <c r="O299" i="2"/>
  <c r="L69" i="2"/>
  <c r="Q239" i="2"/>
  <c r="M63" i="2"/>
  <c r="AE63" i="2" s="1"/>
  <c r="W315" i="2"/>
  <c r="J229" i="2"/>
  <c r="O122" i="2"/>
  <c r="J144" i="2"/>
  <c r="W83" i="2"/>
  <c r="P61" i="2"/>
  <c r="L87" i="2"/>
  <c r="N141" i="2"/>
  <c r="O205" i="2"/>
  <c r="P106" i="2"/>
  <c r="Q246" i="2"/>
  <c r="N225" i="2"/>
  <c r="O194" i="2"/>
  <c r="J65" i="2"/>
  <c r="Z92" i="2"/>
  <c r="J244" i="2"/>
  <c r="Y232" i="2"/>
  <c r="R398" i="2"/>
  <c r="R346" i="2"/>
  <c r="X217" i="2"/>
  <c r="X65" i="2"/>
  <c r="Z234" i="2"/>
  <c r="R285" i="2"/>
  <c r="O242" i="2"/>
  <c r="Q381" i="2"/>
  <c r="R312" i="2"/>
  <c r="S180" i="2"/>
  <c r="T352" i="2"/>
  <c r="W153" i="2"/>
  <c r="X335" i="2"/>
  <c r="AA222" i="2"/>
  <c r="N323" i="2"/>
  <c r="U327" i="2"/>
  <c r="M272" i="2"/>
  <c r="AE272" i="2" s="1"/>
  <c r="L330" i="2"/>
  <c r="U381" i="2"/>
  <c r="AF381" i="2" s="1"/>
  <c r="S321" i="2"/>
  <c r="U198" i="2"/>
  <c r="AF198" i="2" s="1"/>
  <c r="AA339" i="2"/>
  <c r="Q400" i="2"/>
  <c r="T301" i="2"/>
  <c r="Q373" i="2"/>
  <c r="S300" i="2"/>
  <c r="M406" i="2"/>
  <c r="AE406" i="2" s="1"/>
  <c r="X396" i="2"/>
  <c r="Y277" i="2"/>
  <c r="AA162" i="2"/>
  <c r="U389" i="2"/>
  <c r="T360" i="2"/>
  <c r="Q307" i="2"/>
  <c r="P356" i="2"/>
  <c r="U412" i="2"/>
  <c r="AF412" i="2" s="1"/>
  <c r="J351" i="2"/>
  <c r="N339" i="2"/>
  <c r="X336" i="2"/>
  <c r="N330" i="2"/>
  <c r="J204" i="2"/>
  <c r="O367" i="2"/>
  <c r="M316" i="2"/>
  <c r="AE316" i="2" s="1"/>
  <c r="Z47" i="2"/>
  <c r="L57" i="2"/>
  <c r="P51" i="2"/>
  <c r="Y382" i="2"/>
  <c r="S189" i="2"/>
  <c r="M250" i="2"/>
  <c r="AE250" i="2" s="1"/>
  <c r="O321" i="2"/>
  <c r="R104" i="2"/>
  <c r="R140" i="2"/>
  <c r="W155" i="2"/>
  <c r="U217" i="2"/>
  <c r="Q103" i="2"/>
  <c r="X212" i="2"/>
  <c r="L123" i="2"/>
  <c r="L265" i="2"/>
  <c r="Q378" i="2"/>
  <c r="L90" i="2"/>
  <c r="T120" i="2"/>
  <c r="Y194" i="2"/>
  <c r="W141" i="2"/>
  <c r="M175" i="2"/>
  <c r="AE175" i="2" s="1"/>
  <c r="M278" i="2"/>
  <c r="AE278" i="2" s="1"/>
  <c r="Z211" i="2"/>
  <c r="Q145" i="2"/>
  <c r="P373" i="2"/>
  <c r="L193" i="2"/>
  <c r="S110" i="2"/>
  <c r="AA172" i="2"/>
  <c r="N279" i="2"/>
  <c r="Z134" i="2"/>
  <c r="R157" i="2"/>
  <c r="J249" i="2"/>
  <c r="X268" i="2"/>
  <c r="U360" i="2"/>
  <c r="AF360" i="2" s="1"/>
  <c r="Y186" i="2"/>
  <c r="AA256" i="2"/>
  <c r="Y157" i="2"/>
  <c r="L160" i="2"/>
  <c r="P372" i="2"/>
  <c r="M340" i="2"/>
  <c r="AE340" i="2" s="1"/>
  <c r="L324" i="2"/>
  <c r="S278" i="2"/>
  <c r="J402" i="2"/>
  <c r="N392" i="2"/>
  <c r="N273" i="2"/>
  <c r="W353" i="2"/>
  <c r="O386" i="2"/>
  <c r="AA281" i="2"/>
  <c r="AA230" i="2"/>
  <c r="S289" i="2"/>
  <c r="X392" i="2"/>
  <c r="J319" i="2"/>
  <c r="S378" i="2"/>
  <c r="L310" i="2"/>
  <c r="P243" i="2"/>
  <c r="R214" i="2"/>
  <c r="W293" i="2"/>
  <c r="O190" i="2"/>
  <c r="J361" i="2"/>
  <c r="T385" i="2"/>
  <c r="W296" i="2"/>
  <c r="P366" i="2"/>
  <c r="AA348" i="2"/>
  <c r="AA344" i="2"/>
  <c r="T370" i="2"/>
  <c r="T391" i="2"/>
  <c r="T332" i="2"/>
  <c r="S387" i="2"/>
  <c r="Q174" i="2"/>
  <c r="Q299" i="2"/>
  <c r="AA404" i="2"/>
  <c r="Q89" i="2"/>
  <c r="S236" i="2"/>
  <c r="P214" i="2"/>
  <c r="Z377" i="2"/>
  <c r="M183" i="2"/>
  <c r="AE183" i="2" s="1"/>
  <c r="N332" i="2"/>
  <c r="U323" i="2"/>
  <c r="N236" i="2"/>
  <c r="O154" i="2"/>
  <c r="O227" i="2"/>
  <c r="O296" i="2"/>
  <c r="Q403" i="2"/>
  <c r="Q194" i="2"/>
  <c r="T274" i="2"/>
  <c r="L347" i="2"/>
  <c r="R404" i="2"/>
  <c r="AA300" i="2"/>
  <c r="N335" i="2"/>
  <c r="Z286" i="2"/>
  <c r="O196" i="2"/>
  <c r="Z402" i="2"/>
  <c r="AA316" i="2"/>
  <c r="N382" i="2"/>
  <c r="R311" i="2"/>
  <c r="P284" i="2"/>
  <c r="X324" i="2"/>
  <c r="X323" i="2"/>
  <c r="Y274" i="2"/>
  <c r="Z384" i="2"/>
  <c r="Z293" i="2"/>
  <c r="X346" i="2"/>
  <c r="R294" i="2"/>
  <c r="L285" i="2"/>
  <c r="O413" i="2"/>
  <c r="L338" i="2"/>
  <c r="M310" i="2"/>
  <c r="AE310" i="2" s="1"/>
  <c r="Y179" i="2"/>
  <c r="T251" i="2"/>
  <c r="U276" i="2"/>
  <c r="S361" i="2"/>
  <c r="Y78" i="2"/>
  <c r="Z395" i="2"/>
  <c r="X259" i="2"/>
  <c r="Z413" i="2"/>
  <c r="N233" i="2"/>
  <c r="X329" i="2"/>
  <c r="U97" i="2"/>
  <c r="AF97" i="2" s="1"/>
  <c r="N66" i="2"/>
  <c r="X107" i="2"/>
  <c r="T177" i="2"/>
  <c r="Q333" i="2"/>
  <c r="W131" i="2"/>
  <c r="R267" i="2"/>
  <c r="Y140" i="2"/>
  <c r="AA104" i="2"/>
  <c r="J219" i="2"/>
  <c r="Y202" i="2"/>
  <c r="Q390" i="2"/>
  <c r="X98" i="2"/>
  <c r="Z355" i="2"/>
  <c r="M210" i="2"/>
  <c r="AE210" i="2" s="1"/>
  <c r="X186" i="2"/>
  <c r="U142" i="2"/>
  <c r="Q50" i="2"/>
  <c r="L385" i="2"/>
  <c r="W217" i="2"/>
  <c r="Q407" i="2"/>
  <c r="S231" i="2"/>
  <c r="N91" i="2"/>
  <c r="L414" i="2"/>
  <c r="X234" i="2"/>
  <c r="O117" i="2"/>
  <c r="J123" i="2"/>
  <c r="AA81" i="2"/>
  <c r="Z328" i="2"/>
  <c r="AA280" i="2"/>
  <c r="S379" i="2"/>
  <c r="J189" i="2"/>
  <c r="O251" i="2"/>
  <c r="S381" i="2"/>
  <c r="AA309" i="2"/>
  <c r="R387" i="2"/>
  <c r="Z299" i="2"/>
  <c r="J348" i="2"/>
  <c r="M323" i="2"/>
  <c r="AE323" i="2" s="1"/>
  <c r="X349" i="2"/>
  <c r="P340" i="2"/>
  <c r="P217" i="2"/>
  <c r="M269" i="2"/>
  <c r="AE269" i="2" s="1"/>
  <c r="S297" i="2"/>
  <c r="N285" i="2"/>
  <c r="AA367" i="2"/>
  <c r="L408" i="2"/>
  <c r="S238" i="2"/>
  <c r="S410" i="2"/>
  <c r="X391" i="2"/>
  <c r="W268" i="2"/>
  <c r="U256" i="2"/>
  <c r="AF256" i="2" s="1"/>
  <c r="N184" i="2"/>
  <c r="J306" i="2"/>
  <c r="W245" i="2"/>
  <c r="Y386" i="2"/>
  <c r="S380" i="2"/>
  <c r="T215" i="2"/>
  <c r="P337" i="2"/>
  <c r="Y394" i="2"/>
  <c r="Y306" i="2"/>
  <c r="R360" i="2"/>
  <c r="T152" i="2"/>
  <c r="Y368" i="2"/>
  <c r="O269" i="2"/>
  <c r="AA335" i="2"/>
  <c r="N199" i="2"/>
  <c r="O91" i="2"/>
  <c r="N62" i="2"/>
  <c r="P58" i="2"/>
  <c r="W78" i="2"/>
  <c r="S150" i="2"/>
  <c r="Y238" i="2"/>
  <c r="Q122" i="2"/>
  <c r="O287" i="2"/>
  <c r="L71" i="2"/>
  <c r="M97" i="2"/>
  <c r="AE97" i="2" s="1"/>
  <c r="S95" i="2"/>
  <c r="M78" i="2"/>
  <c r="AE78" i="2" s="1"/>
  <c r="Y138" i="2"/>
  <c r="AA214" i="2"/>
  <c r="N171" i="2"/>
  <c r="Z209" i="2"/>
  <c r="AA272" i="2"/>
  <c r="W80" i="2"/>
  <c r="J57" i="2"/>
  <c r="N96" i="2"/>
  <c r="X269" i="2"/>
  <c r="S160" i="2"/>
  <c r="J176" i="2"/>
  <c r="J202" i="2"/>
  <c r="Y161" i="2"/>
  <c r="O134" i="2"/>
  <c r="T129" i="2"/>
  <c r="J102" i="2"/>
  <c r="Q242" i="2"/>
  <c r="N399" i="2"/>
  <c r="S60" i="2"/>
  <c r="P374" i="2"/>
  <c r="Q350" i="2"/>
  <c r="R252" i="2"/>
  <c r="P169" i="2"/>
  <c r="L415" i="2"/>
  <c r="N331" i="2"/>
  <c r="P105" i="2"/>
  <c r="Y185" i="2"/>
  <c r="W370" i="2"/>
  <c r="N287" i="2"/>
  <c r="T280" i="2"/>
  <c r="W321" i="2"/>
  <c r="W226" i="2"/>
  <c r="Z277" i="2"/>
  <c r="P393" i="2"/>
  <c r="T336" i="2"/>
  <c r="L138" i="2"/>
  <c r="L118" i="2"/>
  <c r="AA192" i="2"/>
  <c r="P175" i="2"/>
  <c r="W60" i="2"/>
  <c r="AA368" i="2"/>
  <c r="L277" i="2"/>
  <c r="U165" i="2"/>
  <c r="AF165" i="2" s="1"/>
  <c r="T257" i="2"/>
  <c r="J392" i="2"/>
  <c r="J305" i="2"/>
  <c r="AA354" i="2"/>
  <c r="Z341" i="2"/>
  <c r="N357" i="2"/>
  <c r="N396" i="2"/>
  <c r="Y131" i="2"/>
  <c r="T359" i="2"/>
  <c r="Z307" i="2"/>
  <c r="Q368" i="2"/>
  <c r="AA211" i="2"/>
  <c r="U68" i="2"/>
  <c r="AF68" i="2" s="1"/>
  <c r="AA57" i="2"/>
  <c r="R175" i="2"/>
  <c r="R317" i="2"/>
  <c r="Q375" i="2"/>
  <c r="AA132" i="2"/>
  <c r="S161" i="2"/>
  <c r="M109" i="2"/>
  <c r="AE109" i="2" s="1"/>
  <c r="L94" i="2"/>
  <c r="R325" i="2"/>
  <c r="N98" i="2"/>
  <c r="R239" i="2"/>
  <c r="W171" i="2"/>
  <c r="T371" i="2"/>
  <c r="Z394" i="2"/>
  <c r="Y326" i="2"/>
  <c r="U330" i="2"/>
  <c r="AF330" i="2" s="1"/>
  <c r="M390" i="2"/>
  <c r="AE390" i="2" s="1"/>
  <c r="W355" i="2"/>
  <c r="N384" i="2"/>
  <c r="M305" i="2"/>
  <c r="AE305" i="2" s="1"/>
  <c r="O351" i="2"/>
  <c r="W344" i="2"/>
  <c r="R276" i="2"/>
  <c r="N377" i="2"/>
  <c r="X332" i="2"/>
  <c r="R361" i="2"/>
  <c r="S362" i="2"/>
  <c r="W374" i="2"/>
  <c r="J415" i="2"/>
  <c r="Z366" i="2"/>
  <c r="S358" i="2"/>
  <c r="M261" i="2"/>
  <c r="AE261" i="2" s="1"/>
  <c r="Q379" i="2"/>
  <c r="M223" i="2"/>
  <c r="AE223" i="2" s="1"/>
  <c r="M397" i="2"/>
  <c r="AE397" i="2" s="1"/>
  <c r="N374" i="2"/>
  <c r="P268" i="2"/>
  <c r="L401" i="2"/>
  <c r="R268" i="2"/>
  <c r="R287" i="2"/>
  <c r="P384" i="2"/>
  <c r="X40" i="2"/>
  <c r="L84" i="2"/>
  <c r="Q315" i="2"/>
  <c r="Z192" i="2"/>
  <c r="J217" i="2"/>
  <c r="L268" i="2"/>
  <c r="M259" i="2"/>
  <c r="AE259" i="2" s="1"/>
  <c r="Y57" i="2"/>
  <c r="R132" i="2"/>
  <c r="W124" i="2"/>
  <c r="U80" i="2"/>
  <c r="T343" i="2"/>
  <c r="X243" i="2"/>
  <c r="M384" i="2"/>
  <c r="AE384" i="2" s="1"/>
  <c r="W356" i="2"/>
  <c r="Z81" i="2"/>
  <c r="X129" i="2"/>
  <c r="O129" i="2"/>
  <c r="T38" i="2"/>
  <c r="W178" i="2"/>
  <c r="O126" i="2"/>
  <c r="AA248" i="2"/>
  <c r="S188" i="2"/>
  <c r="Q225" i="2"/>
  <c r="J398" i="2"/>
  <c r="X206" i="2"/>
  <c r="T214" i="2"/>
  <c r="L172" i="2"/>
  <c r="M233" i="2"/>
  <c r="AE233" i="2" s="1"/>
  <c r="W110" i="2"/>
  <c r="N76" i="2"/>
  <c r="U390" i="2"/>
  <c r="Z108" i="2"/>
  <c r="L127" i="2"/>
  <c r="M171" i="2"/>
  <c r="AE171" i="2" s="1"/>
  <c r="AA250" i="2"/>
  <c r="W91" i="2"/>
  <c r="Q335" i="2"/>
  <c r="L315" i="2"/>
  <c r="AA331" i="2"/>
  <c r="W403" i="2"/>
  <c r="X381" i="2"/>
  <c r="Q391" i="2"/>
  <c r="U188" i="2"/>
  <c r="AF188" i="2" s="1"/>
  <c r="U344" i="2"/>
  <c r="AF344" i="2" s="1"/>
  <c r="Z380" i="2"/>
  <c r="R222" i="2"/>
  <c r="M189" i="2"/>
  <c r="AE189" i="2" s="1"/>
  <c r="P410" i="2"/>
  <c r="W368" i="2"/>
  <c r="AA255" i="2"/>
  <c r="X394" i="2"/>
  <c r="M346" i="2"/>
  <c r="AE346" i="2" s="1"/>
  <c r="W362" i="2"/>
  <c r="Y388" i="2"/>
  <c r="Q365" i="2"/>
  <c r="S313" i="2"/>
  <c r="AA374" i="2"/>
  <c r="T302" i="2"/>
  <c r="T205" i="2"/>
  <c r="S328" i="2"/>
  <c r="U201" i="2"/>
  <c r="AF201" i="2" s="1"/>
  <c r="T362" i="2"/>
  <c r="Y269" i="2"/>
  <c r="O407" i="2"/>
  <c r="R220" i="2"/>
  <c r="Z51" i="2"/>
  <c r="U58" i="2"/>
  <c r="Y317" i="2"/>
  <c r="X157" i="2"/>
  <c r="Z310" i="2"/>
  <c r="O165" i="2"/>
  <c r="U124" i="2"/>
  <c r="N79" i="2"/>
  <c r="Q383" i="2"/>
  <c r="R253" i="2"/>
  <c r="P231" i="2"/>
  <c r="J284" i="2"/>
  <c r="O377" i="2"/>
  <c r="W234" i="2"/>
  <c r="R366" i="2"/>
  <c r="M413" i="2"/>
  <c r="AE413" i="2" s="1"/>
  <c r="W306" i="2"/>
  <c r="P351" i="2"/>
  <c r="U187" i="2"/>
  <c r="AF187" i="2" s="1"/>
  <c r="J282" i="2"/>
  <c r="Y142" i="2"/>
  <c r="R278" i="2"/>
  <c r="O257" i="2"/>
  <c r="Q324" i="2"/>
  <c r="Z379" i="2"/>
  <c r="Y191" i="2"/>
  <c r="X223" i="2"/>
  <c r="P368" i="2"/>
  <c r="N35" i="2"/>
  <c r="Q341" i="2"/>
  <c r="Y193" i="2"/>
  <c r="L183" i="2"/>
  <c r="Y183" i="2"/>
  <c r="U132" i="2"/>
  <c r="AF132" i="2" s="1"/>
  <c r="O252" i="2"/>
  <c r="Y312" i="2"/>
  <c r="P399" i="2"/>
  <c r="Q153" i="2"/>
  <c r="L275" i="2"/>
  <c r="Z309" i="2"/>
  <c r="M258" i="2"/>
  <c r="AE258" i="2" s="1"/>
  <c r="X370" i="2"/>
  <c r="Y270" i="2"/>
  <c r="Q413" i="2"/>
  <c r="L395" i="2"/>
  <c r="M402" i="2"/>
  <c r="AE402" i="2" s="1"/>
  <c r="P408" i="2"/>
  <c r="Y291" i="2"/>
  <c r="O374" i="2"/>
  <c r="O364" i="2"/>
  <c r="P280" i="2"/>
  <c r="O179" i="2"/>
  <c r="X92" i="2"/>
  <c r="W192" i="2"/>
  <c r="S121" i="2"/>
  <c r="N41" i="2"/>
  <c r="R174" i="2"/>
  <c r="L186" i="2"/>
  <c r="P317" i="2"/>
  <c r="R232" i="2"/>
  <c r="P333" i="2"/>
  <c r="M232" i="2"/>
  <c r="AE232" i="2" s="1"/>
  <c r="S323" i="2"/>
  <c r="Y385" i="2"/>
  <c r="AA360" i="2"/>
  <c r="Y106" i="2"/>
  <c r="T392" i="2"/>
  <c r="J325" i="2"/>
  <c r="AA199" i="2"/>
  <c r="R46" i="2"/>
  <c r="T189" i="2"/>
  <c r="O137" i="2"/>
  <c r="Q317" i="2"/>
  <c r="S106" i="2"/>
  <c r="P164" i="2"/>
  <c r="N387" i="2"/>
  <c r="X215" i="2"/>
  <c r="L177" i="2"/>
  <c r="N191" i="2"/>
  <c r="S72" i="2"/>
  <c r="X60" i="2"/>
  <c r="U300" i="2"/>
  <c r="AF300" i="2" s="1"/>
  <c r="O312" i="2"/>
  <c r="T285" i="2"/>
  <c r="Y295" i="2"/>
  <c r="M228" i="2"/>
  <c r="AE228" i="2" s="1"/>
  <c r="AA371" i="2"/>
  <c r="J195" i="2"/>
  <c r="M308" i="2"/>
  <c r="AE308" i="2" s="1"/>
  <c r="X286" i="2"/>
  <c r="M350" i="2"/>
  <c r="AE350" i="2" s="1"/>
  <c r="M394" i="2"/>
  <c r="AE394" i="2" s="1"/>
  <c r="P414" i="2"/>
  <c r="T324" i="2"/>
  <c r="O283" i="2"/>
  <c r="L332" i="2"/>
  <c r="AA363" i="2"/>
  <c r="Z303" i="2"/>
  <c r="W311" i="2"/>
  <c r="O391" i="2"/>
  <c r="Z365" i="2"/>
  <c r="W308" i="2"/>
  <c r="T355" i="2"/>
  <c r="J312" i="2"/>
  <c r="M341" i="2"/>
  <c r="AE341" i="2" s="1"/>
  <c r="U361" i="2"/>
  <c r="AF361" i="2" s="1"/>
  <c r="O281" i="2"/>
  <c r="W257" i="2"/>
  <c r="J252" i="2"/>
  <c r="L365" i="2"/>
  <c r="L348" i="2"/>
  <c r="M176" i="2"/>
  <c r="AE176" i="2" s="1"/>
  <c r="P313" i="2"/>
  <c r="J302" i="2"/>
  <c r="Z295" i="2"/>
  <c r="U248" i="2"/>
  <c r="AF248" i="2" s="1"/>
  <c r="W380" i="2"/>
  <c r="S70" i="2"/>
  <c r="R63" i="2"/>
  <c r="O333" i="2"/>
  <c r="N172" i="2"/>
  <c r="T245" i="2"/>
  <c r="T150" i="2"/>
  <c r="P110" i="2"/>
  <c r="AA34" i="2"/>
  <c r="U32" i="2"/>
  <c r="L336" i="2"/>
  <c r="N210" i="2"/>
  <c r="L260" i="2"/>
  <c r="S111" i="2"/>
  <c r="X233" i="2"/>
  <c r="X377" i="2"/>
  <c r="N110" i="2"/>
  <c r="Z50" i="2"/>
  <c r="U222" i="2"/>
  <c r="S262" i="2"/>
  <c r="W135" i="2"/>
  <c r="P332" i="2"/>
  <c r="N136" i="2"/>
  <c r="L352" i="2"/>
  <c r="W139" i="2"/>
  <c r="Y229" i="2"/>
  <c r="O202" i="2"/>
  <c r="X369" i="2"/>
  <c r="AA53" i="2"/>
  <c r="T99" i="2"/>
  <c r="Z327" i="2"/>
  <c r="W310" i="2"/>
  <c r="Q364" i="2"/>
  <c r="M182" i="2"/>
  <c r="AE182" i="2" s="1"/>
  <c r="W263" i="2"/>
  <c r="Y346" i="2"/>
  <c r="N296" i="2"/>
  <c r="P379" i="2"/>
  <c r="P178" i="2"/>
  <c r="U411" i="2"/>
  <c r="AF411" i="2" s="1"/>
  <c r="S401" i="2"/>
  <c r="N214" i="2"/>
  <c r="W272" i="2"/>
  <c r="Y398" i="2"/>
  <c r="R244" i="2"/>
  <c r="N345" i="2"/>
  <c r="W195" i="2"/>
  <c r="O382" i="2"/>
  <c r="O384" i="2"/>
  <c r="P334" i="2"/>
  <c r="W320" i="2"/>
  <c r="M220" i="2"/>
  <c r="AE220" i="2" s="1"/>
  <c r="O401" i="2"/>
  <c r="Q344" i="2"/>
  <c r="AA410" i="2"/>
  <c r="J160" i="2"/>
  <c r="U313" i="2"/>
  <c r="AF313" i="2" s="1"/>
  <c r="S307" i="2"/>
  <c r="Q343" i="2"/>
  <c r="O143" i="2"/>
  <c r="AA321" i="2"/>
  <c r="Q334" i="2"/>
  <c r="T282" i="2"/>
  <c r="R305" i="2"/>
  <c r="R187" i="2"/>
  <c r="M392" i="2"/>
  <c r="AE392" i="2" s="1"/>
  <c r="P314" i="2"/>
  <c r="L410" i="2"/>
  <c r="U324" i="2"/>
  <c r="Y137" i="2"/>
  <c r="Y321" i="2"/>
  <c r="Z203" i="2"/>
  <c r="W127" i="2"/>
  <c r="U254" i="2"/>
  <c r="AF254" i="2" s="1"/>
  <c r="R316" i="2"/>
  <c r="U99" i="2"/>
  <c r="L303" i="2"/>
  <c r="S123" i="2"/>
  <c r="Q127" i="2"/>
  <c r="AA207" i="2"/>
  <c r="U130" i="2"/>
  <c r="AF130" i="2" s="1"/>
  <c r="Q202" i="2"/>
  <c r="AA175" i="2"/>
  <c r="M292" i="2"/>
  <c r="AE292" i="2" s="1"/>
  <c r="J33" i="2"/>
  <c r="S57" i="2"/>
  <c r="U53" i="2"/>
  <c r="AF53" i="2" s="1"/>
  <c r="N390" i="2"/>
  <c r="W143" i="2"/>
  <c r="X402" i="2"/>
  <c r="AA276" i="2"/>
  <c r="L167" i="2"/>
  <c r="Y330" i="2"/>
  <c r="AA307" i="2"/>
  <c r="T393" i="2"/>
  <c r="Q310" i="2"/>
  <c r="P358" i="2"/>
  <c r="X300" i="2"/>
  <c r="O286" i="2"/>
  <c r="Z391" i="2"/>
  <c r="T333" i="2"/>
  <c r="M244" i="2"/>
  <c r="AE244" i="2" s="1"/>
  <c r="W220" i="2"/>
  <c r="Z386" i="2"/>
  <c r="Y355" i="2"/>
  <c r="AA385" i="2"/>
  <c r="M95" i="2"/>
  <c r="AE95" i="2" s="1"/>
  <c r="P400" i="2"/>
  <c r="Y233" i="2"/>
  <c r="L389" i="2"/>
  <c r="W369" i="2"/>
  <c r="AA364" i="2"/>
  <c r="W281" i="2"/>
  <c r="Q349" i="2"/>
  <c r="AA315" i="2"/>
  <c r="S127" i="2"/>
  <c r="L223" i="2"/>
  <c r="R386" i="2"/>
  <c r="N404" i="2"/>
  <c r="P285" i="2"/>
  <c r="Z276" i="2"/>
  <c r="R307" i="2"/>
  <c r="T259" i="2"/>
  <c r="N337" i="2"/>
  <c r="Z71" i="2"/>
  <c r="R121" i="2"/>
  <c r="X247" i="2"/>
  <c r="L188" i="2"/>
  <c r="L217" i="2"/>
  <c r="T264" i="2"/>
  <c r="O258" i="2"/>
  <c r="L33" i="2"/>
  <c r="T57" i="2"/>
  <c r="Y51" i="2"/>
  <c r="M327" i="2"/>
  <c r="AE327" i="2" s="1"/>
  <c r="Q286" i="2"/>
  <c r="W190" i="2"/>
  <c r="U263" i="2"/>
  <c r="N126" i="2"/>
  <c r="X177" i="2"/>
  <c r="O90" i="2"/>
  <c r="X196" i="2"/>
  <c r="Y65" i="2"/>
  <c r="U141" i="2"/>
  <c r="AF141" i="2" s="1"/>
  <c r="L244" i="2"/>
  <c r="U294" i="2"/>
  <c r="AF294" i="2" s="1"/>
  <c r="AA270" i="2"/>
  <c r="N74" i="2"/>
  <c r="Z34" i="2"/>
  <c r="U266" i="2"/>
  <c r="AF266" i="2" s="1"/>
  <c r="Z189" i="2"/>
  <c r="Z239" i="2"/>
  <c r="N169" i="2"/>
  <c r="Q231" i="2"/>
  <c r="W67" i="2"/>
  <c r="T94" i="2"/>
  <c r="S388" i="2"/>
  <c r="W107" i="2"/>
  <c r="W284" i="2"/>
  <c r="O170" i="2"/>
  <c r="AA246" i="2"/>
  <c r="U409" i="2"/>
  <c r="R399" i="2"/>
  <c r="X281" i="2"/>
  <c r="N183" i="2"/>
  <c r="Y409" i="2"/>
  <c r="W337" i="2"/>
  <c r="Y298" i="2"/>
  <c r="S389" i="2"/>
  <c r="N274" i="2"/>
  <c r="R347" i="2"/>
  <c r="W323" i="2"/>
  <c r="W238" i="2"/>
  <c r="P312" i="2"/>
  <c r="N383" i="2"/>
  <c r="L400" i="2"/>
  <c r="S186" i="2"/>
  <c r="R401" i="2"/>
  <c r="O320" i="2"/>
  <c r="W236" i="2"/>
  <c r="U224" i="2"/>
  <c r="AF224" i="2" s="1"/>
  <c r="AA329" i="2"/>
  <c r="Z323" i="2"/>
  <c r="Y404" i="2"/>
  <c r="W413" i="2"/>
  <c r="P220" i="2"/>
  <c r="U309" i="2"/>
  <c r="AF309" i="2" s="1"/>
  <c r="O368" i="2"/>
  <c r="P259" i="2"/>
  <c r="U331" i="2"/>
  <c r="AF331" i="2" s="1"/>
  <c r="W269" i="2"/>
  <c r="N328" i="2"/>
  <c r="Y343" i="2"/>
  <c r="S368" i="2"/>
  <c r="R374" i="2"/>
  <c r="P240" i="2"/>
  <c r="O35" i="2"/>
  <c r="Q111" i="2"/>
  <c r="T63" i="2"/>
  <c r="Y177" i="2"/>
  <c r="O268" i="2"/>
  <c r="O121" i="2"/>
  <c r="N363" i="2"/>
  <c r="AA167" i="2"/>
  <c r="Y134" i="2"/>
  <c r="T87" i="2"/>
  <c r="S145" i="2"/>
  <c r="M263" i="2"/>
  <c r="AE263" i="2" s="1"/>
  <c r="Q73" i="2"/>
  <c r="W189" i="2"/>
  <c r="Z357" i="2"/>
  <c r="X231" i="2"/>
  <c r="Q345" i="2"/>
  <c r="S339" i="2"/>
  <c r="T239" i="2"/>
  <c r="Q295" i="2"/>
  <c r="R137" i="2"/>
  <c r="P416" i="2"/>
  <c r="S311" i="2"/>
  <c r="U357" i="2"/>
  <c r="Z49" i="2"/>
  <c r="T122" i="2"/>
  <c r="P346" i="2"/>
  <c r="J358" i="2"/>
  <c r="N160" i="2"/>
  <c r="W276" i="2"/>
  <c r="U377" i="2"/>
  <c r="AF377" i="2" s="1"/>
  <c r="S337" i="2"/>
  <c r="X344" i="2"/>
  <c r="X411" i="2"/>
  <c r="U342" i="2"/>
  <c r="AF342" i="2" s="1"/>
  <c r="T80" i="2"/>
  <c r="W213" i="2"/>
  <c r="T35" i="2"/>
  <c r="W221" i="2"/>
  <c r="W103" i="2"/>
  <c r="L292" i="2"/>
  <c r="AA177" i="2"/>
  <c r="P344" i="2"/>
  <c r="P283" i="2"/>
  <c r="U355" i="2"/>
  <c r="AF355" i="2" s="1"/>
  <c r="Z382" i="2"/>
  <c r="N320" i="2"/>
  <c r="J396" i="2"/>
  <c r="X393" i="2"/>
  <c r="O261" i="2"/>
  <c r="L308" i="2"/>
  <c r="L192" i="2"/>
  <c r="N54" i="2"/>
  <c r="S197" i="2"/>
  <c r="Y100" i="2"/>
  <c r="N213" i="2"/>
  <c r="Y375" i="2"/>
  <c r="X278" i="2"/>
  <c r="W86" i="2"/>
  <c r="P85" i="2"/>
  <c r="N139" i="2"/>
  <c r="Y198" i="2"/>
  <c r="R261" i="2"/>
  <c r="Y236" i="2"/>
  <c r="M124" i="2"/>
  <c r="AE124" i="2" s="1"/>
  <c r="W122" i="2"/>
  <c r="P316" i="2"/>
  <c r="M317" i="2"/>
  <c r="AE317" i="2" s="1"/>
  <c r="S191" i="2"/>
  <c r="T337" i="2"/>
  <c r="N397" i="2"/>
  <c r="M399" i="2"/>
  <c r="AE399" i="2" s="1"/>
  <c r="M329" i="2"/>
  <c r="AE329" i="2" s="1"/>
  <c r="N350" i="2"/>
  <c r="X404" i="2"/>
  <c r="Q167" i="2"/>
  <c r="T410" i="2"/>
  <c r="M309" i="2"/>
  <c r="AE309" i="2" s="1"/>
  <c r="O392" i="2"/>
  <c r="N305" i="2"/>
  <c r="L333" i="2"/>
  <c r="J350" i="2"/>
  <c r="R373" i="2"/>
  <c r="U316" i="2"/>
  <c r="AF316" i="2" s="1"/>
  <c r="Q144" i="2"/>
  <c r="X341" i="2"/>
  <c r="R288" i="2"/>
  <c r="Q384" i="2"/>
  <c r="T316" i="2"/>
  <c r="J278" i="2"/>
  <c r="R339" i="2"/>
  <c r="N371" i="2"/>
  <c r="M339" i="2"/>
  <c r="AE339" i="2" s="1"/>
  <c r="P216" i="2"/>
  <c r="Q283" i="2"/>
  <c r="X367" i="2"/>
  <c r="J266" i="2"/>
  <c r="Y207" i="2"/>
  <c r="Q191" i="2"/>
  <c r="T341" i="2"/>
  <c r="U235" i="2"/>
  <c r="AF235" i="2" s="1"/>
  <c r="AA231" i="2"/>
  <c r="P224" i="2"/>
  <c r="M82" i="2"/>
  <c r="AE82" i="2" s="1"/>
  <c r="X109" i="2"/>
  <c r="S332" i="2"/>
  <c r="N203" i="2"/>
  <c r="Z306" i="2"/>
  <c r="Y126" i="2"/>
  <c r="Z163" i="2"/>
  <c r="J75" i="2"/>
  <c r="L85" i="2"/>
  <c r="M39" i="2"/>
  <c r="AE39" i="2" s="1"/>
  <c r="T73" i="2"/>
  <c r="P270" i="2"/>
  <c r="W164" i="2"/>
  <c r="L166" i="2"/>
  <c r="W209" i="2"/>
  <c r="Z36" i="2"/>
  <c r="W302" i="2"/>
  <c r="X141" i="2"/>
  <c r="M194" i="2"/>
  <c r="AE194" i="2" s="1"/>
  <c r="S233" i="2"/>
  <c r="Q99" i="2"/>
  <c r="Q54" i="2"/>
  <c r="Q110" i="2"/>
  <c r="L99" i="2"/>
  <c r="P146" i="2"/>
  <c r="R194" i="2"/>
  <c r="N302" i="2"/>
  <c r="S202" i="2"/>
  <c r="Q171" i="2"/>
  <c r="M312" i="2"/>
  <c r="AE312" i="2" s="1"/>
  <c r="L370" i="2"/>
  <c r="L341" i="2"/>
  <c r="N220" i="2"/>
  <c r="M298" i="2"/>
  <c r="AE298" i="2" s="1"/>
  <c r="X382" i="2"/>
  <c r="Q412" i="2"/>
  <c r="X287" i="2"/>
  <c r="AA395" i="2"/>
  <c r="Z376" i="2"/>
  <c r="W279" i="2"/>
  <c r="P353" i="2"/>
  <c r="W286" i="2"/>
  <c r="S390" i="2"/>
  <c r="J322" i="2"/>
  <c r="J307" i="2"/>
  <c r="P308" i="2"/>
  <c r="L221" i="2"/>
  <c r="S371" i="2"/>
  <c r="S349" i="2"/>
  <c r="R309" i="2"/>
  <c r="U204" i="2"/>
  <c r="AF204" i="2" s="1"/>
  <c r="U382" i="2"/>
  <c r="AF382" i="2" s="1"/>
  <c r="J309" i="2"/>
  <c r="R128" i="2"/>
  <c r="Y381" i="2"/>
  <c r="S322" i="2"/>
  <c r="X390" i="2"/>
  <c r="O207" i="2"/>
  <c r="L195" i="2"/>
  <c r="T295" i="2"/>
  <c r="P247" i="2"/>
  <c r="M285" i="2"/>
  <c r="AE285" i="2" s="1"/>
  <c r="L393" i="2"/>
  <c r="L413" i="2"/>
  <c r="Y152" i="2"/>
  <c r="O72" i="2"/>
  <c r="J81" i="2"/>
  <c r="Y73" i="2"/>
  <c r="R145" i="2"/>
  <c r="U221" i="2"/>
  <c r="AF221" i="2" s="1"/>
  <c r="S181" i="2"/>
  <c r="L173" i="2"/>
  <c r="T190" i="2"/>
  <c r="M111" i="2"/>
  <c r="AE111" i="2" s="1"/>
  <c r="O101" i="2"/>
  <c r="Y249" i="2"/>
  <c r="Q130" i="2"/>
  <c r="P319" i="2"/>
  <c r="P226" i="2"/>
  <c r="T315" i="2"/>
  <c r="X85" i="2"/>
  <c r="W40" i="2"/>
  <c r="X321" i="2"/>
  <c r="P176" i="2"/>
  <c r="P174" i="2"/>
  <c r="R107" i="2"/>
  <c r="X265" i="2"/>
  <c r="Z313" i="2"/>
  <c r="Y288" i="2"/>
  <c r="R349" i="2"/>
  <c r="L168" i="2"/>
  <c r="AA338" i="2"/>
  <c r="U176" i="2"/>
  <c r="O256" i="2"/>
  <c r="L302" i="2"/>
  <c r="T261" i="2"/>
  <c r="AA323" i="2"/>
  <c r="J335" i="2"/>
  <c r="O344" i="2"/>
  <c r="J304" i="2"/>
  <c r="O402" i="2"/>
  <c r="Q360" i="2"/>
  <c r="S283" i="2"/>
  <c r="Q251" i="2"/>
  <c r="N398" i="2"/>
  <c r="R301" i="2"/>
  <c r="T350" i="2"/>
  <c r="L209" i="2"/>
  <c r="M311" i="2"/>
  <c r="AE311" i="2" s="1"/>
  <c r="N388" i="2"/>
  <c r="Y296" i="2"/>
  <c r="P354" i="2"/>
  <c r="W345" i="2"/>
  <c r="Q409" i="2"/>
  <c r="J341" i="2"/>
  <c r="U397" i="2"/>
  <c r="AF397" i="2" s="1"/>
  <c r="AA362" i="2"/>
  <c r="U268" i="2"/>
  <c r="AF268" i="2" s="1"/>
  <c r="X407" i="2"/>
  <c r="U328" i="2"/>
  <c r="AF328" i="2" s="1"/>
  <c r="Z39" i="2"/>
  <c r="L344" i="2"/>
  <c r="X110" i="2"/>
  <c r="N173" i="2"/>
  <c r="Q173" i="2"/>
  <c r="AA258" i="2"/>
  <c r="Z87" i="2"/>
  <c r="Z38" i="2"/>
  <c r="O360" i="2"/>
  <c r="L130" i="2"/>
  <c r="M279" i="2"/>
  <c r="AE279" i="2" s="1"/>
  <c r="X258" i="2"/>
  <c r="N87" i="2"/>
  <c r="P124" i="2"/>
  <c r="R111" i="2"/>
  <c r="AA42" i="2"/>
  <c r="S118" i="2"/>
  <c r="P311" i="2"/>
  <c r="Q172" i="2"/>
  <c r="S221" i="2"/>
  <c r="L39" i="2"/>
  <c r="Y61" i="2"/>
  <c r="N201" i="2"/>
  <c r="AA264" i="2"/>
  <c r="M229" i="2"/>
  <c r="AE229" i="2" s="1"/>
  <c r="R202" i="2"/>
  <c r="S246" i="2"/>
  <c r="T165" i="2"/>
  <c r="Z155" i="2"/>
  <c r="W406" i="2"/>
  <c r="J247" i="2"/>
  <c r="Z272" i="2"/>
  <c r="W408" i="2"/>
  <c r="S159" i="2"/>
  <c r="S286" i="2"/>
  <c r="M371" i="2"/>
  <c r="AE371" i="2" s="1"/>
  <c r="Q355" i="2"/>
  <c r="P190" i="2"/>
  <c r="U363" i="2"/>
  <c r="AF363" i="2" s="1"/>
  <c r="M253" i="2"/>
  <c r="AE253" i="2" s="1"/>
  <c r="Y406" i="2"/>
  <c r="P370" i="2"/>
  <c r="Y352" i="2"/>
  <c r="M353" i="2"/>
  <c r="AE353" i="2" s="1"/>
  <c r="R364" i="2"/>
  <c r="L394" i="2"/>
  <c r="W387" i="2"/>
  <c r="T265" i="2"/>
  <c r="T378" i="2"/>
  <c r="R156" i="2"/>
  <c r="AA293" i="2"/>
  <c r="R242" i="2"/>
  <c r="Q398" i="2"/>
  <c r="R328" i="2"/>
  <c r="Y221" i="2"/>
  <c r="N317" i="2"/>
  <c r="R402" i="2"/>
  <c r="M381" i="2"/>
  <c r="AE381" i="2" s="1"/>
  <c r="N358" i="2"/>
  <c r="U200" i="2"/>
  <c r="AF200" i="2" s="1"/>
  <c r="AA247" i="2"/>
  <c r="N412" i="2"/>
  <c r="T326" i="2"/>
  <c r="L273" i="2"/>
  <c r="Q330" i="2"/>
  <c r="W391" i="2"/>
  <c r="R385" i="2"/>
  <c r="L77" i="2"/>
  <c r="S44" i="2"/>
  <c r="N298" i="2"/>
  <c r="Q354" i="2"/>
  <c r="N276" i="2"/>
  <c r="M274" i="2"/>
  <c r="AE274" i="2" s="1"/>
  <c r="Z91" i="2"/>
  <c r="T163" i="2"/>
  <c r="M318" i="2"/>
  <c r="AE318" i="2" s="1"/>
  <c r="T249" i="2"/>
  <c r="U245" i="2"/>
  <c r="AF245" i="2" s="1"/>
  <c r="T328" i="2"/>
  <c r="O389" i="2"/>
  <c r="R247" i="2"/>
  <c r="M367" i="2"/>
  <c r="AE367" i="2" s="1"/>
  <c r="M173" i="2"/>
  <c r="AE173" i="2" s="1"/>
  <c r="M127" i="2"/>
  <c r="AE127" i="2" s="1"/>
  <c r="Z77" i="2"/>
  <c r="L174" i="2"/>
  <c r="J84" i="2"/>
  <c r="M203" i="2"/>
  <c r="AE203" i="2" s="1"/>
  <c r="O142" i="2"/>
  <c r="U242" i="2"/>
  <c r="AF242" i="2" s="1"/>
  <c r="J352" i="2"/>
  <c r="Y320" i="2"/>
  <c r="AA325" i="2"/>
  <c r="P290" i="2"/>
  <c r="AA349" i="2"/>
  <c r="S399" i="2"/>
  <c r="W336" i="2"/>
  <c r="AA271" i="2"/>
  <c r="U210" i="2"/>
  <c r="AF210" i="2" s="1"/>
  <c r="U279" i="2"/>
  <c r="AF279" i="2" s="1"/>
  <c r="Q152" i="2"/>
  <c r="Z292" i="2"/>
  <c r="AA265" i="2"/>
  <c r="T243" i="2"/>
  <c r="S228" i="2"/>
  <c r="R139" i="2"/>
  <c r="W65" i="2"/>
  <c r="S149" i="2"/>
  <c r="U60" i="2"/>
  <c r="AF60" i="2" s="1"/>
  <c r="O218" i="2"/>
  <c r="W158" i="2"/>
  <c r="S234" i="2"/>
  <c r="T61" i="2"/>
  <c r="J367" i="2"/>
  <c r="N241" i="2"/>
  <c r="R413" i="2"/>
  <c r="S318" i="2"/>
  <c r="J360" i="2"/>
  <c r="U372" i="2"/>
  <c r="AF372" i="2" s="1"/>
  <c r="N321" i="2"/>
  <c r="Y231" i="2"/>
  <c r="M415" i="2"/>
  <c r="AE415" i="2" s="1"/>
  <c r="Z172" i="2"/>
  <c r="T327" i="2"/>
  <c r="W328" i="2"/>
  <c r="N355" i="2"/>
  <c r="J248" i="2"/>
  <c r="J382" i="2"/>
  <c r="J387" i="2"/>
  <c r="R409" i="2"/>
  <c r="O411" i="2"/>
  <c r="P149" i="2"/>
  <c r="L227" i="2"/>
  <c r="Q304" i="2"/>
  <c r="M403" i="2"/>
  <c r="AE403" i="2" s="1"/>
  <c r="Q279" i="2"/>
  <c r="Y370" i="2"/>
  <c r="J391" i="2"/>
  <c r="AA327" i="2"/>
  <c r="J223" i="2"/>
  <c r="X337" i="2"/>
  <c r="Z271" i="2"/>
  <c r="Q406" i="2"/>
  <c r="T262" i="2"/>
  <c r="X232" i="2"/>
  <c r="U315" i="2"/>
  <c r="X230" i="2"/>
  <c r="U280" i="2"/>
  <c r="AF280" i="2" s="1"/>
  <c r="X150" i="2"/>
  <c r="AA105" i="2"/>
  <c r="W118" i="2"/>
  <c r="Z102" i="2"/>
  <c r="X240" i="2"/>
  <c r="P138" i="2"/>
  <c r="W288" i="2"/>
  <c r="AA197" i="2"/>
  <c r="O226" i="2"/>
  <c r="U103" i="2"/>
  <c r="AF103" i="2" s="1"/>
  <c r="Z54" i="2"/>
  <c r="S347" i="2"/>
  <c r="W159" i="2"/>
  <c r="T309" i="2"/>
  <c r="L202" i="2"/>
  <c r="J245" i="2"/>
  <c r="W283" i="2"/>
  <c r="W187" i="2"/>
  <c r="U384" i="2"/>
  <c r="Q264" i="2"/>
  <c r="T66" i="2"/>
  <c r="X43" i="2"/>
  <c r="T32" i="2"/>
  <c r="Y155" i="2"/>
  <c r="S141" i="2"/>
  <c r="U286" i="2"/>
  <c r="Z196" i="2"/>
  <c r="Q207" i="2"/>
  <c r="T242" i="2"/>
  <c r="Q380" i="2"/>
  <c r="S398" i="2"/>
  <c r="Q178" i="2"/>
  <c r="U405" i="2"/>
  <c r="AF405" i="2" s="1"/>
  <c r="U356" i="2"/>
  <c r="AF356" i="2" s="1"/>
  <c r="AA311" i="2"/>
  <c r="Y364" i="2"/>
  <c r="T397" i="2"/>
  <c r="AA380" i="2"/>
  <c r="M361" i="2"/>
  <c r="AE361" i="2" s="1"/>
  <c r="Q258" i="2"/>
  <c r="P237" i="2"/>
  <c r="O399" i="2"/>
  <c r="Q303" i="2"/>
  <c r="AA273" i="2"/>
  <c r="AA382" i="2"/>
  <c r="X345" i="2"/>
  <c r="S258" i="2"/>
  <c r="R327" i="2"/>
  <c r="X271" i="2"/>
  <c r="Y293" i="2"/>
  <c r="W324" i="2"/>
  <c r="L378" i="2"/>
  <c r="O191" i="2"/>
  <c r="AA415" i="2"/>
  <c r="W405" i="2"/>
  <c r="N300" i="2"/>
  <c r="J409" i="2"/>
  <c r="L245" i="2"/>
  <c r="W358" i="2"/>
  <c r="J404" i="2"/>
  <c r="S287" i="2"/>
  <c r="Y147" i="2"/>
  <c r="R363" i="2"/>
  <c r="R209" i="2"/>
  <c r="M37" i="2"/>
  <c r="AE37" i="2" s="1"/>
  <c r="U61" i="2"/>
  <c r="AF61" i="2" s="1"/>
  <c r="AA50" i="2"/>
  <c r="M86" i="2"/>
  <c r="AE86" i="2" s="1"/>
  <c r="J399" i="2"/>
  <c r="Q159" i="2"/>
  <c r="Y243" i="2"/>
  <c r="T363" i="2"/>
  <c r="R60" i="2"/>
  <c r="X120" i="2"/>
  <c r="S308" i="2"/>
  <c r="N349" i="2"/>
  <c r="P96" i="2"/>
  <c r="S310" i="2"/>
  <c r="J129" i="2"/>
  <c r="AA296" i="2"/>
  <c r="P87" i="2"/>
  <c r="J162" i="2"/>
  <c r="P261" i="2"/>
  <c r="Y335" i="2"/>
  <c r="J174" i="2"/>
  <c r="O343" i="2"/>
  <c r="R341" i="2"/>
  <c r="X385" i="2"/>
  <c r="O310" i="2"/>
  <c r="P267" i="2"/>
  <c r="W260" i="2"/>
  <c r="Z405" i="2"/>
  <c r="Y252" i="2"/>
  <c r="N329" i="2"/>
  <c r="N310" i="2"/>
  <c r="U351" i="2"/>
  <c r="AF351" i="2" s="1"/>
  <c r="R259" i="2"/>
  <c r="J324" i="2"/>
  <c r="M281" i="2"/>
  <c r="AE281" i="2" s="1"/>
  <c r="X413" i="2"/>
  <c r="M225" i="2"/>
  <c r="AE225" i="2" s="1"/>
  <c r="L404" i="2"/>
  <c r="W341" i="2"/>
  <c r="O203" i="2"/>
  <c r="AA333" i="2"/>
  <c r="Z289" i="2"/>
  <c r="W258" i="2"/>
  <c r="X406" i="2"/>
  <c r="O82" i="2"/>
  <c r="U388" i="2"/>
  <c r="X409" i="2"/>
  <c r="O331" i="2"/>
  <c r="P386" i="2"/>
  <c r="AA308" i="2"/>
  <c r="T289" i="2"/>
  <c r="W317" i="2"/>
  <c r="L387" i="2"/>
  <c r="X178" i="2"/>
  <c r="P359" i="2"/>
  <c r="N167" i="2"/>
  <c r="Y304" i="2"/>
  <c r="Z176" i="2"/>
  <c r="W37" i="2"/>
  <c r="T72" i="2"/>
  <c r="N281" i="2"/>
  <c r="Q288" i="2"/>
  <c r="Y164" i="2"/>
  <c r="U125" i="2"/>
  <c r="AF125" i="2" s="1"/>
  <c r="W162" i="2"/>
  <c r="X155" i="2"/>
  <c r="R113" i="2"/>
  <c r="T277" i="2"/>
  <c r="M160" i="2"/>
  <c r="AE160" i="2" s="1"/>
  <c r="X399" i="2"/>
  <c r="W382" i="2"/>
  <c r="U42" i="2"/>
  <c r="AF42" i="2" s="1"/>
  <c r="W233" i="2"/>
  <c r="P415" i="2"/>
  <c r="X338" i="2"/>
  <c r="L407" i="2"/>
  <c r="AA112" i="2"/>
  <c r="P122" i="2"/>
  <c r="J181" i="2"/>
  <c r="Q325" i="2"/>
  <c r="O253" i="2"/>
  <c r="S330" i="2"/>
  <c r="Z332" i="2"/>
  <c r="S352" i="2"/>
  <c r="Y393" i="2"/>
  <c r="J395" i="2"/>
  <c r="R333" i="2"/>
  <c r="T279" i="2"/>
  <c r="P273" i="2"/>
  <c r="T383" i="2"/>
  <c r="M275" i="2"/>
  <c r="AE275" i="2" s="1"/>
  <c r="S331" i="2"/>
  <c r="T405" i="2"/>
  <c r="M187" i="2"/>
  <c r="AE187" i="2" s="1"/>
  <c r="O279" i="2"/>
  <c r="AA369" i="2"/>
  <c r="N333" i="2"/>
  <c r="Q271" i="2"/>
  <c r="R277" i="2"/>
  <c r="AA414" i="2"/>
  <c r="N365" i="2"/>
  <c r="AA279" i="2"/>
  <c r="J275" i="2"/>
  <c r="X412" i="2"/>
  <c r="AA303" i="2"/>
  <c r="W367" i="2"/>
  <c r="O396" i="2"/>
  <c r="W147" i="2"/>
  <c r="J288" i="2"/>
  <c r="P326" i="2"/>
  <c r="N250" i="2"/>
  <c r="O409" i="2"/>
  <c r="Z349" i="2"/>
  <c r="N315" i="2"/>
  <c r="P286" i="2"/>
  <c r="P390" i="2"/>
  <c r="AA38" i="2"/>
  <c r="P41" i="2"/>
  <c r="R351" i="2"/>
  <c r="N288" i="2"/>
  <c r="Q82" i="2"/>
  <c r="X36" i="2"/>
  <c r="J321" i="2"/>
  <c r="Y53" i="2"/>
  <c r="P101" i="2"/>
  <c r="S345" i="2"/>
  <c r="N234" i="2"/>
  <c r="R260" i="2"/>
  <c r="J371" i="2"/>
  <c r="M320" i="2"/>
  <c r="AE320" i="2" s="1"/>
  <c r="U219" i="2"/>
  <c r="AF219" i="2" s="1"/>
  <c r="U336" i="2"/>
  <c r="AF336" i="2" s="1"/>
  <c r="X298" i="2"/>
  <c r="N389" i="2"/>
  <c r="Z326" i="2"/>
  <c r="T114" i="2"/>
  <c r="S104" i="2"/>
  <c r="Z383" i="2"/>
  <c r="U50" i="2"/>
  <c r="T198" i="2"/>
  <c r="AA306" i="2"/>
  <c r="R403" i="2"/>
  <c r="Z74" i="2"/>
  <c r="T382" i="2"/>
  <c r="Z296" i="2"/>
  <c r="R279" i="2"/>
  <c r="T149" i="2"/>
  <c r="X78" i="2"/>
  <c r="U203" i="2"/>
  <c r="AF203" i="2" s="1"/>
  <c r="O176" i="2"/>
  <c r="M83" i="2"/>
  <c r="AE83" i="2" s="1"/>
  <c r="Z333" i="2"/>
  <c r="L307" i="2"/>
  <c r="N414" i="2"/>
  <c r="N415" i="2"/>
  <c r="U354" i="2"/>
  <c r="AF354" i="2" s="1"/>
  <c r="O373" i="2"/>
  <c r="N410" i="2"/>
  <c r="X303" i="2"/>
  <c r="U293" i="2"/>
  <c r="AF293" i="2" s="1"/>
  <c r="J331" i="2"/>
  <c r="Z343" i="2"/>
  <c r="L291" i="2"/>
  <c r="X164" i="2"/>
  <c r="W327" i="2"/>
  <c r="L197" i="2"/>
  <c r="Z62" i="2"/>
  <c r="Z168" i="2"/>
  <c r="L213" i="2"/>
  <c r="AA54" i="2"/>
  <c r="Y192" i="2"/>
  <c r="Z410" i="2"/>
  <c r="X220" i="2"/>
  <c r="P69" i="2"/>
  <c r="Y104" i="2"/>
  <c r="S265" i="2"/>
  <c r="P276" i="2"/>
  <c r="N224" i="2"/>
  <c r="W38" i="2"/>
  <c r="P279" i="2"/>
  <c r="U410" i="2"/>
  <c r="AF410" i="2" s="1"/>
  <c r="N182" i="2"/>
  <c r="T398" i="2"/>
  <c r="Q339" i="2"/>
  <c r="T273" i="2"/>
  <c r="R391" i="2"/>
  <c r="Q290" i="2"/>
  <c r="W318" i="2"/>
  <c r="L323" i="2"/>
  <c r="P291" i="2"/>
  <c r="Q396" i="2"/>
  <c r="T235" i="2"/>
  <c r="P345" i="2"/>
  <c r="X297" i="2"/>
  <c r="U303" i="2"/>
  <c r="AF303" i="2" s="1"/>
  <c r="S394" i="2"/>
  <c r="J294" i="2"/>
  <c r="Q266" i="2"/>
  <c r="W349" i="2"/>
  <c r="O354" i="2"/>
  <c r="U291" i="2"/>
  <c r="AF291" i="2" s="1"/>
  <c r="L287" i="2"/>
  <c r="J374" i="2"/>
  <c r="R236" i="2"/>
  <c r="R326" i="2"/>
  <c r="P352" i="2"/>
  <c r="M255" i="2"/>
  <c r="AE255" i="2" s="1"/>
  <c r="W402" i="2"/>
  <c r="S411" i="2"/>
  <c r="X311" i="2"/>
  <c r="U43" i="2"/>
  <c r="AF43" i="2" s="1"/>
  <c r="AA225" i="2"/>
  <c r="S344" i="2"/>
  <c r="O167" i="2"/>
  <c r="Y217" i="2"/>
  <c r="O123" i="2"/>
  <c r="AA136" i="2"/>
  <c r="M254" i="2"/>
  <c r="AE254" i="2" s="1"/>
  <c r="Q265" i="2"/>
  <c r="J385" i="2"/>
  <c r="M159" i="2"/>
  <c r="AE159" i="2" s="1"/>
  <c r="W173" i="2"/>
  <c r="U225" i="2"/>
  <c r="AF225" i="2" s="1"/>
  <c r="L282" i="2"/>
  <c r="X54" i="2"/>
  <c r="U123" i="2"/>
  <c r="AF123" i="2" s="1"/>
  <c r="T98" i="2"/>
  <c r="W89" i="2"/>
  <c r="N158" i="2"/>
  <c r="J292" i="2"/>
  <c r="X274" i="2"/>
  <c r="Q274" i="2"/>
  <c r="Q272" i="2"/>
  <c r="W134" i="2"/>
  <c r="W388" i="2"/>
  <c r="U343" i="2"/>
  <c r="W204" i="2"/>
  <c r="X263" i="2"/>
  <c r="N42" i="2"/>
  <c r="Q92" i="2"/>
  <c r="N128" i="2"/>
  <c r="N282" i="2"/>
  <c r="N197" i="2"/>
  <c r="L225" i="2"/>
  <c r="P166" i="2"/>
  <c r="W297" i="2"/>
  <c r="W142" i="2"/>
  <c r="S319" i="2"/>
  <c r="Z275" i="2"/>
  <c r="S364" i="2"/>
  <c r="S282" i="2"/>
  <c r="Q238" i="2"/>
  <c r="Y292" i="2"/>
  <c r="W351" i="2"/>
  <c r="X276" i="2"/>
  <c r="T310" i="2"/>
  <c r="S357" i="2"/>
  <c r="T223" i="2"/>
  <c r="P305" i="2"/>
  <c r="T402" i="2"/>
  <c r="Z120" i="2"/>
  <c r="J337" i="2"/>
  <c r="U289" i="2"/>
  <c r="AF289" i="2" s="1"/>
  <c r="P348" i="2"/>
  <c r="Y353" i="2"/>
  <c r="P275" i="2"/>
  <c r="R246" i="2"/>
  <c r="L327" i="2"/>
  <c r="Z197" i="2"/>
  <c r="J384" i="2"/>
  <c r="Z409" i="2"/>
  <c r="J347" i="2"/>
  <c r="P295" i="2"/>
  <c r="Q281" i="2"/>
  <c r="T396" i="2"/>
  <c r="U312" i="2"/>
  <c r="U380" i="2"/>
  <c r="S46" i="2"/>
  <c r="Q320" i="2"/>
  <c r="S37" i="2"/>
  <c r="AA99" i="2"/>
  <c r="M92" i="2"/>
  <c r="AE92" i="2" s="1"/>
  <c r="X221" i="2"/>
  <c r="N200" i="2"/>
  <c r="J216" i="2"/>
  <c r="U271" i="2"/>
  <c r="AF271" i="2" s="1"/>
  <c r="W45" i="2"/>
  <c r="L110" i="2"/>
  <c r="U205" i="2"/>
  <c r="AF205" i="2" s="1"/>
  <c r="Q187" i="2"/>
  <c r="M218" i="2"/>
  <c r="AE218" i="2" s="1"/>
  <c r="Z76" i="2"/>
  <c r="P86" i="2"/>
  <c r="L103" i="2"/>
  <c r="O201" i="2"/>
  <c r="U154" i="2"/>
  <c r="AF154" i="2" s="1"/>
  <c r="Y287" i="2"/>
  <c r="P151" i="2"/>
  <c r="L257" i="2"/>
  <c r="J370" i="2"/>
  <c r="P318" i="2"/>
  <c r="J369" i="2"/>
  <c r="L153" i="2"/>
  <c r="T334" i="2"/>
  <c r="X380" i="2"/>
  <c r="S376" i="2"/>
  <c r="R381" i="2"/>
  <c r="N319" i="2"/>
  <c r="M404" i="2"/>
  <c r="AE404" i="2" s="1"/>
  <c r="Y159" i="2"/>
  <c r="P369" i="2"/>
  <c r="J310" i="2"/>
  <c r="J281" i="2"/>
  <c r="N401" i="2"/>
  <c r="X200" i="2"/>
  <c r="T384" i="2"/>
  <c r="M257" i="2"/>
  <c r="AE257" i="2" s="1"/>
  <c r="Y402" i="2"/>
  <c r="Y173" i="2"/>
  <c r="Y400" i="2"/>
  <c r="L366" i="2"/>
  <c r="M268" i="2"/>
  <c r="AE268" i="2" s="1"/>
  <c r="P294" i="2"/>
  <c r="R192" i="2"/>
  <c r="AA353" i="2"/>
  <c r="U338" i="2"/>
  <c r="AF338" i="2" s="1"/>
  <c r="T237" i="2"/>
  <c r="U337" i="2"/>
  <c r="S342" i="2"/>
  <c r="X272" i="2"/>
  <c r="M333" i="2"/>
  <c r="AE333" i="2" s="1"/>
  <c r="Y374" i="2"/>
  <c r="R81" i="2"/>
  <c r="M395" i="2"/>
  <c r="AE395" i="2" s="1"/>
  <c r="L131" i="2"/>
  <c r="J246" i="2"/>
  <c r="Z213" i="2"/>
  <c r="Z215" i="2"/>
  <c r="P78" i="2"/>
  <c r="Z83" i="2"/>
  <c r="Q183" i="2"/>
  <c r="R233" i="2"/>
  <c r="R117" i="2"/>
  <c r="S232" i="2"/>
  <c r="R182" i="2"/>
  <c r="AA102" i="2"/>
  <c r="Q248" i="2"/>
  <c r="W79" i="2"/>
  <c r="L68" i="2"/>
  <c r="U243" i="2"/>
  <c r="Z252" i="2"/>
  <c r="S156" i="2"/>
  <c r="R296" i="2"/>
  <c r="X167" i="2"/>
  <c r="Y76" i="2"/>
  <c r="Z225" i="2"/>
  <c r="S119" i="2"/>
  <c r="Z340" i="2"/>
  <c r="L248" i="2"/>
  <c r="N112" i="2"/>
  <c r="AA143" i="2"/>
  <c r="X213" i="2"/>
  <c r="Z250" i="2"/>
  <c r="X183" i="2"/>
  <c r="O136" i="2"/>
  <c r="O336" i="2"/>
  <c r="O330" i="2"/>
  <c r="T241" i="2"/>
  <c r="S312" i="2"/>
  <c r="L358" i="2"/>
  <c r="O338" i="2"/>
  <c r="Q329" i="2"/>
  <c r="AA408" i="2"/>
  <c r="L392" i="2"/>
  <c r="L342" i="2"/>
  <c r="J208" i="2"/>
  <c r="L406" i="2"/>
  <c r="R343" i="2"/>
  <c r="O323" i="2"/>
  <c r="Z362" i="2"/>
  <c r="U329" i="2"/>
  <c r="AF329" i="2" s="1"/>
  <c r="M372" i="2"/>
  <c r="AE372" i="2" s="1"/>
  <c r="W299" i="2"/>
  <c r="U393" i="2"/>
  <c r="AF393" i="2" s="1"/>
  <c r="W229" i="2"/>
  <c r="W329" i="2"/>
  <c r="Y284" i="2"/>
  <c r="N269" i="2"/>
  <c r="AA370" i="2"/>
  <c r="X214" i="2"/>
  <c r="M314" i="2"/>
  <c r="AE314" i="2" s="1"/>
  <c r="J314" i="2"/>
  <c r="M391" i="2"/>
  <c r="AE391" i="2" s="1"/>
  <c r="L161" i="2"/>
  <c r="X353" i="2"/>
  <c r="L375" i="2"/>
  <c r="P219" i="2"/>
  <c r="X339" i="2"/>
  <c r="M195" i="2"/>
  <c r="AE195" i="2" s="1"/>
  <c r="U88" i="2"/>
  <c r="AF88" i="2" s="1"/>
  <c r="O110" i="2"/>
  <c r="W175" i="2"/>
  <c r="T234" i="2"/>
  <c r="J273" i="2"/>
  <c r="L252" i="2"/>
  <c r="N38" i="2"/>
  <c r="Z65" i="2"/>
  <c r="P128" i="2"/>
  <c r="N231" i="2"/>
  <c r="M243" i="2"/>
  <c r="AE243" i="2" s="1"/>
  <c r="N179" i="2"/>
  <c r="Z204" i="2"/>
  <c r="W412" i="2"/>
  <c r="P251" i="2"/>
  <c r="X203" i="2"/>
  <c r="Q408" i="2"/>
  <c r="L357" i="2"/>
  <c r="J290" i="2"/>
  <c r="Z335" i="2"/>
  <c r="Z375" i="2"/>
  <c r="U398" i="2"/>
  <c r="AF398" i="2" s="1"/>
  <c r="S414" i="2"/>
  <c r="J412" i="2"/>
  <c r="M414" i="2"/>
  <c r="AE414" i="2" s="1"/>
  <c r="T199" i="2"/>
  <c r="T227" i="2"/>
  <c r="M162" i="2"/>
  <c r="AE162" i="2" s="1"/>
  <c r="U364" i="2"/>
  <c r="AF364" i="2" s="1"/>
  <c r="X348" i="2"/>
  <c r="O313" i="2"/>
  <c r="AA39" i="2"/>
  <c r="Y315" i="2"/>
  <c r="P129" i="2"/>
  <c r="U264" i="2"/>
  <c r="AF264" i="2" s="1"/>
  <c r="W172" i="2"/>
  <c r="Z393" i="2"/>
  <c r="R250" i="2"/>
  <c r="R323" i="2"/>
  <c r="L383" i="2"/>
  <c r="N293" i="2"/>
  <c r="Z223" i="2"/>
  <c r="U353" i="2"/>
  <c r="AF353" i="2" s="1"/>
  <c r="U232" i="2"/>
  <c r="AF232" i="2" s="1"/>
  <c r="Z336" i="2"/>
  <c r="T369" i="2"/>
  <c r="Y360" i="2"/>
  <c r="P306" i="2"/>
  <c r="W48" i="2"/>
  <c r="S222" i="2"/>
  <c r="AA299" i="2"/>
  <c r="Y282" i="2"/>
  <c r="P381" i="2"/>
  <c r="X358" i="2"/>
  <c r="X416" i="2"/>
  <c r="AA383" i="2"/>
  <c r="O222" i="2"/>
  <c r="Q414" i="2"/>
  <c r="P221" i="2"/>
  <c r="O118" i="2"/>
  <c r="Q40" i="2"/>
  <c r="R256" i="2"/>
  <c r="Z136" i="2"/>
  <c r="U402" i="2"/>
  <c r="AF402" i="2" s="1"/>
  <c r="AA220" i="2"/>
  <c r="P364" i="2"/>
  <c r="Q200" i="2"/>
  <c r="R302" i="2"/>
  <c r="O395" i="2"/>
  <c r="AA234" i="2"/>
  <c r="T314" i="2"/>
  <c r="AA342" i="2"/>
  <c r="N376" i="2"/>
  <c r="O195" i="2"/>
  <c r="M105" i="2"/>
  <c r="AE105" i="2" s="1"/>
  <c r="T260" i="2"/>
  <c r="AA176" i="2"/>
  <c r="M103" i="2"/>
  <c r="AE103" i="2" s="1"/>
  <c r="W188" i="2"/>
  <c r="Q168" i="2"/>
  <c r="N60" i="2"/>
  <c r="U174" i="2"/>
  <c r="AF174" i="2" s="1"/>
  <c r="J222" i="2"/>
  <c r="M330" i="2"/>
  <c r="AE330" i="2" s="1"/>
  <c r="L56" i="2"/>
  <c r="J155" i="2"/>
  <c r="T180" i="2"/>
  <c r="Z144" i="2"/>
  <c r="N137" i="2"/>
  <c r="Q275" i="2"/>
  <c r="N55" i="2"/>
  <c r="S350" i="2"/>
  <c r="T365" i="2"/>
  <c r="R226" i="2"/>
  <c r="J378" i="2"/>
  <c r="P303" i="2"/>
  <c r="N341" i="2"/>
  <c r="AA298" i="2"/>
  <c r="O372" i="2"/>
  <c r="P257" i="2"/>
  <c r="T305" i="2"/>
  <c r="W224" i="2"/>
  <c r="P343" i="2"/>
  <c r="J372" i="2"/>
  <c r="Q223" i="2"/>
  <c r="Z319" i="2"/>
  <c r="T401" i="2"/>
  <c r="Z387" i="2"/>
  <c r="N286" i="2"/>
  <c r="Q394" i="2"/>
  <c r="AA405" i="2"/>
  <c r="Y359" i="2"/>
  <c r="AA275" i="2"/>
  <c r="L372" i="2"/>
  <c r="X350" i="2"/>
  <c r="U216" i="2"/>
  <c r="AF216" i="2" s="1"/>
  <c r="AA328" i="2"/>
  <c r="W322" i="2"/>
  <c r="Z412" i="2"/>
  <c r="M348" i="2"/>
  <c r="AE348" i="2" s="1"/>
  <c r="M208" i="2"/>
  <c r="AE208" i="2" s="1"/>
  <c r="X72" i="2"/>
  <c r="AA47" i="2"/>
  <c r="P201" i="2"/>
  <c r="X334" i="2"/>
  <c r="U173" i="2"/>
  <c r="L184" i="2"/>
  <c r="J178" i="2"/>
  <c r="M93" i="2"/>
  <c r="AE93" i="2" s="1"/>
  <c r="O236" i="2"/>
  <c r="N249" i="2"/>
  <c r="W163" i="2"/>
  <c r="L386" i="2"/>
  <c r="J118" i="2"/>
  <c r="S39" i="2"/>
  <c r="T40" i="2"/>
  <c r="Z282" i="2"/>
  <c r="M230" i="2"/>
  <c r="AE230" i="2" s="1"/>
  <c r="N73" i="2"/>
  <c r="M235" i="2"/>
  <c r="AE235" i="2" s="1"/>
  <c r="Y153" i="2"/>
  <c r="R57" i="2"/>
  <c r="T161" i="2"/>
  <c r="AA86" i="2"/>
  <c r="U209" i="2"/>
  <c r="AF209" i="2" s="1"/>
  <c r="Q133" i="2"/>
  <c r="Y319" i="2"/>
  <c r="Y124" i="2"/>
  <c r="S90" i="2"/>
  <c r="X273" i="2"/>
  <c r="L179" i="2"/>
  <c r="AA180" i="2"/>
  <c r="Y333" i="2"/>
  <c r="X188" i="2"/>
  <c r="T414" i="2"/>
  <c r="N416" i="2"/>
  <c r="P272" i="2"/>
  <c r="T201" i="2"/>
  <c r="AA345" i="2"/>
  <c r="R395" i="2"/>
  <c r="L229" i="2"/>
  <c r="N405" i="2"/>
  <c r="S370" i="2"/>
  <c r="T319" i="2"/>
  <c r="Y133" i="2"/>
  <c r="T368" i="2"/>
  <c r="J356" i="2"/>
  <c r="M204" i="2"/>
  <c r="AE204" i="2" s="1"/>
  <c r="W266" i="2"/>
  <c r="T105" i="2"/>
  <c r="N257" i="2"/>
  <c r="U180" i="2"/>
  <c r="T323" i="2"/>
  <c r="R164" i="2"/>
  <c r="U299" i="2"/>
  <c r="T342" i="2"/>
  <c r="N369" i="2"/>
  <c r="Z251" i="2"/>
  <c r="Q301" i="2"/>
  <c r="AA346" i="2"/>
  <c r="P282" i="2"/>
  <c r="X363" i="2"/>
  <c r="Z374" i="2"/>
  <c r="Z396" i="2"/>
  <c r="M196" i="2"/>
  <c r="AE196" i="2" s="1"/>
  <c r="W352" i="2"/>
  <c r="M343" i="2"/>
  <c r="AE343" i="2" s="1"/>
  <c r="T74" i="2"/>
  <c r="AA117" i="2"/>
  <c r="M209" i="2"/>
  <c r="AE209" i="2" s="1"/>
  <c r="J388" i="2"/>
  <c r="J107" i="2"/>
  <c r="S260" i="2"/>
  <c r="AA227" i="2"/>
  <c r="W84" i="2"/>
  <c r="P37" i="2"/>
  <c r="Q338" i="2"/>
  <c r="T221" i="2"/>
  <c r="Y241" i="2"/>
  <c r="L379" i="2"/>
  <c r="Y258" i="2"/>
  <c r="Q291" i="2"/>
  <c r="N277" i="2"/>
  <c r="P277" i="2"/>
  <c r="P227" i="2"/>
  <c r="L369" i="2"/>
  <c r="Q386" i="2"/>
  <c r="L255" i="2"/>
  <c r="N378" i="2"/>
  <c r="S146" i="2"/>
  <c r="O213" i="2"/>
  <c r="S82" i="2"/>
  <c r="R93" i="2"/>
  <c r="L206" i="2"/>
  <c r="X238" i="2"/>
  <c r="O60" i="2"/>
  <c r="J289" i="2"/>
  <c r="M245" i="2"/>
  <c r="AE245" i="2" s="1"/>
  <c r="T263" i="2"/>
  <c r="O259" i="2"/>
  <c r="T354" i="2"/>
  <c r="P347" i="2"/>
  <c r="U373" i="2"/>
  <c r="AF373" i="2" s="1"/>
  <c r="X347" i="2"/>
  <c r="M374" i="2"/>
  <c r="AE374" i="2" s="1"/>
  <c r="X362" i="2"/>
  <c r="Y337" i="2"/>
  <c r="W400" i="2"/>
  <c r="X80" i="2"/>
  <c r="Q308" i="2"/>
  <c r="Q33" i="2"/>
  <c r="O103" i="2"/>
  <c r="P241" i="2"/>
  <c r="AA330" i="2"/>
  <c r="Q336" i="2"/>
  <c r="R210" i="2"/>
  <c r="T255" i="2"/>
  <c r="U284" i="2"/>
  <c r="AF284" i="2" s="1"/>
  <c r="Y416" i="2"/>
  <c r="O254" i="2"/>
  <c r="M387" i="2"/>
  <c r="AE387" i="2" s="1"/>
  <c r="AA165" i="2"/>
  <c r="S276" i="2"/>
  <c r="T181" i="2"/>
  <c r="U65" i="2"/>
  <c r="O284" i="2"/>
  <c r="S271" i="2"/>
  <c r="M125" i="2"/>
  <c r="AE125" i="2" s="1"/>
  <c r="Y115" i="2"/>
  <c r="J298" i="2"/>
  <c r="L293" i="2"/>
  <c r="S412" i="2"/>
  <c r="L262" i="2"/>
  <c r="U247" i="2"/>
  <c r="O380" i="2"/>
  <c r="O353" i="2"/>
  <c r="J365" i="2"/>
  <c r="Y176" i="2"/>
  <c r="Q138" i="2"/>
  <c r="Y171" i="2"/>
  <c r="U74" i="2"/>
  <c r="AF74" i="2" s="1"/>
  <c r="AA138" i="2"/>
  <c r="Q166" i="2"/>
  <c r="J103" i="2"/>
  <c r="J140" i="2"/>
  <c r="T212" i="2"/>
  <c r="O298" i="2"/>
  <c r="T119" i="2"/>
  <c r="U158" i="2"/>
  <c r="AF158" i="2" s="1"/>
  <c r="O182" i="2"/>
  <c r="L152" i="2"/>
  <c r="U259" i="2"/>
  <c r="AF259" i="2" s="1"/>
  <c r="Y286" i="2"/>
  <c r="R297" i="2"/>
  <c r="O271" i="2"/>
  <c r="R313" i="2"/>
  <c r="S351" i="2"/>
  <c r="L374" i="2"/>
  <c r="W334" i="2"/>
  <c r="M200" i="2"/>
  <c r="AE200" i="2" s="1"/>
  <c r="O301" i="2"/>
  <c r="U378" i="2"/>
  <c r="AF378" i="2" s="1"/>
  <c r="P211" i="2"/>
  <c r="AA302" i="2"/>
  <c r="U335" i="2"/>
  <c r="AF335" i="2" s="1"/>
  <c r="X168" i="2"/>
  <c r="W246" i="2"/>
  <c r="Z318" i="2"/>
  <c r="Y324" i="2"/>
  <c r="AA289" i="2"/>
  <c r="U413" i="2"/>
  <c r="AF413" i="2" s="1"/>
  <c r="N402" i="2"/>
  <c r="J326" i="2"/>
  <c r="T170" i="2"/>
  <c r="R416" i="2"/>
  <c r="W313" i="2"/>
  <c r="X313" i="2"/>
  <c r="N292" i="2"/>
  <c r="T320" i="2"/>
  <c r="P382" i="2"/>
  <c r="J373" i="2"/>
  <c r="P296" i="2"/>
  <c r="X132" i="2"/>
  <c r="M322" i="2"/>
  <c r="AE322" i="2" s="1"/>
  <c r="M161" i="2"/>
  <c r="AE161" i="2" s="1"/>
  <c r="M358" i="2"/>
  <c r="AE358" i="2" s="1"/>
  <c r="AA390" i="2"/>
  <c r="L55" i="2"/>
  <c r="S227" i="2"/>
  <c r="L191" i="2"/>
  <c r="Z181" i="2"/>
  <c r="Q268" i="2"/>
  <c r="P46" i="2"/>
  <c r="Q51" i="2"/>
  <c r="AA128" i="2"/>
  <c r="J206" i="2"/>
  <c r="Z320" i="2"/>
  <c r="S255" i="2"/>
  <c r="U352" i="2"/>
  <c r="N152" i="2"/>
  <c r="M148" i="2"/>
  <c r="AE148" i="2" s="1"/>
  <c r="U37" i="2"/>
  <c r="AF37" i="2" s="1"/>
  <c r="O32" i="2"/>
  <c r="O408" i="2"/>
  <c r="T126" i="2"/>
  <c r="U317" i="2"/>
  <c r="O375" i="2"/>
  <c r="U139" i="2"/>
  <c r="L79" i="2"/>
  <c r="M293" i="2"/>
  <c r="AE293" i="2" s="1"/>
  <c r="R171" i="2"/>
  <c r="L328" i="2"/>
  <c r="P56" i="2"/>
  <c r="N407" i="2"/>
  <c r="Q359" i="2"/>
  <c r="M180" i="2"/>
  <c r="AE180" i="2" s="1"/>
  <c r="Z115" i="2"/>
  <c r="Z368" i="2"/>
  <c r="Q327" i="2"/>
  <c r="Z353" i="2"/>
  <c r="T42" i="2"/>
  <c r="J344" i="2"/>
  <c r="O394" i="2"/>
  <c r="AA332" i="2"/>
  <c r="T403" i="2"/>
  <c r="P397" i="2"/>
  <c r="P292" i="2"/>
  <c r="M276" i="2"/>
  <c r="AE276" i="2" s="1"/>
  <c r="S385" i="2"/>
  <c r="W335" i="2"/>
  <c r="W264" i="2"/>
  <c r="Z285" i="2"/>
  <c r="P363" i="2"/>
  <c r="Q371" i="2"/>
  <c r="M363" i="2"/>
  <c r="AE363" i="2" s="1"/>
  <c r="W303" i="2"/>
  <c r="N386" i="2"/>
  <c r="J156" i="2"/>
  <c r="L259" i="2"/>
  <c r="P215" i="2"/>
  <c r="O332" i="2"/>
  <c r="M393" i="2"/>
  <c r="AE393" i="2" s="1"/>
  <c r="X410" i="2"/>
  <c r="X368" i="2"/>
  <c r="O239" i="2"/>
  <c r="P401" i="2"/>
  <c r="Z79" i="2"/>
  <c r="Y86" i="2"/>
  <c r="X127" i="2"/>
  <c r="J137" i="2"/>
  <c r="J413" i="2"/>
  <c r="AA186" i="2"/>
  <c r="AA379" i="2"/>
  <c r="S86" i="2"/>
  <c r="M112" i="2"/>
  <c r="AE112" i="2" s="1"/>
  <c r="Q63" i="2"/>
  <c r="P378" i="2"/>
  <c r="Q277" i="2"/>
  <c r="T298" i="2"/>
  <c r="Y290" i="2"/>
  <c r="Q93" i="2"/>
  <c r="X41" i="2"/>
  <c r="O102" i="2"/>
  <c r="Z106" i="2"/>
  <c r="P396" i="2"/>
  <c r="L162" i="2"/>
  <c r="N347" i="2"/>
  <c r="W359" i="2"/>
  <c r="U91" i="2"/>
  <c r="AF91" i="2" s="1"/>
  <c r="Q410" i="2"/>
  <c r="X256" i="2"/>
  <c r="R183" i="2"/>
  <c r="U365" i="2"/>
  <c r="AF365" i="2" s="1"/>
  <c r="L343" i="2"/>
  <c r="N406" i="2"/>
  <c r="S353" i="2"/>
  <c r="P375" i="2"/>
  <c r="W373" i="2"/>
  <c r="Y247" i="2"/>
  <c r="X319" i="2"/>
  <c r="R379" i="2"/>
  <c r="T356" i="2"/>
  <c r="AA351" i="2"/>
  <c r="X327" i="2"/>
  <c r="P362" i="2"/>
  <c r="W115" i="2"/>
  <c r="W252" i="2"/>
  <c r="Q297" i="2"/>
  <c r="Z381" i="2"/>
  <c r="X372" i="2"/>
  <c r="L331" i="2"/>
  <c r="U236" i="2"/>
  <c r="AF236" i="2" s="1"/>
  <c r="Q361" i="2"/>
  <c r="N295" i="2"/>
  <c r="Y380" i="2"/>
  <c r="W377" i="2"/>
  <c r="R371" i="2"/>
  <c r="Z360" i="2"/>
  <c r="L403" i="2"/>
  <c r="R384" i="2"/>
  <c r="M139" i="2"/>
  <c r="AE139" i="2" s="1"/>
  <c r="M369" i="2"/>
  <c r="AE369" i="2" s="1"/>
  <c r="W326" i="2"/>
  <c r="U375" i="2"/>
  <c r="AF375" i="2" s="1"/>
  <c r="M416" i="2"/>
  <c r="AE416" i="2" s="1"/>
  <c r="AA164" i="2"/>
  <c r="N43" i="2"/>
  <c r="O52" i="2"/>
  <c r="N78" i="2"/>
  <c r="X237" i="2"/>
  <c r="R109" i="2"/>
  <c r="N143" i="2"/>
  <c r="T140" i="2"/>
  <c r="J191" i="2"/>
  <c r="R160" i="2"/>
  <c r="Q75" i="2"/>
  <c r="AA120" i="2"/>
  <c r="U304" i="2"/>
  <c r="AA209" i="2"/>
  <c r="Y299" i="2"/>
  <c r="O234" i="2"/>
  <c r="U78" i="2"/>
  <c r="AF78" i="2" s="1"/>
  <c r="W87" i="2"/>
  <c r="U110" i="2"/>
  <c r="M307" i="2"/>
  <c r="AE307" i="2" s="1"/>
  <c r="L208" i="2"/>
  <c r="W379" i="2"/>
  <c r="R354" i="2"/>
  <c r="Q87" i="2"/>
  <c r="U34" i="2"/>
  <c r="Y234" i="2"/>
  <c r="Y391" i="2"/>
  <c r="S94" i="2"/>
  <c r="Y322" i="2"/>
  <c r="AA291" i="2"/>
  <c r="J236" i="2"/>
  <c r="Z414" i="2"/>
  <c r="N299" i="2"/>
  <c r="W202" i="2"/>
  <c r="O370" i="2"/>
  <c r="L376" i="2"/>
  <c r="N373" i="2"/>
  <c r="J407" i="2"/>
  <c r="Q326" i="2"/>
  <c r="AA375" i="2"/>
  <c r="Z175" i="2"/>
  <c r="Z287" i="2"/>
  <c r="L322" i="2"/>
  <c r="R408" i="2"/>
  <c r="X282" i="2"/>
  <c r="J405" i="2"/>
  <c r="S407" i="2"/>
  <c r="R415" i="2"/>
  <c r="W151" i="2"/>
  <c r="P265" i="2"/>
  <c r="N338" i="2"/>
  <c r="R388" i="2"/>
  <c r="Q377" i="2"/>
  <c r="Y405" i="2"/>
  <c r="T296" i="2"/>
  <c r="Q366" i="2"/>
  <c r="W330" i="2"/>
  <c r="Z113" i="2"/>
  <c r="J250" i="2"/>
  <c r="S280" i="2"/>
  <c r="Z352" i="2"/>
  <c r="X365" i="2"/>
  <c r="X295" i="2"/>
  <c r="Y323" i="2"/>
  <c r="R338" i="2"/>
  <c r="T160" i="2"/>
  <c r="J291" i="2"/>
  <c r="P80" i="2"/>
  <c r="U265" i="2"/>
  <c r="AF265" i="2" s="1"/>
  <c r="M389" i="2"/>
  <c r="AE389" i="2" s="1"/>
  <c r="Y314" i="2"/>
  <c r="M101" i="2"/>
  <c r="AE101" i="2" s="1"/>
  <c r="Q126" i="2"/>
  <c r="X174" i="2"/>
  <c r="O237" i="2"/>
  <c r="Z356" i="2"/>
  <c r="M224" i="2"/>
  <c r="AE224" i="2" s="1"/>
  <c r="O412" i="2"/>
  <c r="L334" i="2"/>
  <c r="X398" i="2"/>
  <c r="L45" i="2"/>
  <c r="R237" i="2"/>
  <c r="X333" i="2"/>
  <c r="W339" i="2"/>
  <c r="Y273" i="2"/>
  <c r="O378" i="2"/>
  <c r="J349" i="2"/>
  <c r="M408" i="2"/>
  <c r="AE408" i="2" s="1"/>
  <c r="O388" i="2"/>
  <c r="N232" i="2"/>
  <c r="L89" i="2"/>
  <c r="M335" i="2"/>
  <c r="AE335" i="2" s="1"/>
  <c r="J135" i="2"/>
  <c r="M150" i="2"/>
  <c r="AE150" i="2" s="1"/>
  <c r="Z140" i="2"/>
  <c r="Q316" i="2"/>
  <c r="L140" i="2"/>
  <c r="AA285" i="2"/>
  <c r="M288" i="2"/>
  <c r="AE288" i="2" s="1"/>
  <c r="Y264" i="2"/>
  <c r="S377" i="2"/>
  <c r="M191" i="2"/>
  <c r="AE191" i="2" s="1"/>
  <c r="T389" i="2"/>
  <c r="M352" i="2"/>
  <c r="AE352" i="2" s="1"/>
  <c r="S341" i="2"/>
  <c r="O141" i="2"/>
  <c r="Y195" i="2"/>
  <c r="W149" i="2"/>
  <c r="U84" i="2"/>
  <c r="J342" i="2"/>
  <c r="AA317" i="2"/>
  <c r="T276" i="2"/>
  <c r="X279" i="2"/>
  <c r="M147" i="2"/>
  <c r="AE147" i="2" s="1"/>
  <c r="Z297" i="2"/>
  <c r="M57" i="2"/>
  <c r="AE57" i="2" s="1"/>
  <c r="AA212" i="2"/>
  <c r="Y413" i="2"/>
  <c r="S193" i="2"/>
  <c r="Z284" i="2"/>
  <c r="M178" i="2"/>
  <c r="AE178" i="2" s="1"/>
  <c r="Y390" i="2"/>
  <c r="O199" i="2"/>
  <c r="T416" i="2"/>
  <c r="O215" i="2"/>
  <c r="Q269" i="2"/>
  <c r="P391" i="2"/>
  <c r="P288" i="2"/>
  <c r="L317" i="2"/>
  <c r="X97" i="2"/>
  <c r="X318" i="2"/>
  <c r="R350" i="2"/>
  <c r="M360" i="2"/>
  <c r="AE360" i="2" s="1"/>
  <c r="R254" i="2"/>
  <c r="J149" i="2"/>
  <c r="M256" i="2"/>
  <c r="AE256" i="2" s="1"/>
  <c r="Q387" i="2"/>
  <c r="L321" i="2"/>
  <c r="Q96" i="2"/>
  <c r="T409" i="2"/>
  <c r="S290" i="2"/>
  <c r="S348" i="2"/>
  <c r="O175" i="2"/>
  <c r="Q140" i="2"/>
  <c r="J339" i="2"/>
  <c r="N322" i="2"/>
  <c r="M359" i="2"/>
  <c r="AE359" i="2" s="1"/>
  <c r="T321" i="2"/>
  <c r="J340" i="2"/>
  <c r="Z350" i="2"/>
  <c r="U369" i="2"/>
  <c r="AF369" i="2" s="1"/>
  <c r="AA366" i="2"/>
  <c r="AA70" i="2"/>
  <c r="T78" i="2"/>
  <c r="Z156" i="2"/>
  <c r="S259" i="2"/>
  <c r="M226" i="2"/>
  <c r="AE226" i="2" s="1"/>
  <c r="X175" i="2"/>
  <c r="U153" i="2"/>
  <c r="AF153" i="2" s="1"/>
  <c r="Y139" i="2"/>
  <c r="P42" i="2"/>
  <c r="O133" i="2"/>
  <c r="S114" i="2"/>
  <c r="L212" i="2"/>
  <c r="U314" i="2"/>
  <c r="Z346" i="2"/>
  <c r="AA114" i="2"/>
  <c r="N50" i="2"/>
  <c r="Z145" i="2"/>
  <c r="X192" i="2"/>
  <c r="O291" i="2"/>
  <c r="T186" i="2"/>
  <c r="J376" i="2"/>
  <c r="S43" i="2"/>
  <c r="T93" i="2"/>
  <c r="U211" i="2"/>
  <c r="AF211" i="2" s="1"/>
  <c r="N192" i="2"/>
  <c r="Y149" i="2"/>
  <c r="Y205" i="2"/>
  <c r="X125" i="2"/>
  <c r="Y44" i="2"/>
  <c r="R108" i="2"/>
  <c r="X52" i="2"/>
  <c r="O229" i="2"/>
  <c r="Z217" i="2"/>
  <c r="J184" i="2"/>
  <c r="Q186" i="2"/>
  <c r="Y146" i="2"/>
  <c r="Q331" i="2"/>
  <c r="O387" i="2"/>
  <c r="W346" i="2"/>
  <c r="J170" i="2"/>
  <c r="O317" i="2"/>
  <c r="J410" i="2"/>
  <c r="U297" i="2"/>
  <c r="AF297" i="2" s="1"/>
  <c r="W298" i="2"/>
  <c r="O263" i="2"/>
  <c r="O300" i="2"/>
  <c r="Q180" i="2"/>
  <c r="Q411" i="2"/>
  <c r="O302" i="2"/>
  <c r="T361" i="2"/>
  <c r="L402" i="2"/>
  <c r="P328" i="2"/>
  <c r="R376" i="2"/>
  <c r="Y327" i="2"/>
  <c r="R314" i="2"/>
  <c r="AA240" i="2"/>
  <c r="Q416" i="2"/>
  <c r="AA372" i="2"/>
  <c r="N297" i="2"/>
  <c r="J386" i="2"/>
  <c r="Z329" i="2"/>
  <c r="W381" i="2"/>
  <c r="X356" i="2"/>
  <c r="X252" i="2"/>
  <c r="R206" i="2"/>
  <c r="N359" i="2"/>
  <c r="T351" i="2"/>
  <c r="W249" i="2"/>
  <c r="Y350" i="2"/>
  <c r="J255" i="2"/>
  <c r="L75" i="2"/>
  <c r="W62" i="2"/>
  <c r="Y58" i="2"/>
  <c r="Z85" i="2"/>
  <c r="Q208" i="2"/>
  <c r="AA169" i="2"/>
  <c r="U171" i="2"/>
  <c r="AF171" i="2" s="1"/>
  <c r="X201" i="2"/>
  <c r="T248" i="2"/>
  <c r="O94" i="2"/>
  <c r="L371" i="2"/>
  <c r="AA188" i="2"/>
  <c r="AA288" i="2"/>
  <c r="Y113" i="2"/>
  <c r="Y109" i="2"/>
  <c r="S244" i="2"/>
  <c r="T58" i="2"/>
  <c r="O224" i="2"/>
  <c r="N68" i="2"/>
  <c r="L316" i="2"/>
  <c r="W196" i="2"/>
  <c r="Z219" i="2"/>
  <c r="P208" i="2"/>
  <c r="AA223" i="2"/>
  <c r="J343" i="2"/>
  <c r="Y395" i="2"/>
  <c r="T413" i="2"/>
  <c r="Q165" i="2"/>
  <c r="S405" i="2"/>
  <c r="Y227" i="2"/>
  <c r="T353" i="2"/>
  <c r="Q300" i="2"/>
  <c r="P264" i="2"/>
  <c r="N356" i="2"/>
  <c r="U87" i="2"/>
  <c r="AF87" i="2" s="1"/>
  <c r="O315" i="2"/>
  <c r="Y384" i="2"/>
  <c r="Y379" i="2"/>
  <c r="AA397" i="2"/>
  <c r="M297" i="2"/>
  <c r="AE297" i="2" s="1"/>
  <c r="U272" i="2"/>
  <c r="AF272" i="2" s="1"/>
  <c r="Y276" i="2"/>
  <c r="S334" i="2"/>
  <c r="X182" i="2"/>
  <c r="Z269" i="2"/>
  <c r="J390" i="2"/>
  <c r="N218" i="2"/>
  <c r="R362" i="2"/>
  <c r="AA238" i="2"/>
  <c r="J254" i="2"/>
  <c r="W285" i="2"/>
  <c r="W416" i="2"/>
  <c r="P114" i="2"/>
  <c r="T358" i="2"/>
  <c r="O416" i="2"/>
  <c r="AA386" i="2"/>
  <c r="S306" i="2"/>
  <c r="X389" i="2"/>
  <c r="Q415" i="2"/>
  <c r="N314" i="2"/>
  <c r="R142" i="2"/>
  <c r="S143" i="2"/>
  <c r="R184" i="2"/>
  <c r="Z35" i="2"/>
  <c r="Z195" i="2"/>
  <c r="N309" i="2"/>
  <c r="O124" i="2"/>
  <c r="X228" i="2"/>
  <c r="N156" i="2"/>
  <c r="Y48" i="2"/>
  <c r="J97" i="2"/>
  <c r="T55" i="2"/>
  <c r="S355" i="2"/>
  <c r="X225" i="2"/>
  <c r="N255" i="2"/>
  <c r="R306" i="2"/>
  <c r="R131" i="2"/>
  <c r="N88" i="2"/>
  <c r="N311" i="2"/>
  <c r="U226" i="2"/>
  <c r="J242" i="2"/>
  <c r="J80" i="2"/>
  <c r="S153" i="2"/>
  <c r="L185" i="2"/>
  <c r="Q148" i="2"/>
  <c r="M300" i="2"/>
  <c r="AE300" i="2" s="1"/>
  <c r="R65" i="2"/>
  <c r="U179" i="2"/>
  <c r="M154" i="2"/>
  <c r="AE154" i="2" s="1"/>
  <c r="Y117" i="2"/>
  <c r="AA318" i="2"/>
  <c r="X126" i="2"/>
  <c r="X296" i="2"/>
  <c r="L359" i="2"/>
  <c r="S291" i="2"/>
  <c r="O334" i="2"/>
  <c r="U362" i="2"/>
  <c r="AF362" i="2" s="1"/>
  <c r="W307" i="2"/>
  <c r="O341" i="2"/>
  <c r="N379" i="2"/>
  <c r="M321" i="2"/>
  <c r="AE321" i="2" s="1"/>
  <c r="M185" i="2"/>
  <c r="AE185" i="2" s="1"/>
  <c r="W214" i="2"/>
  <c r="Y272" i="2"/>
  <c r="Z369" i="2"/>
  <c r="J353" i="2"/>
  <c r="W273" i="2"/>
  <c r="U346" i="2"/>
  <c r="AF346" i="2" s="1"/>
  <c r="T404" i="2"/>
  <c r="L349" i="2"/>
  <c r="R266" i="2"/>
  <c r="AA394" i="2"/>
  <c r="X304" i="2"/>
  <c r="P413" i="2"/>
  <c r="L241" i="2"/>
  <c r="N283" i="2"/>
  <c r="Z294" i="2"/>
  <c r="O349" i="2"/>
  <c r="X246" i="2"/>
  <c r="O187" i="2"/>
  <c r="S359" i="2"/>
  <c r="R282" i="2"/>
  <c r="M379" i="2"/>
  <c r="AE379" i="2" s="1"/>
  <c r="T50" i="2"/>
  <c r="Z229" i="2"/>
  <c r="R335" i="2"/>
  <c r="R337" i="2"/>
  <c r="T308" i="2"/>
  <c r="S75" i="2"/>
  <c r="S78" i="2"/>
  <c r="S396" i="2"/>
  <c r="S147" i="2"/>
  <c r="L104" i="2"/>
  <c r="U144" i="2"/>
  <c r="AF144" i="2" s="1"/>
  <c r="X355" i="2"/>
  <c r="N161" i="2"/>
  <c r="M98" i="2"/>
  <c r="AE98" i="2" s="1"/>
  <c r="Y181" i="2"/>
  <c r="U128" i="2"/>
  <c r="AF128" i="2" s="1"/>
  <c r="J70" i="2"/>
  <c r="R73" i="2"/>
  <c r="X343" i="2"/>
  <c r="S196" i="2"/>
  <c r="M206" i="2"/>
  <c r="AE206" i="2" s="1"/>
  <c r="O405" i="2"/>
  <c r="J357" i="2"/>
  <c r="R355" i="2"/>
  <c r="P395" i="2"/>
  <c r="M265" i="2"/>
  <c r="AE265" i="2" s="1"/>
  <c r="M172" i="2"/>
  <c r="AE172" i="2" s="1"/>
  <c r="N208" i="2"/>
  <c r="O340" i="2"/>
  <c r="M325" i="2"/>
  <c r="AE325" i="2" s="1"/>
  <c r="O295" i="2"/>
  <c r="L247" i="2"/>
  <c r="U374" i="2"/>
  <c r="AF374" i="2" s="1"/>
  <c r="P350" i="2"/>
  <c r="U334" i="2"/>
  <c r="AF334" i="2" s="1"/>
  <c r="W372" i="2"/>
  <c r="Y396" i="2"/>
  <c r="T269" i="2"/>
  <c r="S132" i="2"/>
  <c r="M283" i="2"/>
  <c r="AE283" i="2" s="1"/>
  <c r="L204" i="2"/>
  <c r="M71" i="2"/>
  <c r="AE71" i="2" s="1"/>
  <c r="M130" i="2"/>
  <c r="AE130" i="2" s="1"/>
  <c r="W210" i="2"/>
  <c r="O87" i="2"/>
  <c r="Q155" i="2"/>
  <c r="O240" i="2"/>
  <c r="L61" i="2"/>
  <c r="P327" i="2"/>
  <c r="Z126" i="2"/>
  <c r="L416" i="2"/>
  <c r="J169" i="2"/>
  <c r="S183" i="2"/>
  <c r="R332" i="2"/>
  <c r="X378" i="2"/>
  <c r="N301" i="2"/>
  <c r="N245" i="2"/>
  <c r="Y414" i="2"/>
  <c r="M347" i="2"/>
  <c r="AE347" i="2" s="1"/>
  <c r="O260" i="2"/>
  <c r="U251" i="2"/>
  <c r="AF251" i="2" s="1"/>
  <c r="T213" i="2"/>
  <c r="P204" i="2"/>
  <c r="W393" i="2"/>
  <c r="O186" i="2"/>
  <c r="Y68" i="2"/>
  <c r="X55" i="2"/>
  <c r="N59" i="2"/>
  <c r="S100" i="2"/>
  <c r="R135" i="2"/>
  <c r="S40" i="2"/>
  <c r="P222" i="2"/>
  <c r="L155" i="2"/>
  <c r="AA90" i="2"/>
  <c r="T41" i="2"/>
  <c r="X161" i="2"/>
  <c r="Y60" i="2"/>
  <c r="J53" i="2"/>
  <c r="P123" i="2"/>
  <c r="J58" i="2"/>
  <c r="Y184" i="2"/>
  <c r="S154" i="2"/>
  <c r="J241" i="2"/>
  <c r="R84" i="2"/>
  <c r="R80" i="2"/>
  <c r="Q147" i="2"/>
  <c r="AA83" i="2"/>
  <c r="R55" i="2"/>
  <c r="S61" i="2"/>
  <c r="R155" i="2"/>
  <c r="M163" i="2"/>
  <c r="AE163" i="2" s="1"/>
  <c r="J138" i="2"/>
  <c r="U77" i="2"/>
  <c r="AA194" i="2"/>
  <c r="P258" i="2"/>
  <c r="N227" i="2"/>
  <c r="W92" i="2"/>
  <c r="X62" i="2"/>
  <c r="R185" i="2"/>
  <c r="R68" i="2"/>
  <c r="J45" i="2"/>
  <c r="N101" i="2"/>
  <c r="J83" i="2"/>
  <c r="P90" i="2"/>
  <c r="S63" i="2"/>
  <c r="O48" i="2"/>
  <c r="W75" i="2"/>
  <c r="AA43" i="2"/>
  <c r="M66" i="2"/>
  <c r="AE66" i="2" s="1"/>
  <c r="X361" i="2"/>
  <c r="S115" i="2"/>
  <c r="T54" i="2"/>
  <c r="L37" i="2"/>
  <c r="J132" i="2"/>
  <c r="Q105" i="2"/>
  <c r="P147" i="2"/>
  <c r="J40" i="2"/>
  <c r="P111" i="2"/>
  <c r="J265" i="2"/>
  <c r="J120" i="2"/>
  <c r="T157" i="2"/>
  <c r="Z264" i="2"/>
  <c r="Z107" i="2"/>
  <c r="AA33" i="2"/>
  <c r="P83" i="2"/>
  <c r="W33" i="2"/>
  <c r="L83" i="2"/>
  <c r="U126" i="2"/>
  <c r="AF126" i="2" s="1"/>
  <c r="J60" i="2"/>
  <c r="J78" i="2"/>
  <c r="W101" i="2"/>
  <c r="O36" i="2"/>
  <c r="L96" i="2"/>
  <c r="W198" i="2"/>
  <c r="W201" i="2"/>
  <c r="O65" i="2"/>
  <c r="O80" i="2"/>
  <c r="Z236" i="2"/>
  <c r="R152" i="2"/>
  <c r="AA69" i="2"/>
  <c r="Z88" i="2"/>
  <c r="Q113" i="2"/>
  <c r="S56" i="2"/>
  <c r="P55" i="2"/>
  <c r="N77" i="2"/>
  <c r="R158" i="2"/>
  <c r="P75" i="2"/>
  <c r="Y54" i="2"/>
  <c r="P71" i="2"/>
  <c r="L151" i="2"/>
  <c r="U36" i="2"/>
  <c r="X70" i="2"/>
  <c r="Q55" i="2"/>
  <c r="Z165" i="2"/>
  <c r="M284" i="2"/>
  <c r="AE284" i="2" s="1"/>
  <c r="P79" i="2"/>
  <c r="N52" i="2"/>
  <c r="U55" i="2"/>
  <c r="AF55" i="2" s="1"/>
  <c r="U66" i="2"/>
  <c r="AF66" i="2" s="1"/>
  <c r="J148" i="2"/>
  <c r="O146" i="2"/>
  <c r="L46" i="2"/>
  <c r="U146" i="2"/>
  <c r="AF146" i="2" s="1"/>
  <c r="Y55" i="2"/>
  <c r="R48" i="2"/>
  <c r="R72" i="2"/>
  <c r="J51" i="2"/>
  <c r="R163" i="2"/>
  <c r="Q135" i="2"/>
  <c r="P34" i="2"/>
  <c r="L101" i="2"/>
  <c r="Z226" i="2"/>
  <c r="J182" i="2"/>
  <c r="N105" i="2"/>
  <c r="W290" i="2"/>
  <c r="O277" i="2"/>
  <c r="T56" i="2"/>
  <c r="Q69" i="2"/>
  <c r="U249" i="2"/>
  <c r="Z66" i="2"/>
  <c r="Q121" i="2"/>
  <c r="P99" i="2"/>
  <c r="Z40" i="2"/>
  <c r="M65" i="2"/>
  <c r="AE65" i="2" s="1"/>
  <c r="W44" i="2"/>
  <c r="U95" i="2"/>
  <c r="AF95" i="2" s="1"/>
  <c r="Q78" i="2"/>
  <c r="Y62" i="2"/>
  <c r="Q176" i="2"/>
  <c r="N53" i="2"/>
  <c r="S64" i="2"/>
  <c r="Z171" i="2"/>
  <c r="S136" i="2"/>
  <c r="R127" i="2"/>
  <c r="S34" i="2"/>
  <c r="Q211" i="2"/>
  <c r="U86" i="2"/>
  <c r="X33" i="2"/>
  <c r="N115" i="2"/>
  <c r="X58" i="2"/>
  <c r="AA261" i="2"/>
  <c r="R61" i="2"/>
  <c r="M262" i="2"/>
  <c r="AE262" i="2" s="1"/>
  <c r="Q42" i="2"/>
  <c r="J125" i="2"/>
  <c r="Z57" i="2"/>
  <c r="J41" i="2"/>
  <c r="N97" i="2"/>
  <c r="X119" i="2"/>
  <c r="O38" i="2"/>
  <c r="X75" i="2"/>
  <c r="P163" i="2"/>
  <c r="AA110" i="2"/>
  <c r="J36" i="2"/>
  <c r="J105" i="2"/>
  <c r="U49" i="2"/>
  <c r="AF49" i="2" s="1"/>
  <c r="U101" i="2"/>
  <c r="AF101" i="2" s="1"/>
  <c r="L95" i="2"/>
  <c r="S203" i="2"/>
  <c r="P144" i="2"/>
  <c r="Q68" i="2"/>
  <c r="L66" i="2"/>
  <c r="W81" i="2"/>
  <c r="Q47" i="2"/>
  <c r="L141" i="2"/>
  <c r="R41" i="2"/>
  <c r="L54" i="2"/>
  <c r="N237" i="2"/>
  <c r="Q142" i="2"/>
  <c r="Q284" i="2"/>
  <c r="Q62" i="2"/>
  <c r="S71" i="2"/>
  <c r="O61" i="2"/>
  <c r="Y226" i="2"/>
  <c r="L92" i="2"/>
  <c r="U296" i="2"/>
  <c r="AF296" i="2" s="1"/>
  <c r="Q244" i="2"/>
  <c r="J334" i="2"/>
  <c r="O62" i="2"/>
  <c r="S53" i="2"/>
  <c r="T86" i="2"/>
  <c r="Q79" i="2"/>
  <c r="S79" i="2"/>
  <c r="AA67" i="2"/>
  <c r="Z37" i="2"/>
  <c r="AA64" i="2"/>
  <c r="X95" i="2"/>
  <c r="Y33" i="2"/>
  <c r="S162" i="2"/>
  <c r="P184" i="2"/>
  <c r="Z33" i="2"/>
  <c r="N107" i="2"/>
  <c r="S73" i="2"/>
  <c r="M60" i="2"/>
  <c r="AE60" i="2" s="1"/>
  <c r="Q64" i="2"/>
  <c r="Y70" i="2"/>
  <c r="P53" i="2"/>
  <c r="U45" i="2"/>
  <c r="AF45" i="2" s="1"/>
  <c r="S96" i="2"/>
  <c r="X82" i="2"/>
  <c r="W98" i="2"/>
  <c r="L78" i="2"/>
  <c r="Z63" i="2"/>
  <c r="T43" i="2"/>
  <c r="U102" i="2"/>
  <c r="AF102" i="2" s="1"/>
  <c r="U121" i="2"/>
  <c r="AF121" i="2" s="1"/>
  <c r="R82" i="2"/>
  <c r="L124" i="2"/>
  <c r="AA72" i="2"/>
  <c r="T96" i="2"/>
  <c r="W152" i="2"/>
  <c r="X66" i="2"/>
  <c r="Q228" i="2"/>
  <c r="X185" i="2"/>
  <c r="T101" i="2"/>
  <c r="O270" i="2"/>
  <c r="N100" i="2"/>
  <c r="N180" i="2"/>
  <c r="W56" i="2"/>
  <c r="S66" i="2"/>
  <c r="N106" i="2"/>
  <c r="Q195" i="2"/>
  <c r="Y41" i="2"/>
  <c r="Q70" i="2"/>
  <c r="M41" i="2"/>
  <c r="AE41" i="2" s="1"/>
  <c r="T75" i="2"/>
  <c r="Z105" i="2"/>
  <c r="J146" i="2"/>
  <c r="R88" i="2"/>
  <c r="T317" i="2"/>
  <c r="N147" i="2"/>
  <c r="AA84" i="2"/>
  <c r="T76" i="2"/>
  <c r="T236" i="2"/>
  <c r="S284" i="2"/>
  <c r="M126" i="2"/>
  <c r="AE126" i="2" s="1"/>
  <c r="Z112" i="2"/>
  <c r="T390" i="2"/>
  <c r="T52" i="2"/>
  <c r="M45" i="2"/>
  <c r="AE45" i="2" s="1"/>
  <c r="Z93" i="2"/>
  <c r="O105" i="2"/>
  <c r="P120" i="2"/>
  <c r="R36" i="2"/>
  <c r="AA141" i="2"/>
  <c r="S117" i="2"/>
  <c r="J35" i="2"/>
  <c r="Q44" i="2"/>
  <c r="T77" i="2"/>
  <c r="U111" i="2"/>
  <c r="AF111" i="2" s="1"/>
  <c r="AA40" i="2"/>
  <c r="AA106" i="2"/>
  <c r="Q97" i="2"/>
  <c r="L119" i="2"/>
  <c r="Z94" i="2"/>
  <c r="M138" i="2"/>
  <c r="AE138" i="2" s="1"/>
  <c r="X83" i="2"/>
  <c r="P39" i="2"/>
  <c r="N36" i="2"/>
  <c r="Y98" i="2"/>
  <c r="U115" i="2"/>
  <c r="AF115" i="2" s="1"/>
  <c r="L121" i="2"/>
  <c r="Y89" i="2"/>
  <c r="L180" i="2"/>
  <c r="Y280" i="2"/>
  <c r="U41" i="2"/>
  <c r="AF41" i="2" s="1"/>
  <c r="O45" i="2"/>
  <c r="T103" i="2"/>
  <c r="T51" i="2"/>
  <c r="U98" i="2"/>
  <c r="Z60" i="2"/>
  <c r="O144" i="2"/>
  <c r="Y63" i="2"/>
  <c r="Q129" i="2"/>
  <c r="S42" i="2"/>
  <c r="Y36" i="2"/>
  <c r="N94" i="2"/>
  <c r="X34" i="2"/>
  <c r="U113" i="2"/>
  <c r="AF113" i="2" s="1"/>
  <c r="M153" i="2"/>
  <c r="AE153" i="2" s="1"/>
  <c r="S93" i="2"/>
  <c r="J43" i="2"/>
  <c r="M54" i="2"/>
  <c r="AE54" i="2" s="1"/>
  <c r="J143" i="2"/>
  <c r="X118" i="2"/>
  <c r="U308" i="2"/>
  <c r="AF308" i="2" s="1"/>
  <c r="U90" i="2"/>
  <c r="AF90" i="2" s="1"/>
  <c r="N44" i="2"/>
  <c r="Z64" i="2"/>
  <c r="W64" i="2"/>
  <c r="R263" i="2"/>
  <c r="Q198" i="2"/>
  <c r="M349" i="2"/>
  <c r="AE349" i="2" s="1"/>
  <c r="S97" i="2"/>
  <c r="J91" i="2"/>
  <c r="L73" i="2"/>
  <c r="Z55" i="2"/>
  <c r="U190" i="2"/>
  <c r="AF190" i="2" s="1"/>
  <c r="W55" i="2"/>
  <c r="J89" i="2"/>
  <c r="N131" i="2"/>
  <c r="X94" i="2"/>
  <c r="W54" i="2"/>
  <c r="M131" i="2"/>
  <c r="AE131" i="2" s="1"/>
  <c r="S226" i="2"/>
  <c r="R40" i="2"/>
  <c r="Z59" i="2"/>
  <c r="X91" i="2"/>
  <c r="Z52" i="2"/>
  <c r="N120" i="2"/>
  <c r="S52" i="2"/>
  <c r="W35" i="2"/>
  <c r="Q60" i="2"/>
  <c r="S84" i="2"/>
  <c r="AA59" i="2"/>
  <c r="AA88" i="2"/>
  <c r="S108" i="2"/>
  <c r="S87" i="2"/>
  <c r="R90" i="2"/>
  <c r="P33" i="2"/>
  <c r="W66" i="2"/>
  <c r="AA130" i="2"/>
  <c r="AA74" i="2"/>
  <c r="L149" i="2"/>
  <c r="Z69" i="2"/>
  <c r="J73" i="2"/>
  <c r="S172" i="2"/>
  <c r="N102" i="2"/>
  <c r="M46" i="2"/>
  <c r="AE46" i="2" s="1"/>
  <c r="N64" i="2"/>
  <c r="Q220" i="2"/>
  <c r="W72" i="2"/>
  <c r="J114" i="2"/>
  <c r="J257" i="2"/>
  <c r="J52" i="2"/>
  <c r="L43" i="2"/>
  <c r="Q100" i="2"/>
  <c r="R56" i="2"/>
  <c r="J177" i="2"/>
  <c r="Q120" i="2"/>
  <c r="U83" i="2"/>
  <c r="AF83" i="2" s="1"/>
  <c r="T68" i="2"/>
  <c r="L128" i="2"/>
  <c r="T64" i="2"/>
  <c r="X222" i="2"/>
  <c r="W148" i="2"/>
  <c r="R176" i="2"/>
  <c r="U283" i="2"/>
  <c r="AF283" i="2" s="1"/>
  <c r="M34" i="2"/>
  <c r="AE34" i="2" s="1"/>
  <c r="R53" i="2"/>
  <c r="M96" i="2"/>
  <c r="AE96" i="2" s="1"/>
  <c r="Z111" i="2"/>
  <c r="Y84" i="2"/>
  <c r="Y101" i="2"/>
  <c r="T112" i="2"/>
  <c r="P57" i="2"/>
  <c r="R42" i="2"/>
  <c r="P98" i="2"/>
  <c r="P72" i="2"/>
  <c r="N89" i="2"/>
  <c r="N47" i="2"/>
  <c r="L72" i="2"/>
  <c r="M49" i="2"/>
  <c r="AE49" i="2" s="1"/>
  <c r="Y34" i="2"/>
  <c r="AA122" i="2"/>
  <c r="T49" i="2"/>
  <c r="U145" i="2"/>
  <c r="AF145" i="2" s="1"/>
  <c r="X67" i="2"/>
  <c r="O39" i="2"/>
  <c r="P64" i="2"/>
  <c r="Y77" i="2"/>
  <c r="AA96" i="2"/>
  <c r="P65" i="2"/>
  <c r="Z133" i="2"/>
  <c r="J109" i="2"/>
  <c r="L133" i="2"/>
  <c r="Y180" i="2"/>
  <c r="W57" i="2"/>
  <c r="P125" i="2"/>
  <c r="S91" i="2"/>
  <c r="S120" i="2"/>
  <c r="L36" i="2"/>
  <c r="W69" i="2"/>
  <c r="Z153" i="2"/>
  <c r="U46" i="2"/>
  <c r="AF46" i="2" s="1"/>
  <c r="J98" i="2"/>
  <c r="J93" i="2"/>
  <c r="Z45" i="2"/>
  <c r="Q35" i="2"/>
  <c r="O55" i="2"/>
  <c r="M67" i="2"/>
  <c r="AE67" i="2" s="1"/>
  <c r="O63" i="2"/>
  <c r="L64" i="2"/>
  <c r="U96" i="2"/>
  <c r="AF96" i="2" s="1"/>
  <c r="AA129" i="2"/>
  <c r="L88" i="2"/>
  <c r="Q43" i="2"/>
  <c r="AA76" i="2"/>
  <c r="R103" i="2"/>
  <c r="Y81" i="2"/>
  <c r="U227" i="2"/>
  <c r="AF227" i="2" s="1"/>
  <c r="P185" i="2"/>
  <c r="T183" i="2"/>
  <c r="S201" i="2"/>
  <c r="O96" i="2"/>
  <c r="Y116" i="2"/>
  <c r="M53" i="2"/>
  <c r="AE53" i="2" s="1"/>
  <c r="X57" i="2"/>
  <c r="S68" i="2"/>
  <c r="U71" i="2"/>
  <c r="AF71" i="2" s="1"/>
  <c r="Q95" i="2"/>
  <c r="Q37" i="2"/>
  <c r="W61" i="2"/>
  <c r="Q98" i="2"/>
  <c r="T256" i="2"/>
  <c r="T206" i="2"/>
  <c r="S105" i="2"/>
  <c r="J49" i="2"/>
  <c r="U51" i="2"/>
  <c r="AF51" i="2" s="1"/>
  <c r="O95" i="2"/>
  <c r="X59" i="2"/>
  <c r="Z237" i="2"/>
  <c r="L91" i="2"/>
  <c r="T208" i="2"/>
  <c r="L38" i="2"/>
  <c r="W36" i="2"/>
  <c r="U118" i="2"/>
  <c r="AF118" i="2" s="1"/>
  <c r="J85" i="2"/>
  <c r="O86" i="2"/>
  <c r="R105" i="2"/>
  <c r="U79" i="2"/>
  <c r="AF79" i="2" s="1"/>
  <c r="M76" i="2"/>
  <c r="AE76" i="2" s="1"/>
  <c r="T69" i="2"/>
  <c r="W39" i="2"/>
  <c r="L311" i="2"/>
  <c r="N69" i="2"/>
  <c r="U59" i="2"/>
  <c r="AF59" i="2" s="1"/>
  <c r="P143" i="2"/>
  <c r="U122" i="2"/>
  <c r="AF122" i="2" s="1"/>
  <c r="L276" i="2"/>
  <c r="L93" i="2"/>
  <c r="M73" i="2"/>
  <c r="AE73" i="2" s="1"/>
  <c r="Z96" i="2"/>
  <c r="Z141" i="2"/>
  <c r="M190" i="2"/>
  <c r="AE190" i="2" s="1"/>
  <c r="M117" i="2"/>
  <c r="AE117" i="2" s="1"/>
  <c r="Q86" i="2"/>
  <c r="R130" i="2"/>
  <c r="N221" i="2"/>
  <c r="P84" i="2"/>
  <c r="J92" i="2"/>
  <c r="U52" i="2"/>
  <c r="AF52" i="2" s="1"/>
  <c r="P50" i="2"/>
  <c r="X50" i="2"/>
  <c r="P77" i="2"/>
  <c r="Q53" i="2"/>
  <c r="Q45" i="2"/>
  <c r="X47" i="2"/>
  <c r="Y50" i="2"/>
  <c r="W52" i="2"/>
  <c r="X39" i="2"/>
  <c r="AF286" i="2" l="1"/>
  <c r="AF184" i="2"/>
  <c r="AF295" i="2"/>
  <c r="AF404" i="2"/>
  <c r="AF137" i="2"/>
  <c r="AF116" i="2"/>
  <c r="AF391" i="2"/>
  <c r="AF150" i="2"/>
  <c r="AF56" i="2"/>
  <c r="AF322" i="2"/>
  <c r="AF298" i="2"/>
  <c r="AF82" i="2"/>
  <c r="AE17" i="2"/>
  <c r="M15" i="2"/>
  <c r="AF34" i="2"/>
  <c r="AF176" i="2"/>
  <c r="AF217" i="2"/>
  <c r="AF81" i="2"/>
  <c r="AF133" i="2"/>
  <c r="AF89" i="2"/>
  <c r="AF274" i="2"/>
  <c r="AF340" i="2"/>
  <c r="AF234" i="2"/>
  <c r="AF257" i="2"/>
  <c r="AF244" i="2"/>
  <c r="AF407" i="2"/>
  <c r="AF238" i="2"/>
  <c r="AF159" i="2"/>
  <c r="AF70" i="2"/>
  <c r="AF47" i="2"/>
  <c r="AF94" i="2"/>
  <c r="AF148" i="2"/>
  <c r="AF67" i="2"/>
  <c r="AF177" i="2"/>
  <c r="AF40" i="2"/>
  <c r="AF147" i="2"/>
  <c r="AF108" i="2"/>
  <c r="AF31" i="2"/>
  <c r="AF196" i="2"/>
  <c r="AF138" i="2"/>
  <c r="AF231" i="2"/>
  <c r="AF119" i="2"/>
  <c r="AF117" i="2"/>
  <c r="AF48" i="2"/>
  <c r="AF229" i="2"/>
  <c r="AF318" i="2"/>
  <c r="AF207" i="2"/>
  <c r="AF93" i="2"/>
  <c r="AF415" i="2"/>
  <c r="AF399" i="2"/>
  <c r="AF347" i="2"/>
  <c r="AF69" i="2"/>
  <c r="AF75" i="2"/>
  <c r="AF139" i="2"/>
  <c r="AF58" i="2"/>
  <c r="AF379" i="2"/>
  <c r="AF208" i="2"/>
  <c r="AF416" i="2"/>
  <c r="AF161" i="2"/>
  <c r="AF195" i="2"/>
  <c r="AF63" i="2"/>
  <c r="AF333" i="2"/>
  <c r="AF186" i="2"/>
  <c r="AF387" i="2"/>
  <c r="AF288" i="2"/>
  <c r="AF140" i="2"/>
  <c r="AF194" i="2"/>
  <c r="AF319" i="2"/>
  <c r="AF104" i="2"/>
  <c r="AF310" i="2"/>
  <c r="AF199" i="2"/>
  <c r="AF149" i="2"/>
  <c r="AF26" i="2"/>
  <c r="AF36" i="2"/>
  <c r="AF86" i="2"/>
  <c r="AF77" i="2"/>
  <c r="AF179" i="2"/>
  <c r="AF226" i="2"/>
  <c r="AF352" i="2"/>
  <c r="AF299" i="2"/>
  <c r="AF243" i="2"/>
  <c r="AF388" i="2"/>
  <c r="AF315" i="2"/>
  <c r="AF324" i="2"/>
  <c r="AF80" i="2"/>
  <c r="AF193" i="2"/>
  <c r="AF54" i="2"/>
  <c r="AF168" i="2"/>
  <c r="AF76" i="2"/>
  <c r="AF230" i="2"/>
  <c r="AF175" i="2"/>
  <c r="AF282" i="2"/>
  <c r="AF166" i="2"/>
  <c r="AF212" i="2"/>
  <c r="AF349" i="2"/>
  <c r="AF400" i="2"/>
  <c r="AF350" i="2"/>
  <c r="AF181" i="2"/>
  <c r="AF162" i="2"/>
  <c r="AF24" i="2"/>
  <c r="AF27" i="2"/>
  <c r="AF314" i="2"/>
  <c r="AF84" i="2"/>
  <c r="AF304" i="2"/>
  <c r="AF317" i="2"/>
  <c r="AF247" i="2"/>
  <c r="AF173" i="2"/>
  <c r="AF380" i="2"/>
  <c r="AF357" i="2"/>
  <c r="AF99" i="2"/>
  <c r="AF191" i="2"/>
  <c r="AF62" i="2"/>
  <c r="AF157" i="2"/>
  <c r="AF394" i="2"/>
  <c r="AF262" i="2"/>
  <c r="AF253" i="2"/>
  <c r="AF287" i="2"/>
  <c r="AF192" i="2"/>
  <c r="AF285" i="2"/>
  <c r="AF170" i="2"/>
  <c r="AF368" i="2"/>
  <c r="AF255" i="2"/>
  <c r="AF370" i="2"/>
  <c r="AF306" i="2"/>
  <c r="AF408" i="2"/>
  <c r="AF252" i="2"/>
  <c r="AF38" i="2"/>
  <c r="AF152" i="2"/>
  <c r="AF106" i="2"/>
  <c r="AF395" i="2"/>
  <c r="AF44" i="2"/>
  <c r="AF33" i="2"/>
  <c r="AF233" i="2"/>
  <c r="AF341" i="2"/>
  <c r="AF249" i="2"/>
  <c r="AF65" i="2"/>
  <c r="AF312" i="2"/>
  <c r="AF343" i="2"/>
  <c r="AF222" i="2"/>
  <c r="AF124" i="2"/>
  <c r="AF142" i="2"/>
  <c r="AF276" i="2"/>
  <c r="AF323" i="2"/>
  <c r="AF327" i="2"/>
  <c r="AF269" i="2"/>
  <c r="AF385" i="2"/>
  <c r="AF156" i="2"/>
  <c r="AF220" i="2"/>
  <c r="AF281" i="2"/>
  <c r="AF258" i="2"/>
  <c r="AF57" i="2"/>
  <c r="AF270" i="2"/>
  <c r="AF406" i="2"/>
  <c r="AF278" i="2"/>
  <c r="AF109" i="2"/>
  <c r="AF35" i="2"/>
  <c r="AF202" i="2"/>
  <c r="AF155" i="2"/>
  <c r="AF261" i="2"/>
  <c r="AF321" i="2"/>
  <c r="AF320" i="2"/>
  <c r="AF277" i="2"/>
  <c r="AF22" i="2"/>
  <c r="AF337" i="2"/>
  <c r="AF98" i="2"/>
  <c r="AF110" i="2"/>
  <c r="AF180" i="2"/>
  <c r="AF50" i="2"/>
  <c r="AF384" i="2"/>
  <c r="AF409" i="2"/>
  <c r="AF263" i="2"/>
  <c r="AF32" i="2"/>
  <c r="AF390" i="2"/>
  <c r="AF389" i="2"/>
  <c r="AF100" i="2"/>
  <c r="AF131" i="2"/>
  <c r="AF182" i="2"/>
  <c r="AF273" i="2"/>
  <c r="AF73" i="2"/>
  <c r="AF164" i="2"/>
  <c r="AF292" i="2"/>
  <c r="AF383" i="2"/>
  <c r="AF359" i="2"/>
  <c r="AF250" i="2"/>
  <c r="AF112" i="2"/>
  <c r="AF332" i="2"/>
  <c r="AF290" i="2"/>
  <c r="AF107" i="2"/>
  <c r="AF183" i="2"/>
  <c r="AF246" i="2"/>
  <c r="AF215" i="2"/>
  <c r="AF185" i="2"/>
  <c r="AF326" i="2"/>
  <c r="AF414" i="2"/>
</calcChain>
</file>

<file path=xl/sharedStrings.xml><?xml version="1.0" encoding="utf-8"?>
<sst xmlns="http://schemas.openxmlformats.org/spreadsheetml/2006/main" count="2967" uniqueCount="662">
  <si>
    <t>Services Master List - for Reference</t>
  </si>
  <si>
    <t>Name of Service</t>
  </si>
  <si>
    <t>Segment</t>
  </si>
  <si>
    <t>Rows</t>
  </si>
  <si>
    <t>Columns</t>
  </si>
  <si>
    <t>PriceLines</t>
  </si>
  <si>
    <t>Catalog</t>
  </si>
  <si>
    <t>Data</t>
  </si>
  <si>
    <t>Lumpsum</t>
  </si>
  <si>
    <t>Project Management</t>
  </si>
  <si>
    <t>BL-IWC-PMG</t>
  </si>
  <si>
    <t>Per Day</t>
  </si>
  <si>
    <t>SLR Rig Demob</t>
  </si>
  <si>
    <t>BL-WCE-RIG</t>
  </si>
  <si>
    <t>None</t>
  </si>
  <si>
    <t xml:space="preserve">SLR Rig Mob </t>
  </si>
  <si>
    <t>SLR Rig Move</t>
  </si>
  <si>
    <t>SLR Rig Camp</t>
  </si>
  <si>
    <t>SLR Support</t>
  </si>
  <si>
    <t>SLR Civil Works</t>
  </si>
  <si>
    <t>500 HP WO Rig</t>
  </si>
  <si>
    <t>750 HP WO Rig</t>
  </si>
  <si>
    <t>1000 HP WO Rig</t>
  </si>
  <si>
    <t>1000 HP Drilling Rig</t>
  </si>
  <si>
    <t>1500 HP Drilling Rig</t>
  </si>
  <si>
    <t>2000 HP Drilling Rig</t>
  </si>
  <si>
    <t>2500 HP Drilling Rig</t>
  </si>
  <si>
    <t>3000 HP Drilling Rig</t>
  </si>
  <si>
    <t>Bits &amp; Drilling Tools</t>
  </si>
  <si>
    <t>BL-WCD-BDT</t>
  </si>
  <si>
    <t>Drilling tools</t>
  </si>
  <si>
    <t>Fishing Products</t>
  </si>
  <si>
    <t>Fishing Services/Rental</t>
  </si>
  <si>
    <t>D&amp;M Services</t>
  </si>
  <si>
    <t>BL-WCM-DM</t>
  </si>
  <si>
    <t>Performance Drilling Motors / RSS</t>
  </si>
  <si>
    <t>MWD Services</t>
  </si>
  <si>
    <t>Mud Logging GSS</t>
  </si>
  <si>
    <t>Mud Logging Services</t>
  </si>
  <si>
    <t>BL-WCM-GSS</t>
  </si>
  <si>
    <t>M-I Equipment (Centrifuge)</t>
  </si>
  <si>
    <t>BL-WCF-MI</t>
  </si>
  <si>
    <t>M-I Filtration</t>
  </si>
  <si>
    <t>Drilling Fluid Services</t>
  </si>
  <si>
    <t>M-I Fluids-Contingency</t>
  </si>
  <si>
    <t>Drilling Fluid Products &amp; Services</t>
  </si>
  <si>
    <t>M-I Shaker Screens</t>
  </si>
  <si>
    <t>MI-Waste Management</t>
  </si>
  <si>
    <t>M-I Fluids Safety Margin</t>
  </si>
  <si>
    <t>MI-Wellbore Cleaning Tools</t>
  </si>
  <si>
    <t>Cementing Products</t>
  </si>
  <si>
    <t>BL-WCF-CEM</t>
  </si>
  <si>
    <t>Cementing Services</t>
  </si>
  <si>
    <t>Coiled Tubing Services</t>
  </si>
  <si>
    <t>BL-RPE-CT</t>
  </si>
  <si>
    <t>Cementting equipment and crew: flat monthly charge</t>
  </si>
  <si>
    <t>Hydraulic Fracturing</t>
  </si>
  <si>
    <t>BL-RP-STIM</t>
  </si>
  <si>
    <t>Acidizing</t>
  </si>
  <si>
    <t>Sand Control Job</t>
  </si>
  <si>
    <t>Liner Hanger Products</t>
  </si>
  <si>
    <t>BL-WPS-CPL</t>
  </si>
  <si>
    <t>Liner Hanger Services</t>
  </si>
  <si>
    <t>Completions Products</t>
  </si>
  <si>
    <t>Completions Services</t>
  </si>
  <si>
    <t>Stimulation Tools - Products</t>
  </si>
  <si>
    <t>Stimulation Tools - Services</t>
  </si>
  <si>
    <t>Sand Control Tools - Products</t>
  </si>
  <si>
    <t>Sand Control Tools - Services</t>
  </si>
  <si>
    <t>Slickline Services</t>
  </si>
  <si>
    <t>BL-RPE-WL</t>
  </si>
  <si>
    <t>Slickline Products</t>
  </si>
  <si>
    <t>Wireline Services</t>
  </si>
  <si>
    <t>Wireline Products</t>
  </si>
  <si>
    <t>Surface Well Testing Mob/Demob</t>
  </si>
  <si>
    <t>BL-RPE-TS</t>
  </si>
  <si>
    <t>Surface Well Testing</t>
  </si>
  <si>
    <t>TCP with Downhole tools</t>
  </si>
  <si>
    <t>DST Tools</t>
  </si>
  <si>
    <t>Wellhead</t>
  </si>
  <si>
    <t>BL-SPS-CAM</t>
  </si>
  <si>
    <t>Wellhead Installation</t>
  </si>
  <si>
    <t>ESP System</t>
  </si>
  <si>
    <t>BL-SPS-ALS</t>
  </si>
  <si>
    <t>GL System</t>
  </si>
  <si>
    <t>AL Surface work</t>
  </si>
  <si>
    <t>PTS Support</t>
  </si>
  <si>
    <t>BL-DI-DSS</t>
  </si>
  <si>
    <t>SIS Support</t>
  </si>
  <si>
    <t>Real Time Data Services</t>
  </si>
  <si>
    <t>Communications IT_</t>
  </si>
  <si>
    <t xml:space="preserve">Liner Hanger system </t>
  </si>
  <si>
    <t>Empty/Available Segments</t>
  </si>
  <si>
    <t>Seg-None</t>
  </si>
  <si>
    <t>Seg-IT</t>
  </si>
  <si>
    <t>Mobilization</t>
  </si>
  <si>
    <t>PTP-Mob</t>
  </si>
  <si>
    <t>Catering</t>
  </si>
  <si>
    <t>PTP-Rig</t>
  </si>
  <si>
    <t>Fuel</t>
  </si>
  <si>
    <t xml:space="preserve">H2S Service </t>
  </si>
  <si>
    <t>Medical Services</t>
  </si>
  <si>
    <t>4" DP Procurement</t>
  </si>
  <si>
    <t>Rig Mob</t>
  </si>
  <si>
    <t>Rig Inspection</t>
  </si>
  <si>
    <t>Rig Move</t>
  </si>
  <si>
    <t>Rig Camp</t>
  </si>
  <si>
    <t>Rig Demob</t>
  </si>
  <si>
    <t>Rig-1000_</t>
  </si>
  <si>
    <t>Rig-1500</t>
  </si>
  <si>
    <t>Rig-2000</t>
  </si>
  <si>
    <t>Rigless</t>
  </si>
  <si>
    <t>PTP-Other</t>
  </si>
  <si>
    <t>Tubular Grease</t>
  </si>
  <si>
    <t>Tubular Inspection</t>
  </si>
  <si>
    <t>PTP-Casing</t>
  </si>
  <si>
    <t>Waste Disposal</t>
  </si>
  <si>
    <t>Water</t>
  </si>
  <si>
    <t>Conductor Setting</t>
  </si>
  <si>
    <t>Casing</t>
  </si>
  <si>
    <t>Tubing</t>
  </si>
  <si>
    <t>Casing Services</t>
  </si>
  <si>
    <t>PTP-CasingServices</t>
  </si>
  <si>
    <t>Tubular Running</t>
  </si>
  <si>
    <t>Csg Hwd</t>
  </si>
  <si>
    <t>PTP-CsgHwd</t>
  </si>
  <si>
    <t>Canters</t>
  </si>
  <si>
    <t>PTP-CivilWorks</t>
  </si>
  <si>
    <t>Civil Works</t>
  </si>
  <si>
    <t>Environmental Studies</t>
  </si>
  <si>
    <t>Miscelaneous Civil Work</t>
  </si>
  <si>
    <t>Communication</t>
  </si>
  <si>
    <t>Drilling Directional</t>
  </si>
  <si>
    <t>PTP-DHT</t>
  </si>
  <si>
    <t>Coring</t>
  </si>
  <si>
    <t>PTP-Coring</t>
  </si>
  <si>
    <t>DownholeTools</t>
  </si>
  <si>
    <t>Fishing Tools TP</t>
  </si>
  <si>
    <t>Tubing Rental</t>
  </si>
  <si>
    <t>Wellbore Cleaning Tools</t>
  </si>
  <si>
    <t>Directional Survey</t>
  </si>
  <si>
    <t>PTP-Survey</t>
  </si>
  <si>
    <t>Plugs &amp; Packers</t>
  </si>
  <si>
    <t>PTP-Packers</t>
  </si>
  <si>
    <t>Solids Control</t>
  </si>
  <si>
    <t>PTP-SolidsControl</t>
  </si>
  <si>
    <t>Wellhead TP</t>
  </si>
  <si>
    <t>PTP-Wellhead</t>
  </si>
  <si>
    <t>Wellhead Services TP</t>
  </si>
  <si>
    <t>Fix Costs per Day</t>
  </si>
  <si>
    <t>PTP-FixCostDay</t>
  </si>
  <si>
    <t>Fix Costs per well</t>
  </si>
  <si>
    <t>PTP-FixCostWell</t>
  </si>
  <si>
    <t>Water Well</t>
  </si>
  <si>
    <t>Control Panel &amp; Services</t>
  </si>
  <si>
    <t>PTP-Facilities</t>
  </si>
  <si>
    <t>Crane</t>
  </si>
  <si>
    <t>PTP-Trucking</t>
  </si>
  <si>
    <t>Diesel Trucking</t>
  </si>
  <si>
    <t>Forklift</t>
  </si>
  <si>
    <t>Fuel Trucking</t>
  </si>
  <si>
    <t xml:space="preserve">Tangibles Trucking </t>
  </si>
  <si>
    <t>Trash &amp; Vacuum Truck</t>
  </si>
  <si>
    <t>Trucks</t>
  </si>
  <si>
    <t>Trucks to Move Casing &amp; Wellhead</t>
  </si>
  <si>
    <t>Water Truck</t>
  </si>
  <si>
    <t>Diesel</t>
  </si>
  <si>
    <t>Communication IT</t>
  </si>
  <si>
    <t>Supply Base/WareHouse (Storage)</t>
  </si>
  <si>
    <t>Wharfage and Stevedoring (Storage)</t>
  </si>
  <si>
    <t>Haulage / Freight</t>
  </si>
  <si>
    <t>Security</t>
  </si>
  <si>
    <t>PTP-Security</t>
  </si>
  <si>
    <t>Annex Adjustments</t>
  </si>
  <si>
    <t>PTP-Annex</t>
  </si>
  <si>
    <t>Bidding Costs</t>
  </si>
  <si>
    <t>PTP-Bidding</t>
  </si>
  <si>
    <t>Bonds</t>
  </si>
  <si>
    <t>Performance Bond-1500</t>
  </si>
  <si>
    <t>Performance Bond-2000</t>
  </si>
  <si>
    <t>Community Support</t>
  </si>
  <si>
    <t>PTP-Community</t>
  </si>
  <si>
    <t>Community Workers</t>
  </si>
  <si>
    <t>Financing Costs</t>
  </si>
  <si>
    <t>PTP-Financing</t>
  </si>
  <si>
    <t>TP Wireline Logging</t>
  </si>
  <si>
    <t>PTP-CemWL</t>
  </si>
  <si>
    <t>TP TCP Perf</t>
  </si>
  <si>
    <t>Training</t>
  </si>
  <si>
    <t>TP Cementing Services</t>
  </si>
  <si>
    <t>TP Cementing Products</t>
  </si>
  <si>
    <t>BOP</t>
  </si>
  <si>
    <t>Pick-up truck</t>
  </si>
  <si>
    <t>Rig acceptance inspection</t>
  </si>
  <si>
    <t xml:space="preserve">Security infrastructure </t>
  </si>
  <si>
    <t xml:space="preserve">Pup Joints / Crossovers </t>
  </si>
  <si>
    <t>Bucking services</t>
  </si>
  <si>
    <t>Technical Risk Pot</t>
  </si>
  <si>
    <t>PPP</t>
  </si>
  <si>
    <t>Commercial Risk Pot</t>
  </si>
  <si>
    <t>PTP-Catering</t>
  </si>
  <si>
    <t>PTP-Comm</t>
  </si>
  <si>
    <t>PTP-LetterCredit</t>
  </si>
  <si>
    <t>PTP-Dbits</t>
  </si>
  <si>
    <t>PTP-Freight</t>
  </si>
  <si>
    <t>PTP-Fuel</t>
  </si>
  <si>
    <t>PTP-HSE</t>
  </si>
  <si>
    <t>PTP-Insurance</t>
  </si>
  <si>
    <t>PTP-MPD</t>
  </si>
  <si>
    <t>PTP-MudLogging</t>
  </si>
  <si>
    <t>PTP-Storage</t>
  </si>
  <si>
    <t>PTP-Training</t>
  </si>
  <si>
    <t>PTP-WasteManagement</t>
  </si>
  <si>
    <t>message 1</t>
  </si>
  <si>
    <t>Unavailable</t>
  </si>
  <si>
    <t>1)</t>
  </si>
  <si>
    <t>Assumptions</t>
  </si>
  <si>
    <t>3)</t>
  </si>
  <si>
    <t>Well Times/Quantities/Depth/Length</t>
  </si>
  <si>
    <t>Description</t>
  </si>
  <si>
    <t>Name</t>
  </si>
  <si>
    <t>Project Name (for titles)</t>
  </si>
  <si>
    <t>ENI IDC</t>
  </si>
  <si>
    <t>ENI</t>
  </si>
  <si>
    <t>Currency</t>
  </si>
  <si>
    <t>Currency1</t>
  </si>
  <si>
    <t>USD</t>
  </si>
  <si>
    <t>Well Basket</t>
  </si>
  <si>
    <t>1 SLB, 2 Client</t>
  </si>
  <si>
    <t>SLB as default</t>
  </si>
  <si>
    <t>Exchange Rate:</t>
  </si>
  <si>
    <t>INSERT EXCHANGE HERE, i.e,  $/AED, $/Peso, etc</t>
  </si>
  <si>
    <t>Commercial Model</t>
  </si>
  <si>
    <t>Business</t>
  </si>
  <si>
    <t>Well Times Table</t>
  </si>
  <si>
    <t>607-768-814</t>
  </si>
  <si>
    <t>1 is default</t>
  </si>
  <si>
    <t>2)</t>
  </si>
  <si>
    <t>Markups</t>
  </si>
  <si>
    <t>Main Segments Mark Up - By down</t>
  </si>
  <si>
    <t>Main TPS/Riskpot General Markup</t>
  </si>
  <si>
    <t>VolumeSLB</t>
  </si>
  <si>
    <t>VolumeCLI</t>
  </si>
  <si>
    <t>Well Markup</t>
  </si>
  <si>
    <t>Segment /Third Party</t>
  </si>
  <si>
    <t>Cost Basis</t>
  </si>
  <si>
    <t>Cost Type</t>
  </si>
  <si>
    <t>Markup</t>
  </si>
  <si>
    <t>Discount</t>
  </si>
  <si>
    <t>Item</t>
  </si>
  <si>
    <t>Group</t>
  </si>
  <si>
    <t>Well Type</t>
  </si>
  <si>
    <t>Clean drilling time</t>
  </si>
  <si>
    <t>Completion time</t>
  </si>
  <si>
    <t>Risk Pot NPT</t>
  </si>
  <si>
    <t>RIG NPT</t>
  </si>
  <si>
    <t>Learning curve</t>
  </si>
  <si>
    <t>DCTIMES</t>
  </si>
  <si>
    <t>TOTAL TIME</t>
  </si>
  <si>
    <t>Depth</t>
  </si>
  <si>
    <t>Length</t>
  </si>
  <si>
    <t>Qty SLB</t>
  </si>
  <si>
    <t>Qty CLI</t>
  </si>
  <si>
    <t>Unit</t>
  </si>
  <si>
    <t>SLB</t>
  </si>
  <si>
    <t>Third Parties</t>
  </si>
  <si>
    <t>Total Time</t>
  </si>
  <si>
    <t>Do not add categories below RED line</t>
  </si>
  <si>
    <t>Option 1</t>
  </si>
  <si>
    <t>CONTRACT/TENDER ID GOES DOWN ON EACH OPTION TO BE FILLED-IN (1)</t>
  </si>
  <si>
    <t>Clean Time, days</t>
  </si>
  <si>
    <t>Risk Time, days</t>
  </si>
  <si>
    <t>Rig NPT, days</t>
  </si>
  <si>
    <t>Efficiency Curve, days</t>
  </si>
  <si>
    <t>Footage</t>
  </si>
  <si>
    <t>TOTALTIME</t>
  </si>
  <si>
    <t>Duration</t>
  </si>
  <si>
    <t>MV.1&gt;Well Site Services (refer to note 1 below)</t>
  </si>
  <si>
    <t>EA</t>
  </si>
  <si>
    <t xml:space="preserve">MV.2&gt;32” drilling phase with preinstalled Conductor Pipe (without fuel) </t>
  </si>
  <si>
    <t>MV.3&gt;23” drilling phase (without fuel)</t>
  </si>
  <si>
    <t>MV.4&gt;17 ½" drilling phase (without fuel)</t>
  </si>
  <si>
    <t>MV.5&gt;12 ¼” drilling phase (without fuel)</t>
  </si>
  <si>
    <t>MV.6&gt;8 ½" drilling phase (without fuel)</t>
  </si>
  <si>
    <t>MV.7&gt;Running of kill string (without fuel)</t>
  </si>
  <si>
    <t>MV.8&gt;Running of completion string (without fuel)</t>
  </si>
  <si>
    <t>MV.9&gt;Wellhead and X-mas Tree installation service</t>
  </si>
  <si>
    <t>MD.1&gt;Well Site Services (refer to note 1 below)</t>
  </si>
  <si>
    <t xml:space="preserve">MD.2&gt;32” drilling phase with preinstalled Conductor Pipe (without fuel) </t>
  </si>
  <si>
    <t>MD.3&gt;23” drilling phase (without fuel)</t>
  </si>
  <si>
    <t>MD.4&gt;17 ½" drilling phase (without fuel)</t>
  </si>
  <si>
    <t>MD.5&gt;12 ¼” drilling phase (without fuel)</t>
  </si>
  <si>
    <t>MD.6&gt;8 ½" drilling phase (without fuel)</t>
  </si>
  <si>
    <t>MD.7&gt;Running of kill string (without fuel)</t>
  </si>
  <si>
    <t>MD.8&gt;Running of completion string (without fuel)</t>
  </si>
  <si>
    <t>MD.9&gt;Wellhead and X-mas Tree installation service</t>
  </si>
  <si>
    <t>NUV.1&gt;Well Site Services (refer to note 1 below)</t>
  </si>
  <si>
    <t xml:space="preserve">NUV.2&gt;32” drilling phase with preinstalled Conductor Pipe (without fuel) </t>
  </si>
  <si>
    <t>NUV.3&gt;23” drilling phase (without fuel)</t>
  </si>
  <si>
    <t>NUV.4&gt;17 ½" drilling phase (without fuel)</t>
  </si>
  <si>
    <t>NUV.5&gt;12 ¼” drilling phase (without fuel)</t>
  </si>
  <si>
    <t>NUV.6&gt;8 ½" drilling phase (without fuel)</t>
  </si>
  <si>
    <t>NUV.7&gt;Running of kill string (without fuel)</t>
  </si>
  <si>
    <t>NUV.8&gt;Running of completion string (without fuel)</t>
  </si>
  <si>
    <t>NUV.9&gt;Wellhead and X-mas Tree installation service</t>
  </si>
  <si>
    <t>ZV.1&gt;Well Site Services (refer to note 1 below)</t>
  </si>
  <si>
    <t xml:space="preserve">ZV.2&gt;32” drilling phase with preinstalled Conductor Pipe (without fuel) </t>
  </si>
  <si>
    <t>ZV.3&gt;23” drilling phase (without fuel)</t>
  </si>
  <si>
    <t>ZV.4&gt;17 ½" drilling phase (without fuel)</t>
  </si>
  <si>
    <t>ZV.5&gt;12 ¼” drilling phase (without fuel)</t>
  </si>
  <si>
    <t>ZV.6&gt;8 ½" drilling phase (without fuel)</t>
  </si>
  <si>
    <t>ZV.7&gt;Running of kill string (without fuel)</t>
  </si>
  <si>
    <t>ZV.8&gt;Running of completion string (without fuel)</t>
  </si>
  <si>
    <t>ZV.9&gt;Wellhead and X-mas Tree installation service</t>
  </si>
  <si>
    <t>ZD.1&gt;Well Site Services (refer to note 1 below)</t>
  </si>
  <si>
    <t xml:space="preserve">ZD.2&gt;32” drilling phase with preinstalled Conductor Pipe (without fuel) </t>
  </si>
  <si>
    <t>ZD.3&gt;23” drilling phase (without fuel)</t>
  </si>
  <si>
    <t>ZD.4&gt;17 ½" drilling phase (without fuel)</t>
  </si>
  <si>
    <t>ZD.5&gt;12 ¼” drilling phase (without fuel)</t>
  </si>
  <si>
    <t>ZD.6&gt;8 ½" drilling phase (without fuel)</t>
  </si>
  <si>
    <t>ZD.7&gt;Running of kill string (without fuel)</t>
  </si>
  <si>
    <t>ZD.8&gt;Running of completion string (without fuel)</t>
  </si>
  <si>
    <t>ZD.9&gt;Wellhead and X-mas Tree installation service</t>
  </si>
  <si>
    <t>Option 2</t>
  </si>
  <si>
    <t>CONTRACT/TENDER ID GOES DOWN ON EACH OPTION TO BE FILLED-IN (2)</t>
  </si>
  <si>
    <t>Price Line 201</t>
  </si>
  <si>
    <t>Price Line 202</t>
  </si>
  <si>
    <t>Price Line 203</t>
  </si>
  <si>
    <t>Price Line 204</t>
  </si>
  <si>
    <t>Price Line 205</t>
  </si>
  <si>
    <t>Price Line 206</t>
  </si>
  <si>
    <t>Price Line 207</t>
  </si>
  <si>
    <t>Price Line 208</t>
  </si>
  <si>
    <t>Price Line 209</t>
  </si>
  <si>
    <t>Price Line 210</t>
  </si>
  <si>
    <t>Price Line 211</t>
  </si>
  <si>
    <t>Price Line 212</t>
  </si>
  <si>
    <t>Price Line 213</t>
  </si>
  <si>
    <t>Price Line 214</t>
  </si>
  <si>
    <t>Price Line 215</t>
  </si>
  <si>
    <t>Price Line 216</t>
  </si>
  <si>
    <t>Price Line 217</t>
  </si>
  <si>
    <t>Price Line 218</t>
  </si>
  <si>
    <t>Price Line 219</t>
  </si>
  <si>
    <t>Price Line 220</t>
  </si>
  <si>
    <t>Price Line 221</t>
  </si>
  <si>
    <t>Price Line 222</t>
  </si>
  <si>
    <t>Price Line 223</t>
  </si>
  <si>
    <t>Price Line 224</t>
  </si>
  <si>
    <t>Price Line 225</t>
  </si>
  <si>
    <t>Price Line 226</t>
  </si>
  <si>
    <t>Price Line 227</t>
  </si>
  <si>
    <t>Price Line 228</t>
  </si>
  <si>
    <t>Price Line 229</t>
  </si>
  <si>
    <t>Price Line 230</t>
  </si>
  <si>
    <t>Price Line 231</t>
  </si>
  <si>
    <t>Price Line 232</t>
  </si>
  <si>
    <t>Price Line 233</t>
  </si>
  <si>
    <t>Price Line 234</t>
  </si>
  <si>
    <t>Price Line 235</t>
  </si>
  <si>
    <t>Price Line 236</t>
  </si>
  <si>
    <t>Price Line 237</t>
  </si>
  <si>
    <t>Price Line 238</t>
  </si>
  <si>
    <t>Price Line 239</t>
  </si>
  <si>
    <t>Price Line 240</t>
  </si>
  <si>
    <t>Price Line 241</t>
  </si>
  <si>
    <t>Price Line 242</t>
  </si>
  <si>
    <t>Price Line 243</t>
  </si>
  <si>
    <t>Price Line 244</t>
  </si>
  <si>
    <t>Price Line 245</t>
  </si>
  <si>
    <t>Price Line 246</t>
  </si>
  <si>
    <t>Price Line 247</t>
  </si>
  <si>
    <t>Price Line 248</t>
  </si>
  <si>
    <t>Price Line 249</t>
  </si>
  <si>
    <t>Price Line 250</t>
  </si>
  <si>
    <t>Price Line 251</t>
  </si>
  <si>
    <t>Price Line 252</t>
  </si>
  <si>
    <t>Price Line 253</t>
  </si>
  <si>
    <t>Price Line 254</t>
  </si>
  <si>
    <t>Price Line 255</t>
  </si>
  <si>
    <t>Price Line 256</t>
  </si>
  <si>
    <t>Price Line 257</t>
  </si>
  <si>
    <t>Price Line 258</t>
  </si>
  <si>
    <t>Price Line 259</t>
  </si>
  <si>
    <t>Price Line 260</t>
  </si>
  <si>
    <t>Price Line 261</t>
  </si>
  <si>
    <t>Price Line 262</t>
  </si>
  <si>
    <t>Price Line 263</t>
  </si>
  <si>
    <t>Price Line 264</t>
  </si>
  <si>
    <t>Price Line 265</t>
  </si>
  <si>
    <t>Price Line 266</t>
  </si>
  <si>
    <t>Price Line 267</t>
  </si>
  <si>
    <t>Price Line 268</t>
  </si>
  <si>
    <t>Price Line 269</t>
  </si>
  <si>
    <t>Price Line 270</t>
  </si>
  <si>
    <t>Price Line 271</t>
  </si>
  <si>
    <t>Price Line 272</t>
  </si>
  <si>
    <t>Price Line 273</t>
  </si>
  <si>
    <t>Price Line 274</t>
  </si>
  <si>
    <t>Price Line 275</t>
  </si>
  <si>
    <t>Price Line 276</t>
  </si>
  <si>
    <t>Price Line 277</t>
  </si>
  <si>
    <t>Price Line 278</t>
  </si>
  <si>
    <t>Price Line 279</t>
  </si>
  <si>
    <t>Price Line 280</t>
  </si>
  <si>
    <t>Price Line 281</t>
  </si>
  <si>
    <t>Price Line 282</t>
  </si>
  <si>
    <t>Price Line 283</t>
  </si>
  <si>
    <t>Price Line 284</t>
  </si>
  <si>
    <t>Price Line 285</t>
  </si>
  <si>
    <t>Price Line 286</t>
  </si>
  <si>
    <t>Price Line 287</t>
  </si>
  <si>
    <t>Price Line 288</t>
  </si>
  <si>
    <t>Price Line 289</t>
  </si>
  <si>
    <t>Price Line 290</t>
  </si>
  <si>
    <t>Price Line 291</t>
  </si>
  <si>
    <t>Price Line 292</t>
  </si>
  <si>
    <t>Price Line 293</t>
  </si>
  <si>
    <t>Price Line 294</t>
  </si>
  <si>
    <t>Price Line 295</t>
  </si>
  <si>
    <t>Price Line 296</t>
  </si>
  <si>
    <t>Price Line 297</t>
  </si>
  <si>
    <t>Price Line 298</t>
  </si>
  <si>
    <t>Price Line 299</t>
  </si>
  <si>
    <t>Price Line 300</t>
  </si>
  <si>
    <t>Price Line 301</t>
  </si>
  <si>
    <t>Price Line 302</t>
  </si>
  <si>
    <t>Price Line 303</t>
  </si>
  <si>
    <t>Price Line 304</t>
  </si>
  <si>
    <t>Price Line 305</t>
  </si>
  <si>
    <t>Price Line 306</t>
  </si>
  <si>
    <t>Price Line 307</t>
  </si>
  <si>
    <t>Price Line 308</t>
  </si>
  <si>
    <t>Price Line 309</t>
  </si>
  <si>
    <t>Price Line 310</t>
  </si>
  <si>
    <t>Price Line 311</t>
  </si>
  <si>
    <t>Price Line 312</t>
  </si>
  <si>
    <t>Price Line 313</t>
  </si>
  <si>
    <t>Price Line 314</t>
  </si>
  <si>
    <t>Price Line 315</t>
  </si>
  <si>
    <t>Price Line 316</t>
  </si>
  <si>
    <t>Price Line 317</t>
  </si>
  <si>
    <t>Price Line 318</t>
  </si>
  <si>
    <t>Price Line 319</t>
  </si>
  <si>
    <t>Price Line 320</t>
  </si>
  <si>
    <t>Price Line 321</t>
  </si>
  <si>
    <t>Price Line 322</t>
  </si>
  <si>
    <t>Price Line 323</t>
  </si>
  <si>
    <t>Price Line 324</t>
  </si>
  <si>
    <t>Price Line 325</t>
  </si>
  <si>
    <t>Price Line 326</t>
  </si>
  <si>
    <t>Price Line 327</t>
  </si>
  <si>
    <t>Price Line 328</t>
  </si>
  <si>
    <t>Price Line 329</t>
  </si>
  <si>
    <t>Price Line 330</t>
  </si>
  <si>
    <t>Price Line 331</t>
  </si>
  <si>
    <t>Price Line 332</t>
  </si>
  <si>
    <t>Price Line 333</t>
  </si>
  <si>
    <t>Price Line 334</t>
  </si>
  <si>
    <t>Price Line 335</t>
  </si>
  <si>
    <t>Price Line 336</t>
  </si>
  <si>
    <t>Price Line 337</t>
  </si>
  <si>
    <t>Price Line 338</t>
  </si>
  <si>
    <t>Price Line 339</t>
  </si>
  <si>
    <t>Price Line 340</t>
  </si>
  <si>
    <t>Price Line 341</t>
  </si>
  <si>
    <t>Price Line 342</t>
  </si>
  <si>
    <t>Price Line 343</t>
  </si>
  <si>
    <t>Price Line 344</t>
  </si>
  <si>
    <t>Price Line 345</t>
  </si>
  <si>
    <t>Price Line 346</t>
  </si>
  <si>
    <t>Price Line 347</t>
  </si>
  <si>
    <t>Price Line 348</t>
  </si>
  <si>
    <t>Price Line 349</t>
  </si>
  <si>
    <t>Price Line 350</t>
  </si>
  <si>
    <t>Price Line 351</t>
  </si>
  <si>
    <t>Price Line 352</t>
  </si>
  <si>
    <t>Price Line 353</t>
  </si>
  <si>
    <t>Price Line 354</t>
  </si>
  <si>
    <t>Price Line 355</t>
  </si>
  <si>
    <t>Price Line 356</t>
  </si>
  <si>
    <t>Price Line 357</t>
  </si>
  <si>
    <t>Price Line 358</t>
  </si>
  <si>
    <t>Price Line 359</t>
  </si>
  <si>
    <t>Price Line 360</t>
  </si>
  <si>
    <t>Price Line 361</t>
  </si>
  <si>
    <t>Price Line 362</t>
  </si>
  <si>
    <t>Price Line 363</t>
  </si>
  <si>
    <t>Price Line 364</t>
  </si>
  <si>
    <t>Price Line 365</t>
  </si>
  <si>
    <t>Price Line 366</t>
  </si>
  <si>
    <t>Price Line 367</t>
  </si>
  <si>
    <t>Price Line 368</t>
  </si>
  <si>
    <t>Price Line 369</t>
  </si>
  <si>
    <t>Price Line 370</t>
  </si>
  <si>
    <t>Price Line 371</t>
  </si>
  <si>
    <t>Price Line 372</t>
  </si>
  <si>
    <t>Price Line 373</t>
  </si>
  <si>
    <t>Price Line 374</t>
  </si>
  <si>
    <t>Price Line 375</t>
  </si>
  <si>
    <t>Price Line 376</t>
  </si>
  <si>
    <t>Price Line 377</t>
  </si>
  <si>
    <t>Price Line 378</t>
  </si>
  <si>
    <t>Price Line 379</t>
  </si>
  <si>
    <t>Price Line 380</t>
  </si>
  <si>
    <t>Price Line 381</t>
  </si>
  <si>
    <t>Price Line 382</t>
  </si>
  <si>
    <t>Price Line 383</t>
  </si>
  <si>
    <t>Price Line 384</t>
  </si>
  <si>
    <t>Price Line 385</t>
  </si>
  <si>
    <t>Price Line 386</t>
  </si>
  <si>
    <t>Price Line 387</t>
  </si>
  <si>
    <t>Price Line 388</t>
  </si>
  <si>
    <t>Price Line 389</t>
  </si>
  <si>
    <t>Price Line 390</t>
  </si>
  <si>
    <t>Price Line 391</t>
  </si>
  <si>
    <t>Price Line 392</t>
  </si>
  <si>
    <t>Price Line 393</t>
  </si>
  <si>
    <t>Price Line 394</t>
  </si>
  <si>
    <t>Price Line 395</t>
  </si>
  <si>
    <t>Price Line 396</t>
  </si>
  <si>
    <t>Price Line 397</t>
  </si>
  <si>
    <t>Price Line 398</t>
  </si>
  <si>
    <t>Price Line 399</t>
  </si>
  <si>
    <t>Price Line 400</t>
  </si>
  <si>
    <t>Option 3</t>
  </si>
  <si>
    <t>CONTRACT/TENDER ID GOES DOWN ON EACH OPTION TO BE FILLED-IN (3)</t>
  </si>
  <si>
    <t>ITEM</t>
  </si>
  <si>
    <t>SERVICES REQUIRED</t>
  </si>
  <si>
    <t>LINE ITEM UNIQUE CODE</t>
  </si>
  <si>
    <t>PAYMENT METHOD</t>
  </si>
  <si>
    <t>Total Time Units</t>
  </si>
  <si>
    <t>APPLICABLE TOTAL TIME</t>
  </si>
  <si>
    <t>SINGLE WELL QUANTITY</t>
  </si>
  <si>
    <t>607 HYPOS SEV (P90)</t>
  </si>
  <si>
    <t>607 HYPOS CEV</t>
  </si>
  <si>
    <t>768 HYPOS SEV (P90)</t>
  </si>
  <si>
    <t>768 HYPOS CEV</t>
  </si>
  <si>
    <t>814 HYPOS SEV (P90)</t>
  </si>
  <si>
    <t>814 HYPOS CEV</t>
  </si>
  <si>
    <t>WELL CLASSIFICATION</t>
  </si>
  <si>
    <t>MV.1</t>
  </si>
  <si>
    <t>Well Site Services (refer to note 1 below)</t>
  </si>
  <si>
    <t>Lump Sum / Well</t>
  </si>
  <si>
    <t>N/A</t>
  </si>
  <si>
    <t>MISHRIF VERTICAL</t>
  </si>
  <si>
    <t>MV.2</t>
  </si>
  <si>
    <t xml:space="preserve">32” drilling phase with preinstalled Conductor Pipe (without fuel) </t>
  </si>
  <si>
    <t>Lump Sum / Meter / Phase</t>
  </si>
  <si>
    <t>days/meter</t>
  </si>
  <si>
    <t>MV.3</t>
  </si>
  <si>
    <t>23” drilling phase (without fuel)</t>
  </si>
  <si>
    <t>MV.4</t>
  </si>
  <si>
    <t>17 ½" drilling phase (without fuel)</t>
  </si>
  <si>
    <t>MV.5</t>
  </si>
  <si>
    <t>12 ¼” drilling phase (without fuel)</t>
  </si>
  <si>
    <t>MV.6</t>
  </si>
  <si>
    <t>8 ½" drilling phase (without fuel)</t>
  </si>
  <si>
    <t>MV.7</t>
  </si>
  <si>
    <t>Running of kill string (without fuel)</t>
  </si>
  <si>
    <t>days</t>
  </si>
  <si>
    <t>MV.8</t>
  </si>
  <si>
    <t>Running of completion string (without fuel)</t>
  </si>
  <si>
    <t>MV.9</t>
  </si>
  <si>
    <t>Wellhead and X-mas Tree installation service</t>
  </si>
  <si>
    <t>MD.1</t>
  </si>
  <si>
    <t>MISHRIF DEVIATED</t>
  </si>
  <si>
    <t>MD.2</t>
  </si>
  <si>
    <t>MD.3</t>
  </si>
  <si>
    <t>MD.4</t>
  </si>
  <si>
    <t>MD.5</t>
  </si>
  <si>
    <t>MD.6</t>
  </si>
  <si>
    <t>MD.7</t>
  </si>
  <si>
    <t>MD.8</t>
  </si>
  <si>
    <t>MD.9</t>
  </si>
  <si>
    <t>NUV.1</t>
  </si>
  <si>
    <t>NAHR UMR VERTICAL</t>
  </si>
  <si>
    <t>NUV.2</t>
  </si>
  <si>
    <t>NUV.3</t>
  </si>
  <si>
    <t>NUV.4</t>
  </si>
  <si>
    <t>NUV.5</t>
  </si>
  <si>
    <t>NUV.6</t>
  </si>
  <si>
    <t>NUV.7</t>
  </si>
  <si>
    <t>NUV.8</t>
  </si>
  <si>
    <t>NUV.9</t>
  </si>
  <si>
    <t>ZV.1</t>
  </si>
  <si>
    <t>ZUBAIR VERTICAL</t>
  </si>
  <si>
    <t>ZV.2</t>
  </si>
  <si>
    <t>ZV.3</t>
  </si>
  <si>
    <t>ZV.4</t>
  </si>
  <si>
    <t>ZV.5</t>
  </si>
  <si>
    <t>ZV.6</t>
  </si>
  <si>
    <t>ZV.7</t>
  </si>
  <si>
    <t>ZV.8</t>
  </si>
  <si>
    <t>ZV.9</t>
  </si>
  <si>
    <t>ZD.1</t>
  </si>
  <si>
    <t>ZUBAIR DEVIATED</t>
  </si>
  <si>
    <t>ZD.2</t>
  </si>
  <si>
    <t>ZD.3</t>
  </si>
  <si>
    <t>ZD.4</t>
  </si>
  <si>
    <t>ZD.5</t>
  </si>
  <si>
    <t>ZD.6</t>
  </si>
  <si>
    <t>ZD.7</t>
  </si>
  <si>
    <t>ZD.8</t>
  </si>
  <si>
    <t>ZD.9</t>
  </si>
  <si>
    <t>APPLICABLE TOTAL TIME (DAYS)</t>
  </si>
  <si>
    <t>Section Length (m) OR if LUMPSUM/Well</t>
  </si>
  <si>
    <t>ENI ZUBAIR TIMES</t>
  </si>
  <si>
    <t>DIFFERENCE (IDC VS ZUBAIR)</t>
  </si>
  <si>
    <t>Completion</t>
  </si>
  <si>
    <t>Clean Time 
[days]</t>
  </si>
  <si>
    <t>Risk NPT
[days]</t>
  </si>
  <si>
    <t>Total Time 
[days]</t>
  </si>
  <si>
    <t>Rig NPT</t>
  </si>
  <si>
    <t>Total NPT %</t>
  </si>
  <si>
    <t>RIH Kill String</t>
  </si>
  <si>
    <t xml:space="preserve">Mishrif-Vertical </t>
  </si>
  <si>
    <t>Mishrif-Deviated</t>
  </si>
  <si>
    <t>Mishrif- High Deviated</t>
  </si>
  <si>
    <t>Mishrif- Sub Horizontal/Horizontal</t>
  </si>
  <si>
    <t xml:space="preserve">Zubair-Vertical </t>
  </si>
  <si>
    <t>Zubair-Deviated</t>
  </si>
  <si>
    <t>Zubair- High Deviated</t>
  </si>
  <si>
    <t>Zubair- Sub Horizontal/Horizontal</t>
  </si>
  <si>
    <t>Nahr Umr-Vertical</t>
  </si>
  <si>
    <t>NPT
[%]</t>
  </si>
  <si>
    <t>Running of completion string - Upper Completions</t>
  </si>
  <si>
    <t>Note 1: the Lump Sum shall include the following services</t>
  </si>
  <si>
    <t>Well Site Services</t>
  </si>
  <si>
    <t>1.1</t>
  </si>
  <si>
    <t>Contract Project Team (as per "APPENDIX A1 - PRICE APPLICABILITY CRITERIA")</t>
  </si>
  <si>
    <t>1.2</t>
  </si>
  <si>
    <t xml:space="preserve">Communication and Data Transmission </t>
  </si>
  <si>
    <t>1.3</t>
  </si>
  <si>
    <t>Transport and logistics (including transportation of the tubulars and wellhead provided by the COMPANY as a part of the service and n.2 (two) light vehicles on each rig for company use)</t>
  </si>
  <si>
    <t>Drilling Rig + Rig Camp + Accommodation Camp</t>
  </si>
  <si>
    <t>Drilling Phase</t>
  </si>
  <si>
    <t>3.1</t>
  </si>
  <si>
    <t xml:space="preserve">Drilling Tools, Drilling Bit, Directional Drilling, MWD, LWD </t>
  </si>
  <si>
    <t>3.2</t>
  </si>
  <si>
    <t>Surface Logging</t>
  </si>
  <si>
    <t>3.3</t>
  </si>
  <si>
    <t>Drilling and Completion Fluids</t>
  </si>
  <si>
    <t>3.4</t>
  </si>
  <si>
    <t>Cementing and Casing Accessories</t>
  </si>
  <si>
    <t>3.5</t>
  </si>
  <si>
    <t>3.6</t>
  </si>
  <si>
    <t>Fishing, Milling and Cutting</t>
  </si>
  <si>
    <t>3.7</t>
  </si>
  <si>
    <t>Waste Management and Disposal</t>
  </si>
  <si>
    <t>3.8</t>
  </si>
  <si>
    <t xml:space="preserve">Liner Hanger </t>
  </si>
  <si>
    <t>3.9</t>
  </si>
  <si>
    <t>Wire Line Logging</t>
  </si>
  <si>
    <t>3.10</t>
  </si>
  <si>
    <t>Dynamic Security</t>
  </si>
  <si>
    <t>Wellhead and X-Mas Tree Installation services</t>
  </si>
  <si>
    <r>
      <t xml:space="preserve">ITT 700002814
INTEGRATED DRILLING SERVICES
APPENDIX A2 - SCHEDULE OF RATES TURNKEY MISHRIF
</t>
    </r>
    <r>
      <rPr>
        <b/>
        <sz val="16"/>
        <color rgb="FFFF0000"/>
        <rFont val="Arial"/>
        <family val="2"/>
      </rPr>
      <t>[TENDERER TO QUOTE]</t>
    </r>
  </si>
  <si>
    <t xml:space="preserve">MISHRIF Vertical Well  </t>
  </si>
  <si>
    <t>Rate with water base mud (USD)</t>
  </si>
  <si>
    <t>NOT APPLICABLE</t>
  </si>
  <si>
    <t xml:space="preserve">MISHRIF Deviated Well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</si>
</sst>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,000,"/>
    <numFmt numFmtId="165" formatCode="0.0%"/>
    <numFmt numFmtId="166" formatCode="0.0000"/>
    <numFmt numFmtId="167" formatCode="_(* #,##0.00_);_(* \(#,##0.00\);_(* &quot;-&quot;??_);_(@_)"/>
    <numFmt numFmtId="168" formatCode="0.000"/>
    <numFmt numFmtId="169" formatCode="_(* #,##0_);_(* \(#,##0\);_(* &quot;-&quot;??_);_(@_)"/>
    <numFmt numFmtId="170" formatCode="_(* #,##0.0_);_(* \(#,##0.0\);_(* &quot;-&quot;??_);_(@_)"/>
    <numFmt numFmtId="171" formatCode="0.00000"/>
    <numFmt numFmtId="173" formatCode="&quot;TRAINING COURSES  -  Duration of the Couse : &quot;\ \ \ \ \ \ \ \ \ ##\ &quot; days&quot;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2"/>
      <color indexed="18"/>
      <name val="Tahoma"/>
      <family val="2"/>
    </font>
    <font>
      <sz val="11"/>
      <name val="Tahoma"/>
      <family val="2"/>
    </font>
    <font>
      <sz val="10"/>
      <color indexed="12"/>
      <name val="Tahoma"/>
      <family val="2"/>
    </font>
    <font>
      <b/>
      <sz val="9"/>
      <color indexed="18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indexed="9"/>
      <name val="Tahoma"/>
      <family val="2"/>
    </font>
    <font>
      <b/>
      <sz val="10"/>
      <color theme="0" tint="-0.249977111117893"/>
      <name val="Tahoma"/>
      <family val="2"/>
    </font>
    <font>
      <sz val="10"/>
      <color theme="0" tint="-0.249977111117893"/>
      <name val="Tahoma"/>
      <family val="2"/>
    </font>
    <font>
      <i/>
      <sz val="9"/>
      <color indexed="10"/>
      <name val="Tahoma"/>
      <family val="2"/>
    </font>
    <font>
      <sz val="10"/>
      <color theme="1" tint="0.34998626667073579"/>
      <name val="Tahoma"/>
      <family val="2"/>
    </font>
    <font>
      <sz val="10"/>
      <color rgb="FFFF0000"/>
      <name val="Tahoma"/>
      <family val="2"/>
    </font>
    <font>
      <i/>
      <sz val="9"/>
      <color theme="1" tint="0.34998626667073579"/>
      <name val="Tahoma"/>
      <family val="2"/>
    </font>
    <font>
      <b/>
      <sz val="11"/>
      <color indexed="62"/>
      <name val="Calibri"/>
      <family val="2"/>
    </font>
    <font>
      <b/>
      <sz val="11"/>
      <color rgb="FF002060"/>
      <name val="Calibri"/>
      <family val="2"/>
    </font>
    <font>
      <b/>
      <sz val="11"/>
      <color rgb="FF3F3F76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2060"/>
      <name val="Arial"/>
      <family val="2"/>
    </font>
    <font>
      <sz val="10"/>
      <color theme="1"/>
      <name val="Arial"/>
      <family val="2"/>
    </font>
    <font>
      <b/>
      <sz val="11"/>
      <color rgb="FF00206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2"/>
      <color rgb="FFFEFFFF"/>
      <name val="SLB Sans Book"/>
      <family val="3"/>
    </font>
    <font>
      <b/>
      <i/>
      <sz val="12"/>
      <color rgb="FFFF0000"/>
      <name val="SLB Sans Book"/>
      <family val="3"/>
    </font>
    <font>
      <b/>
      <sz val="11"/>
      <color rgb="FF000000"/>
      <name val="SLB Sans Book"/>
      <family val="3"/>
    </font>
    <font>
      <sz val="11"/>
      <color rgb="FF000000"/>
      <name val="SLB Sans Book"/>
      <family val="3"/>
    </font>
    <font>
      <sz val="11"/>
      <color rgb="FF0014DB"/>
      <name val="SLB Sans Book"/>
      <family val="3"/>
    </font>
    <font>
      <sz val="11"/>
      <color rgb="FFFF0000"/>
      <name val="SLB Sans Book"/>
      <family val="3"/>
    </font>
    <font>
      <i/>
      <sz val="11"/>
      <color rgb="FFFF0000"/>
      <name val="SLB Sans Book"/>
      <family val="3"/>
    </font>
    <font>
      <b/>
      <sz val="16"/>
      <name val="Arial"/>
      <family val="2"/>
    </font>
    <font>
      <b/>
      <sz val="16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14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0014DB"/>
      </left>
      <right style="medium">
        <color rgb="FF0014DB"/>
      </right>
      <top style="medium">
        <color rgb="FF0014DB"/>
      </top>
      <bottom style="medium">
        <color rgb="FF0014DB"/>
      </bottom>
      <diagonal/>
    </border>
    <border>
      <left style="medium">
        <color rgb="FF0014DB"/>
      </left>
      <right/>
      <top style="medium">
        <color rgb="FF0014DB"/>
      </top>
      <bottom style="medium">
        <color rgb="FF0014DB"/>
      </bottom>
      <diagonal/>
    </border>
    <border>
      <left/>
      <right/>
      <top style="medium">
        <color rgb="FF0014DB"/>
      </top>
      <bottom style="medium">
        <color rgb="FF0014DB"/>
      </bottom>
      <diagonal/>
    </border>
    <border>
      <left/>
      <right style="medium">
        <color rgb="FF0014DB"/>
      </right>
      <top style="medium">
        <color rgb="FF0014DB"/>
      </top>
      <bottom style="medium">
        <color rgb="FF0014D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8" fillId="22" borderId="72" applyNumberFormat="0" applyFont="0" applyAlignment="0" applyProtection="0"/>
  </cellStyleXfs>
  <cellXfs count="29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164" fontId="10" fillId="5" borderId="3" xfId="0" applyNumberFormat="1" applyFont="1" applyFill="1" applyBorder="1"/>
    <xf numFmtId="164" fontId="10" fillId="5" borderId="3" xfId="0" applyNumberFormat="1" applyFont="1" applyFill="1" applyBorder="1" applyAlignment="1">
      <alignment horizontal="center"/>
    </xf>
    <xf numFmtId="1" fontId="10" fillId="5" borderId="0" xfId="0" applyNumberFormat="1" applyFont="1" applyFill="1" applyAlignment="1">
      <alignment horizontal="center"/>
    </xf>
    <xf numFmtId="164" fontId="0" fillId="0" borderId="0" xfId="0" applyNumberFormat="1"/>
    <xf numFmtId="164" fontId="8" fillId="0" borderId="0" xfId="0" applyNumberFormat="1" applyFont="1"/>
    <xf numFmtId="165" fontId="0" fillId="0" borderId="0" xfId="0" applyNumberFormat="1"/>
    <xf numFmtId="165" fontId="11" fillId="6" borderId="3" xfId="3" applyNumberFormat="1" applyFont="1" applyFill="1" applyBorder="1" applyAlignment="1">
      <alignment horizontal="left"/>
    </xf>
    <xf numFmtId="165" fontId="11" fillId="6" borderId="3" xfId="3" applyNumberFormat="1" applyFont="1" applyFill="1" applyBorder="1" applyAlignment="1">
      <alignment horizontal="center"/>
    </xf>
    <xf numFmtId="1" fontId="11" fillId="6" borderId="0" xfId="3" applyNumberFormat="1" applyFont="1" applyFill="1" applyBorder="1" applyAlignment="1">
      <alignment horizontal="center"/>
    </xf>
    <xf numFmtId="0" fontId="11" fillId="6" borderId="3" xfId="3" applyNumberFormat="1" applyFont="1" applyFill="1" applyBorder="1" applyAlignment="1">
      <alignment horizontal="left"/>
    </xf>
    <xf numFmtId="165" fontId="11" fillId="7" borderId="3" xfId="3" applyNumberFormat="1" applyFont="1" applyFill="1" applyBorder="1" applyAlignment="1">
      <alignment horizontal="left"/>
    </xf>
    <xf numFmtId="165" fontId="11" fillId="8" borderId="3" xfId="3" applyNumberFormat="1" applyFont="1" applyFill="1" applyBorder="1" applyAlignment="1">
      <alignment horizontal="left"/>
    </xf>
    <xf numFmtId="165" fontId="11" fillId="9" borderId="3" xfId="3" applyNumberFormat="1" applyFont="1" applyFill="1" applyBorder="1" applyAlignment="1">
      <alignment horizontal="center"/>
    </xf>
    <xf numFmtId="165" fontId="11" fillId="10" borderId="3" xfId="3" applyNumberFormat="1" applyFont="1" applyFill="1" applyBorder="1" applyAlignment="1">
      <alignment horizontal="center"/>
    </xf>
    <xf numFmtId="165" fontId="11" fillId="11" borderId="3" xfId="3" applyNumberFormat="1" applyFont="1" applyFill="1" applyBorder="1" applyAlignment="1">
      <alignment horizontal="left"/>
    </xf>
    <xf numFmtId="165" fontId="11" fillId="11" borderId="3" xfId="3" applyNumberFormat="1" applyFont="1" applyFill="1" applyBorder="1" applyAlignment="1">
      <alignment horizontal="center"/>
    </xf>
    <xf numFmtId="1" fontId="11" fillId="11" borderId="0" xfId="3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 applyProtection="1">
      <alignment horizontal="center"/>
      <protection locked="0"/>
    </xf>
    <xf numFmtId="0" fontId="12" fillId="0" borderId="4" xfId="0" applyFont="1" applyBorder="1" applyProtection="1">
      <protection locked="0"/>
    </xf>
    <xf numFmtId="0" fontId="12" fillId="0" borderId="0" xfId="0" applyFont="1" applyProtection="1">
      <protection locked="0"/>
    </xf>
    <xf numFmtId="166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center"/>
    </xf>
    <xf numFmtId="0" fontId="13" fillId="0" borderId="0" xfId="0" applyFont="1"/>
    <xf numFmtId="0" fontId="10" fillId="0" borderId="8" xfId="0" applyFont="1" applyBorder="1"/>
    <xf numFmtId="0" fontId="10" fillId="0" borderId="0" xfId="0" applyFont="1"/>
    <xf numFmtId="0" fontId="10" fillId="0" borderId="9" xfId="0" applyFont="1" applyBorder="1"/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43" fontId="14" fillId="0" borderId="13" xfId="1" applyFont="1" applyFill="1" applyBorder="1" applyAlignment="1" applyProtection="1">
      <alignment horizontal="left" vertical="center"/>
    </xf>
    <xf numFmtId="0" fontId="15" fillId="0" borderId="10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15" fillId="12" borderId="10" xfId="0" applyFont="1" applyFill="1" applyBorder="1" applyAlignment="1" applyProtection="1">
      <alignment horizontal="center"/>
      <protection locked="0"/>
    </xf>
    <xf numFmtId="0" fontId="7" fillId="4" borderId="14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left" vertical="center"/>
    </xf>
    <xf numFmtId="43" fontId="14" fillId="0" borderId="16" xfId="1" applyFont="1" applyFill="1" applyBorder="1" applyAlignment="1" applyProtection="1">
      <alignment horizontal="left" vertical="center"/>
    </xf>
    <xf numFmtId="166" fontId="16" fillId="0" borderId="0" xfId="0" applyNumberFormat="1" applyFont="1" applyProtection="1">
      <protection locked="0"/>
    </xf>
    <xf numFmtId="0" fontId="17" fillId="0" borderId="0" xfId="0" applyFont="1" applyAlignment="1" applyProtection="1">
      <alignment horizontal="right"/>
      <protection locked="0"/>
    </xf>
    <xf numFmtId="0" fontId="17" fillId="0" borderId="3" xfId="0" applyFont="1" applyBorder="1" applyProtection="1">
      <protection locked="0"/>
    </xf>
    <xf numFmtId="0" fontId="17" fillId="0" borderId="0" xfId="0" applyFont="1" applyProtection="1">
      <protection locked="0"/>
    </xf>
    <xf numFmtId="2" fontId="15" fillId="12" borderId="10" xfId="0" applyNumberFormat="1" applyFont="1" applyFill="1" applyBorder="1" applyAlignment="1" applyProtection="1">
      <alignment horizontal="center"/>
      <protection locked="0"/>
    </xf>
    <xf numFmtId="0" fontId="18" fillId="4" borderId="17" xfId="0" applyFont="1" applyFill="1" applyBorder="1" applyAlignment="1">
      <alignment horizontal="left" vertical="center"/>
    </xf>
    <xf numFmtId="168" fontId="14" fillId="12" borderId="3" xfId="0" applyNumberFormat="1" applyFont="1" applyFill="1" applyBorder="1" applyAlignment="1" applyProtection="1">
      <alignment horizontal="center"/>
      <protection locked="0"/>
    </xf>
    <xf numFmtId="0" fontId="18" fillId="4" borderId="18" xfId="0" applyFont="1" applyFill="1" applyBorder="1" applyAlignment="1">
      <alignment horizontal="left" vertical="center"/>
    </xf>
    <xf numFmtId="10" fontId="10" fillId="0" borderId="0" xfId="3" applyNumberFormat="1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49" fontId="18" fillId="4" borderId="5" xfId="0" applyNumberFormat="1" applyFont="1" applyFill="1" applyBorder="1" applyAlignment="1" applyProtection="1">
      <alignment horizontal="center" vertical="center"/>
      <protection locked="0"/>
    </xf>
    <xf numFmtId="49" fontId="18" fillId="4" borderId="19" xfId="0" applyNumberFormat="1" applyFont="1" applyFill="1" applyBorder="1" applyAlignment="1" applyProtection="1">
      <alignment horizontal="center" vertical="center"/>
      <protection locked="0"/>
    </xf>
    <xf numFmtId="0" fontId="7" fillId="4" borderId="2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49" fontId="18" fillId="4" borderId="21" xfId="0" applyNumberFormat="1" applyFont="1" applyFill="1" applyBorder="1" applyAlignment="1">
      <alignment horizontal="center" vertical="center"/>
    </xf>
    <xf numFmtId="49" fontId="18" fillId="4" borderId="22" xfId="0" applyNumberFormat="1" applyFont="1" applyFill="1" applyBorder="1" applyAlignment="1">
      <alignment horizontal="center" vertical="center"/>
    </xf>
    <xf numFmtId="49" fontId="18" fillId="4" borderId="23" xfId="0" applyNumberFormat="1" applyFont="1" applyFill="1" applyBorder="1" applyAlignment="1">
      <alignment horizontal="center" vertical="center"/>
    </xf>
    <xf numFmtId="49" fontId="18" fillId="4" borderId="24" xfId="0" applyNumberFormat="1" applyFont="1" applyFill="1" applyBorder="1" applyAlignment="1">
      <alignment horizontal="center" vertical="center"/>
    </xf>
    <xf numFmtId="0" fontId="10" fillId="13" borderId="0" xfId="0" applyFont="1" applyFill="1"/>
    <xf numFmtId="49" fontId="18" fillId="4" borderId="25" xfId="0" applyNumberFormat="1" applyFont="1" applyFill="1" applyBorder="1" applyAlignment="1">
      <alignment horizontal="center" vertical="center"/>
    </xf>
    <xf numFmtId="0" fontId="7" fillId="13" borderId="0" xfId="0" applyFont="1" applyFill="1" applyAlignment="1">
      <alignment vertical="center"/>
    </xf>
    <xf numFmtId="49" fontId="18" fillId="4" borderId="21" xfId="0" applyNumberFormat="1" applyFont="1" applyFill="1" applyBorder="1" applyAlignment="1">
      <alignment vertical="center"/>
    </xf>
    <xf numFmtId="49" fontId="18" fillId="4" borderId="26" xfId="0" applyNumberFormat="1" applyFont="1" applyFill="1" applyBorder="1" applyAlignment="1">
      <alignment horizontal="center" vertical="center"/>
    </xf>
    <xf numFmtId="49" fontId="18" fillId="4" borderId="27" xfId="0" applyNumberFormat="1" applyFont="1" applyFill="1" applyBorder="1" applyAlignment="1">
      <alignment horizontal="center" vertical="center"/>
    </xf>
    <xf numFmtId="164" fontId="10" fillId="14" borderId="28" xfId="0" applyNumberFormat="1" applyFont="1" applyFill="1" applyBorder="1" applyProtection="1">
      <protection locked="0"/>
    </xf>
    <xf numFmtId="164" fontId="10" fillId="15" borderId="3" xfId="0" applyNumberFormat="1" applyFont="1" applyFill="1" applyBorder="1" applyAlignment="1" applyProtection="1">
      <alignment horizontal="center"/>
      <protection locked="0"/>
    </xf>
    <xf numFmtId="164" fontId="10" fillId="14" borderId="29" xfId="0" applyNumberFormat="1" applyFont="1" applyFill="1" applyBorder="1" applyAlignment="1" applyProtection="1">
      <alignment horizontal="center"/>
      <protection locked="0"/>
    </xf>
    <xf numFmtId="164" fontId="10" fillId="15" borderId="29" xfId="0" applyNumberFormat="1" applyFont="1" applyFill="1" applyBorder="1" applyAlignment="1" applyProtection="1">
      <alignment horizontal="center"/>
      <protection locked="0"/>
    </xf>
    <xf numFmtId="168" fontId="16" fillId="15" borderId="30" xfId="0" applyNumberFormat="1" applyFont="1" applyFill="1" applyBorder="1" applyAlignment="1" applyProtection="1">
      <alignment horizontal="center"/>
      <protection locked="0"/>
    </xf>
    <xf numFmtId="165" fontId="16" fillId="15" borderId="31" xfId="3" applyNumberFormat="1" applyFont="1" applyFill="1" applyBorder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0" fontId="10" fillId="16" borderId="32" xfId="0" applyFont="1" applyFill="1" applyBorder="1" applyAlignment="1">
      <alignment horizontal="center" vertical="center"/>
    </xf>
    <xf numFmtId="1" fontId="10" fillId="16" borderId="32" xfId="0" applyNumberFormat="1" applyFont="1" applyFill="1" applyBorder="1" applyAlignment="1">
      <alignment horizontal="center" vertical="center"/>
    </xf>
    <xf numFmtId="43" fontId="14" fillId="0" borderId="33" xfId="1" applyFont="1" applyFill="1" applyBorder="1" applyAlignment="1" applyProtection="1">
      <alignment horizontal="left" vertical="center"/>
    </xf>
    <xf numFmtId="43" fontId="14" fillId="0" borderId="34" xfId="1" applyFont="1" applyFill="1" applyBorder="1" applyAlignment="1" applyProtection="1">
      <alignment horizontal="left" vertical="center"/>
    </xf>
    <xf numFmtId="0" fontId="10" fillId="13" borderId="35" xfId="0" applyFont="1" applyFill="1" applyBorder="1"/>
    <xf numFmtId="169" fontId="14" fillId="0" borderId="33" xfId="1" applyNumberFormat="1" applyFont="1" applyFill="1" applyBorder="1" applyAlignment="1" applyProtection="1">
      <alignment horizontal="left" vertical="center"/>
    </xf>
    <xf numFmtId="43" fontId="14" fillId="0" borderId="8" xfId="1" applyFont="1" applyFill="1" applyBorder="1" applyAlignment="1" applyProtection="1">
      <alignment horizontal="left" vertical="center"/>
    </xf>
    <xf numFmtId="9" fontId="10" fillId="14" borderId="36" xfId="3" applyFont="1" applyFill="1" applyBorder="1" applyAlignment="1" applyProtection="1">
      <alignment horizontal="center"/>
      <protection locked="0"/>
    </xf>
    <xf numFmtId="43" fontId="14" fillId="0" borderId="37" xfId="1" applyFont="1" applyFill="1" applyBorder="1" applyAlignment="1" applyProtection="1">
      <alignment horizontal="left" vertical="center"/>
    </xf>
    <xf numFmtId="43" fontId="14" fillId="0" borderId="38" xfId="1" applyFont="1" applyFill="1" applyBorder="1" applyAlignment="1" applyProtection="1">
      <alignment horizontal="left" vertical="center"/>
    </xf>
    <xf numFmtId="164" fontId="10" fillId="14" borderId="39" xfId="0" applyNumberFormat="1" applyFont="1" applyFill="1" applyBorder="1" applyProtection="1">
      <protection locked="0"/>
    </xf>
    <xf numFmtId="164" fontId="10" fillId="15" borderId="36" xfId="0" applyNumberFormat="1" applyFont="1" applyFill="1" applyBorder="1" applyAlignment="1" applyProtection="1">
      <alignment horizontal="center"/>
      <protection locked="0"/>
    </xf>
    <xf numFmtId="164" fontId="10" fillId="14" borderId="36" xfId="0" applyNumberFormat="1" applyFont="1" applyFill="1" applyBorder="1" applyAlignment="1" applyProtection="1">
      <alignment horizontal="center"/>
      <protection locked="0"/>
    </xf>
    <xf numFmtId="168" fontId="16" fillId="15" borderId="40" xfId="0" applyNumberFormat="1" applyFont="1" applyFill="1" applyBorder="1" applyAlignment="1" applyProtection="1">
      <alignment horizontal="center"/>
      <protection locked="0"/>
    </xf>
    <xf numFmtId="165" fontId="16" fillId="15" borderId="41" xfId="3" applyNumberFormat="1" applyFont="1" applyFill="1" applyBorder="1" applyAlignment="1" applyProtection="1">
      <alignment horizontal="center"/>
      <protection locked="0"/>
    </xf>
    <xf numFmtId="0" fontId="10" fillId="16" borderId="37" xfId="0" applyFont="1" applyFill="1" applyBorder="1" applyAlignment="1">
      <alignment horizontal="center" vertical="center"/>
    </xf>
    <xf numFmtId="1" fontId="10" fillId="16" borderId="37" xfId="0" applyNumberFormat="1" applyFont="1" applyFill="1" applyBorder="1" applyAlignment="1">
      <alignment horizontal="center" vertical="center"/>
    </xf>
    <xf numFmtId="43" fontId="14" fillId="0" borderId="42" xfId="1" applyFont="1" applyFill="1" applyBorder="1" applyAlignment="1" applyProtection="1">
      <alignment horizontal="left" vertical="center"/>
    </xf>
    <xf numFmtId="169" fontId="14" fillId="0" borderId="8" xfId="1" applyNumberFormat="1" applyFont="1" applyFill="1" applyBorder="1" applyAlignment="1" applyProtection="1">
      <alignment horizontal="left" vertical="center"/>
    </xf>
    <xf numFmtId="0" fontId="21" fillId="0" borderId="0" xfId="0" applyFont="1" applyProtection="1">
      <protection locked="0"/>
    </xf>
    <xf numFmtId="165" fontId="11" fillId="14" borderId="39" xfId="3" applyNumberFormat="1" applyFont="1" applyFill="1" applyBorder="1" applyAlignment="1" applyProtection="1">
      <alignment horizontal="left"/>
      <protection locked="0"/>
    </xf>
    <xf numFmtId="165" fontId="11" fillId="14" borderId="36" xfId="3" applyNumberFormat="1" applyFont="1" applyFill="1" applyBorder="1" applyAlignment="1" applyProtection="1">
      <alignment horizontal="center"/>
      <protection locked="0"/>
    </xf>
    <xf numFmtId="165" fontId="11" fillId="14" borderId="43" xfId="3" applyNumberFormat="1" applyFont="1" applyFill="1" applyBorder="1" applyAlignment="1" applyProtection="1">
      <alignment horizontal="left"/>
      <protection locked="0"/>
    </xf>
    <xf numFmtId="164" fontId="10" fillId="15" borderId="44" xfId="0" applyNumberFormat="1" applyFont="1" applyFill="1" applyBorder="1" applyAlignment="1" applyProtection="1">
      <alignment horizontal="center"/>
      <protection locked="0"/>
    </xf>
    <xf numFmtId="165" fontId="11" fillId="14" borderId="44" xfId="3" applyNumberFormat="1" applyFont="1" applyFill="1" applyBorder="1" applyAlignment="1" applyProtection="1">
      <alignment horizontal="center"/>
      <protection locked="0"/>
    </xf>
    <xf numFmtId="168" fontId="16" fillId="15" borderId="45" xfId="0" applyNumberFormat="1" applyFont="1" applyFill="1" applyBorder="1" applyAlignment="1" applyProtection="1">
      <alignment horizontal="center"/>
      <protection locked="0"/>
    </xf>
    <xf numFmtId="165" fontId="16" fillId="15" borderId="46" xfId="3" applyNumberFormat="1" applyFont="1" applyFill="1" applyBorder="1" applyAlignment="1" applyProtection="1">
      <alignment horizontal="center"/>
      <protection locked="0"/>
    </xf>
    <xf numFmtId="165" fontId="11" fillId="14" borderId="28" xfId="3" applyNumberFormat="1" applyFont="1" applyFill="1" applyBorder="1" applyAlignment="1" applyProtection="1">
      <alignment horizontal="left"/>
      <protection locked="0"/>
    </xf>
    <xf numFmtId="168" fontId="10" fillId="9" borderId="29" xfId="0" applyNumberFormat="1" applyFont="1" applyFill="1" applyBorder="1" applyAlignment="1" applyProtection="1">
      <alignment horizontal="center"/>
      <protection locked="0"/>
    </xf>
    <xf numFmtId="168" fontId="10" fillId="14" borderId="29" xfId="0" applyNumberFormat="1" applyFont="1" applyFill="1" applyBorder="1" applyAlignment="1" applyProtection="1">
      <alignment horizontal="center"/>
      <protection locked="0"/>
    </xf>
    <xf numFmtId="168" fontId="16" fillId="9" borderId="30" xfId="0" applyNumberFormat="1" applyFont="1" applyFill="1" applyBorder="1" applyAlignment="1" applyProtection="1">
      <alignment horizontal="center"/>
      <protection locked="0"/>
    </xf>
    <xf numFmtId="165" fontId="16" fillId="9" borderId="31" xfId="3" applyNumberFormat="1" applyFont="1" applyFill="1" applyBorder="1" applyAlignment="1" applyProtection="1">
      <alignment horizontal="center"/>
      <protection locked="0"/>
    </xf>
    <xf numFmtId="168" fontId="10" fillId="9" borderId="47" xfId="0" applyNumberFormat="1" applyFont="1" applyFill="1" applyBorder="1" applyAlignment="1" applyProtection="1">
      <alignment horizontal="center"/>
      <protection locked="0"/>
    </xf>
    <xf numFmtId="168" fontId="10" fillId="14" borderId="47" xfId="0" applyNumberFormat="1" applyFont="1" applyFill="1" applyBorder="1" applyAlignment="1" applyProtection="1">
      <alignment horizontal="center"/>
      <protection locked="0"/>
    </xf>
    <xf numFmtId="168" fontId="16" fillId="9" borderId="48" xfId="0" applyNumberFormat="1" applyFont="1" applyFill="1" applyBorder="1" applyAlignment="1" applyProtection="1">
      <alignment horizontal="center"/>
      <protection locked="0"/>
    </xf>
    <xf numFmtId="165" fontId="16" fillId="9" borderId="41" xfId="3" applyNumberFormat="1" applyFont="1" applyFill="1" applyBorder="1" applyAlignment="1" applyProtection="1">
      <alignment horizontal="center"/>
      <protection locked="0"/>
    </xf>
    <xf numFmtId="165" fontId="11" fillId="17" borderId="39" xfId="3" applyNumberFormat="1" applyFont="1" applyFill="1" applyBorder="1" applyAlignment="1" applyProtection="1">
      <alignment horizontal="left"/>
      <protection locked="0"/>
    </xf>
    <xf numFmtId="165" fontId="11" fillId="8" borderId="39" xfId="3" applyNumberFormat="1" applyFont="1" applyFill="1" applyBorder="1" applyAlignment="1" applyProtection="1">
      <alignment horizontal="left"/>
      <protection locked="0"/>
    </xf>
    <xf numFmtId="168" fontId="10" fillId="9" borderId="49" xfId="0" applyNumberFormat="1" applyFont="1" applyFill="1" applyBorder="1" applyAlignment="1" applyProtection="1">
      <alignment horizontal="center"/>
      <protection locked="0"/>
    </xf>
    <xf numFmtId="168" fontId="16" fillId="9" borderId="50" xfId="0" applyNumberFormat="1" applyFont="1" applyFill="1" applyBorder="1" applyAlignment="1" applyProtection="1">
      <alignment horizontal="center"/>
      <protection locked="0"/>
    </xf>
    <xf numFmtId="165" fontId="16" fillId="9" borderId="51" xfId="3" applyNumberFormat="1" applyFont="1" applyFill="1" applyBorder="1" applyAlignment="1" applyProtection="1">
      <alignment horizontal="center"/>
      <protection locked="0"/>
    </xf>
    <xf numFmtId="165" fontId="11" fillId="18" borderId="52" xfId="3" applyNumberFormat="1" applyFont="1" applyFill="1" applyBorder="1" applyAlignment="1">
      <alignment horizontal="left"/>
    </xf>
    <xf numFmtId="168" fontId="16" fillId="18" borderId="53" xfId="0" applyNumberFormat="1" applyFont="1" applyFill="1" applyBorder="1" applyAlignment="1" applyProtection="1">
      <alignment horizontal="center"/>
      <protection locked="0"/>
    </xf>
    <xf numFmtId="165" fontId="11" fillId="18" borderId="47" xfId="3" applyNumberFormat="1" applyFont="1" applyFill="1" applyBorder="1" applyAlignment="1">
      <alignment horizontal="left"/>
    </xf>
    <xf numFmtId="168" fontId="16" fillId="18" borderId="48" xfId="0" applyNumberFormat="1" applyFont="1" applyFill="1" applyBorder="1" applyAlignment="1" applyProtection="1">
      <alignment horizontal="center"/>
      <protection locked="0"/>
    </xf>
    <xf numFmtId="0" fontId="7" fillId="19" borderId="54" xfId="0" applyFont="1" applyFill="1" applyBorder="1"/>
    <xf numFmtId="0" fontId="7" fillId="19" borderId="0" xfId="0" applyFont="1" applyFill="1" applyAlignment="1">
      <alignment horizontal="center"/>
    </xf>
    <xf numFmtId="167" fontId="10" fillId="0" borderId="0" xfId="0" applyNumberFormat="1" applyFont="1" applyProtection="1">
      <protection locked="0"/>
    </xf>
    <xf numFmtId="0" fontId="7" fillId="19" borderId="53" xfId="0" applyFont="1" applyFill="1" applyBorder="1" applyAlignment="1">
      <alignment horizontal="left"/>
    </xf>
    <xf numFmtId="0" fontId="7" fillId="19" borderId="55" xfId="0" applyFont="1" applyFill="1" applyBorder="1" applyAlignment="1">
      <alignment horizontal="left"/>
    </xf>
    <xf numFmtId="0" fontId="10" fillId="19" borderId="53" xfId="0" applyFont="1" applyFill="1" applyBorder="1"/>
    <xf numFmtId="0" fontId="10" fillId="19" borderId="55" xfId="0" applyFont="1" applyFill="1" applyBorder="1"/>
    <xf numFmtId="0" fontId="10" fillId="19" borderId="56" xfId="0" applyFont="1" applyFill="1" applyBorder="1"/>
    <xf numFmtId="0" fontId="10" fillId="19" borderId="52" xfId="0" applyFont="1" applyFill="1" applyBorder="1"/>
    <xf numFmtId="0" fontId="10" fillId="13" borderId="0" xfId="0" applyFont="1" applyFill="1" applyProtection="1">
      <protection locked="0"/>
    </xf>
    <xf numFmtId="0" fontId="7" fillId="4" borderId="57" xfId="0" applyFont="1" applyFill="1" applyBorder="1" applyAlignment="1">
      <alignment horizontal="left" vertical="center"/>
    </xf>
    <xf numFmtId="0" fontId="10" fillId="7" borderId="0" xfId="0" applyFont="1" applyFill="1" applyProtection="1">
      <protection locked="0"/>
    </xf>
    <xf numFmtId="0" fontId="10" fillId="13" borderId="0" xfId="0" applyFont="1" applyFill="1" applyAlignment="1" applyProtection="1">
      <alignment horizontal="center"/>
      <protection locked="0"/>
    </xf>
    <xf numFmtId="49" fontId="18" fillId="4" borderId="58" xfId="0" applyNumberFormat="1" applyFont="1" applyFill="1" applyBorder="1" applyAlignment="1">
      <alignment vertical="center"/>
    </xf>
    <xf numFmtId="49" fontId="18" fillId="4" borderId="58" xfId="0" applyNumberFormat="1" applyFont="1" applyFill="1" applyBorder="1" applyAlignment="1">
      <alignment horizontal="center" vertical="center"/>
    </xf>
    <xf numFmtId="49" fontId="18" fillId="4" borderId="59" xfId="0" applyNumberFormat="1" applyFont="1" applyFill="1" applyBorder="1" applyAlignment="1">
      <alignment vertical="center"/>
    </xf>
    <xf numFmtId="49" fontId="18" fillId="4" borderId="45" xfId="0" applyNumberFormat="1" applyFont="1" applyFill="1" applyBorder="1" applyAlignment="1">
      <alignment horizontal="center" vertical="center"/>
    </xf>
    <xf numFmtId="49" fontId="18" fillId="4" borderId="59" xfId="0" applyNumberFormat="1" applyFont="1" applyFill="1" applyBorder="1" applyAlignment="1">
      <alignment horizontal="center" vertical="center"/>
    </xf>
    <xf numFmtId="49" fontId="18" fillId="4" borderId="60" xfId="0" applyNumberFormat="1" applyFont="1" applyFill="1" applyBorder="1" applyAlignment="1">
      <alignment vertical="center"/>
    </xf>
    <xf numFmtId="49" fontId="18" fillId="4" borderId="44" xfId="0" applyNumberFormat="1" applyFont="1" applyFill="1" applyBorder="1" applyAlignment="1">
      <alignment horizontal="center" vertical="center"/>
    </xf>
    <xf numFmtId="0" fontId="22" fillId="0" borderId="0" xfId="0" applyFont="1" applyProtection="1">
      <protection locked="0"/>
    </xf>
    <xf numFmtId="0" fontId="10" fillId="16" borderId="61" xfId="0" applyFont="1" applyFill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/>
    </xf>
    <xf numFmtId="49" fontId="14" fillId="14" borderId="62" xfId="1" applyNumberFormat="1" applyFont="1" applyFill="1" applyBorder="1" applyAlignment="1" applyProtection="1">
      <alignment horizontal="left" vertical="center"/>
      <protection locked="0"/>
    </xf>
    <xf numFmtId="43" fontId="14" fillId="12" borderId="62" xfId="1" applyFont="1" applyFill="1" applyBorder="1" applyAlignment="1" applyProtection="1">
      <alignment horizontal="left" vertical="center"/>
      <protection locked="0"/>
    </xf>
    <xf numFmtId="43" fontId="14" fillId="20" borderId="62" xfId="1" applyFont="1" applyFill="1" applyBorder="1" applyAlignment="1" applyProtection="1">
      <alignment horizontal="left" vertical="center"/>
      <protection locked="0"/>
    </xf>
    <xf numFmtId="43" fontId="23" fillId="12" borderId="62" xfId="1" applyFont="1" applyFill="1" applyBorder="1" applyAlignment="1" applyProtection="1">
      <alignment horizontal="left" vertical="center"/>
      <protection locked="0"/>
    </xf>
    <xf numFmtId="0" fontId="10" fillId="13" borderId="63" xfId="0" applyFont="1" applyFill="1" applyBorder="1" applyProtection="1">
      <protection locked="0"/>
    </xf>
    <xf numFmtId="169" fontId="14" fillId="12" borderId="61" xfId="1" applyNumberFormat="1" applyFont="1" applyFill="1" applyBorder="1" applyAlignment="1" applyProtection="1">
      <alignment horizontal="left" vertical="center"/>
      <protection locked="0"/>
    </xf>
    <xf numFmtId="43" fontId="14" fillId="12" borderId="61" xfId="1" applyFont="1" applyFill="1" applyBorder="1" applyAlignment="1" applyProtection="1">
      <alignment horizontal="left" vertical="center"/>
      <protection locked="0"/>
    </xf>
    <xf numFmtId="43" fontId="14" fillId="12" borderId="64" xfId="1" applyFont="1" applyFill="1" applyBorder="1" applyAlignment="1" applyProtection="1">
      <alignment horizontal="center" vertical="center"/>
      <protection locked="0"/>
    </xf>
    <xf numFmtId="0" fontId="10" fillId="13" borderId="9" xfId="0" applyFont="1" applyFill="1" applyBorder="1" applyProtection="1">
      <protection locked="0"/>
    </xf>
    <xf numFmtId="49" fontId="23" fillId="14" borderId="62" xfId="1" applyNumberFormat="1" applyFont="1" applyFill="1" applyBorder="1" applyAlignment="1" applyProtection="1">
      <alignment horizontal="left" vertical="center"/>
      <protection locked="0"/>
    </xf>
    <xf numFmtId="169" fontId="14" fillId="12" borderId="61" xfId="1" applyNumberFormat="1" applyFont="1" applyFill="1" applyBorder="1" applyAlignment="1" applyProtection="1">
      <alignment horizontal="center" vertical="center"/>
      <protection locked="0"/>
    </xf>
    <xf numFmtId="169" fontId="10" fillId="19" borderId="52" xfId="1" applyNumberFormat="1" applyFont="1" applyFill="1" applyBorder="1" applyProtection="1">
      <protection locked="0"/>
    </xf>
    <xf numFmtId="49" fontId="18" fillId="4" borderId="65" xfId="0" applyNumberFormat="1" applyFont="1" applyFill="1" applyBorder="1" applyAlignment="1">
      <alignment vertical="center"/>
    </xf>
    <xf numFmtId="49" fontId="18" fillId="4" borderId="66" xfId="0" applyNumberFormat="1" applyFont="1" applyFill="1" applyBorder="1" applyAlignment="1">
      <alignment horizontal="center" vertical="center"/>
    </xf>
    <xf numFmtId="49" fontId="18" fillId="4" borderId="65" xfId="0" applyNumberFormat="1" applyFont="1" applyFill="1" applyBorder="1" applyAlignment="1">
      <alignment horizontal="center" vertical="center"/>
    </xf>
    <xf numFmtId="49" fontId="18" fillId="4" borderId="67" xfId="0" applyNumberFormat="1" applyFont="1" applyFill="1" applyBorder="1" applyAlignment="1">
      <alignment vertical="center"/>
    </xf>
    <xf numFmtId="49" fontId="18" fillId="4" borderId="68" xfId="0" applyNumberFormat="1" applyFont="1" applyFill="1" applyBorder="1" applyAlignment="1">
      <alignment horizontal="center" vertical="center"/>
    </xf>
    <xf numFmtId="43" fontId="14" fillId="20" borderId="61" xfId="1" applyFont="1" applyFill="1" applyBorder="1" applyAlignment="1" applyProtection="1">
      <alignment horizontal="left" vertical="center"/>
      <protection locked="0"/>
    </xf>
    <xf numFmtId="167" fontId="10" fillId="13" borderId="9" xfId="0" applyNumberFormat="1" applyFont="1" applyFill="1" applyBorder="1" applyProtection="1">
      <protection locked="0"/>
    </xf>
    <xf numFmtId="1" fontId="10" fillId="16" borderId="61" xfId="0" applyNumberFormat="1" applyFont="1" applyFill="1" applyBorder="1" applyAlignment="1">
      <alignment horizontal="center" vertical="center"/>
    </xf>
    <xf numFmtId="49" fontId="10" fillId="14" borderId="62" xfId="0" applyNumberFormat="1" applyFont="1" applyFill="1" applyBorder="1" applyAlignment="1">
      <alignment horizontal="center" vertical="center"/>
    </xf>
    <xf numFmtId="0" fontId="24" fillId="0" borderId="0" xfId="0" applyFont="1" applyProtection="1">
      <protection locked="0"/>
    </xf>
    <xf numFmtId="170" fontId="14" fillId="12" borderId="61" xfId="1" applyNumberFormat="1" applyFont="1" applyFill="1" applyBorder="1" applyAlignment="1" applyProtection="1">
      <alignment horizontal="left" vertical="center"/>
      <protection locked="0"/>
    </xf>
    <xf numFmtId="0" fontId="10" fillId="21" borderId="0" xfId="0" applyFont="1" applyFill="1" applyProtection="1">
      <protection locked="0"/>
    </xf>
    <xf numFmtId="49" fontId="18" fillId="4" borderId="69" xfId="0" applyNumberFormat="1" applyFont="1" applyFill="1" applyBorder="1" applyAlignment="1">
      <alignment vertical="center"/>
    </xf>
    <xf numFmtId="49" fontId="18" fillId="4" borderId="70" xfId="0" applyNumberFormat="1" applyFont="1" applyFill="1" applyBorder="1" applyAlignment="1">
      <alignment vertical="center"/>
    </xf>
    <xf numFmtId="0" fontId="10" fillId="21" borderId="0" xfId="0" applyFont="1" applyFill="1"/>
    <xf numFmtId="0" fontId="25" fillId="2" borderId="71" xfId="4" applyFont="1" applyBorder="1" applyAlignment="1">
      <alignment horizontal="center" vertical="center"/>
    </xf>
    <xf numFmtId="0" fontId="2" fillId="2" borderId="71" xfId="4" applyBorder="1" applyAlignment="1">
      <alignment horizontal="center" vertical="center"/>
    </xf>
    <xf numFmtId="0" fontId="2" fillId="2" borderId="71" xfId="4" applyBorder="1" applyAlignment="1">
      <alignment horizontal="center" vertical="center" wrapText="1"/>
    </xf>
    <xf numFmtId="0" fontId="2" fillId="2" borderId="0" xfId="4" applyBorder="1" applyAlignment="1">
      <alignment horizontal="center" vertical="center" wrapText="1"/>
    </xf>
    <xf numFmtId="0" fontId="26" fillId="22" borderId="72" xfId="6" applyFont="1" applyAlignment="1">
      <alignment horizontal="center" vertical="center" wrapText="1"/>
    </xf>
    <xf numFmtId="0" fontId="26" fillId="3" borderId="71" xfId="5" applyFont="1" applyBorder="1" applyAlignment="1">
      <alignment horizontal="center" vertical="center" wrapText="1"/>
    </xf>
    <xf numFmtId="0" fontId="27" fillId="2" borderId="1" xfId="4" applyFont="1" applyAlignment="1">
      <alignment horizontal="center" vertical="center"/>
    </xf>
    <xf numFmtId="0" fontId="28" fillId="24" borderId="36" xfId="0" applyFont="1" applyFill="1" applyBorder="1" applyAlignment="1">
      <alignment horizontal="center" vertical="center"/>
    </xf>
    <xf numFmtId="0" fontId="0" fillId="24" borderId="40" xfId="0" applyFill="1" applyBorder="1" applyAlignment="1">
      <alignment vertical="center" wrapText="1"/>
    </xf>
    <xf numFmtId="0" fontId="4" fillId="24" borderId="36" xfId="0" applyFont="1" applyFill="1" applyBorder="1" applyAlignment="1">
      <alignment horizontal="center" vertical="center" wrapText="1"/>
    </xf>
    <xf numFmtId="171" fontId="26" fillId="22" borderId="72" xfId="6" applyNumberFormat="1" applyFont="1" applyAlignment="1">
      <alignment horizontal="center" vertical="center" wrapText="1"/>
    </xf>
    <xf numFmtId="1" fontId="26" fillId="3" borderId="71" xfId="5" applyNumberFormat="1" applyFont="1" applyBorder="1" applyAlignment="1">
      <alignment horizontal="center" vertical="center" wrapText="1"/>
    </xf>
    <xf numFmtId="0" fontId="27" fillId="7" borderId="1" xfId="4" applyFont="1" applyFill="1" applyAlignment="1">
      <alignment horizontal="center" vertical="center"/>
    </xf>
    <xf numFmtId="0" fontId="4" fillId="24" borderId="36" xfId="0" applyFont="1" applyFill="1" applyBorder="1" applyAlignment="1">
      <alignment horizontal="center" vertical="center" wrapText="1"/>
    </xf>
    <xf numFmtId="0" fontId="29" fillId="24" borderId="36" xfId="0" applyFont="1" applyFill="1" applyBorder="1" applyAlignment="1">
      <alignment horizontal="center" vertical="center"/>
    </xf>
    <xf numFmtId="0" fontId="30" fillId="24" borderId="40" xfId="0" applyFont="1" applyFill="1" applyBorder="1" applyAlignment="1">
      <alignment vertical="center" wrapText="1"/>
    </xf>
    <xf numFmtId="0" fontId="28" fillId="25" borderId="36" xfId="0" applyFont="1" applyFill="1" applyBorder="1" applyAlignment="1">
      <alignment horizontal="center" vertical="center"/>
    </xf>
    <xf numFmtId="0" fontId="0" fillId="25" borderId="40" xfId="0" applyFill="1" applyBorder="1" applyAlignment="1">
      <alignment vertical="center" wrapText="1"/>
    </xf>
    <xf numFmtId="0" fontId="4" fillId="25" borderId="36" xfId="0" applyFont="1" applyFill="1" applyBorder="1" applyAlignment="1">
      <alignment horizontal="center" vertical="center" wrapText="1"/>
    </xf>
    <xf numFmtId="2" fontId="0" fillId="0" borderId="0" xfId="0" applyNumberFormat="1"/>
    <xf numFmtId="0" fontId="4" fillId="25" borderId="36" xfId="0" applyFont="1" applyFill="1" applyBorder="1" applyAlignment="1">
      <alignment horizontal="center" vertical="center" wrapText="1"/>
    </xf>
    <xf numFmtId="0" fontId="29" fillId="25" borderId="36" xfId="0" applyFont="1" applyFill="1" applyBorder="1" applyAlignment="1">
      <alignment horizontal="center" vertical="center"/>
    </xf>
    <xf numFmtId="0" fontId="30" fillId="25" borderId="40" xfId="0" applyFont="1" applyFill="1" applyBorder="1" applyAlignment="1">
      <alignment vertical="center" wrapText="1"/>
    </xf>
    <xf numFmtId="0" fontId="28" fillId="26" borderId="36" xfId="0" applyFont="1" applyFill="1" applyBorder="1" applyAlignment="1">
      <alignment horizontal="center" vertical="center"/>
    </xf>
    <xf numFmtId="0" fontId="0" fillId="26" borderId="40" xfId="0" applyFill="1" applyBorder="1" applyAlignment="1">
      <alignment vertical="center" wrapText="1"/>
    </xf>
    <xf numFmtId="0" fontId="4" fillId="26" borderId="36" xfId="0" applyFont="1" applyFill="1" applyBorder="1" applyAlignment="1">
      <alignment horizontal="center" vertical="center" wrapText="1"/>
    </xf>
    <xf numFmtId="0" fontId="4" fillId="26" borderId="36" xfId="0" applyFont="1" applyFill="1" applyBorder="1" applyAlignment="1">
      <alignment horizontal="center" vertical="center" wrapText="1"/>
    </xf>
    <xf numFmtId="0" fontId="29" fillId="26" borderId="36" xfId="0" applyFont="1" applyFill="1" applyBorder="1" applyAlignment="1">
      <alignment horizontal="center" vertical="center"/>
    </xf>
    <xf numFmtId="0" fontId="30" fillId="26" borderId="40" xfId="0" applyFont="1" applyFill="1" applyBorder="1" applyAlignment="1">
      <alignment vertical="center" wrapText="1"/>
    </xf>
    <xf numFmtId="0" fontId="28" fillId="27" borderId="36" xfId="0" applyFont="1" applyFill="1" applyBorder="1" applyAlignment="1">
      <alignment horizontal="center" vertical="center"/>
    </xf>
    <xf numFmtId="0" fontId="0" fillId="27" borderId="40" xfId="0" applyFill="1" applyBorder="1" applyAlignment="1">
      <alignment vertical="center" wrapText="1"/>
    </xf>
    <xf numFmtId="0" fontId="4" fillId="27" borderId="36" xfId="0" applyFont="1" applyFill="1" applyBorder="1" applyAlignment="1">
      <alignment horizontal="center" vertical="center" wrapText="1"/>
    </xf>
    <xf numFmtId="0" fontId="4" fillId="27" borderId="36" xfId="0" applyFont="1" applyFill="1" applyBorder="1" applyAlignment="1">
      <alignment horizontal="center" vertical="center" wrapText="1"/>
    </xf>
    <xf numFmtId="0" fontId="28" fillId="28" borderId="36" xfId="0" applyFont="1" applyFill="1" applyBorder="1" applyAlignment="1">
      <alignment horizontal="center" vertical="center"/>
    </xf>
    <xf numFmtId="0" fontId="0" fillId="28" borderId="40" xfId="0" applyFill="1" applyBorder="1" applyAlignment="1">
      <alignment vertical="center" wrapText="1"/>
    </xf>
    <xf numFmtId="0" fontId="4" fillId="28" borderId="36" xfId="0" applyFont="1" applyFill="1" applyBorder="1" applyAlignment="1">
      <alignment horizontal="center" vertical="center" wrapText="1"/>
    </xf>
    <xf numFmtId="0" fontId="4" fillId="28" borderId="36" xfId="0" applyFont="1" applyFill="1" applyBorder="1" applyAlignment="1">
      <alignment horizontal="center" vertical="center" wrapText="1"/>
    </xf>
    <xf numFmtId="0" fontId="4" fillId="0" borderId="0" xfId="0" applyFont="1"/>
    <xf numFmtId="171" fontId="0" fillId="0" borderId="0" xfId="0" applyNumberFormat="1"/>
    <xf numFmtId="2" fontId="31" fillId="0" borderId="0" xfId="0" applyNumberFormat="1" applyFont="1"/>
    <xf numFmtId="0" fontId="6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71" fontId="33" fillId="22" borderId="72" xfId="6" applyNumberFormat="1" applyFont="1"/>
    <xf numFmtId="0" fontId="34" fillId="3" borderId="71" xfId="5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0" fillId="7" borderId="0" xfId="0" applyFill="1"/>
    <xf numFmtId="2" fontId="26" fillId="22" borderId="72" xfId="6" applyNumberFormat="1" applyFont="1" applyAlignment="1">
      <alignment horizontal="center" vertical="center" wrapText="1"/>
    </xf>
    <xf numFmtId="0" fontId="34" fillId="3" borderId="71" xfId="5" applyFont="1" applyBorder="1" applyAlignment="1">
      <alignment horizontal="center"/>
    </xf>
    <xf numFmtId="165" fontId="0" fillId="0" borderId="0" xfId="3" applyNumberFormat="1" applyFont="1" applyAlignment="1">
      <alignment horizontal="center" vertical="center"/>
    </xf>
    <xf numFmtId="0" fontId="35" fillId="29" borderId="73" xfId="0" applyFont="1" applyFill="1" applyBorder="1" applyAlignment="1">
      <alignment horizontal="center" wrapText="1" readingOrder="1"/>
    </xf>
    <xf numFmtId="0" fontId="36" fillId="29" borderId="73" xfId="0" applyFont="1" applyFill="1" applyBorder="1" applyAlignment="1">
      <alignment horizontal="center" wrapText="1" readingOrder="1"/>
    </xf>
    <xf numFmtId="0" fontId="37" fillId="30" borderId="74" xfId="0" applyFont="1" applyFill="1" applyBorder="1" applyAlignment="1">
      <alignment wrapText="1" readingOrder="1"/>
    </xf>
    <xf numFmtId="0" fontId="37" fillId="30" borderId="75" xfId="0" applyFont="1" applyFill="1" applyBorder="1" applyAlignment="1">
      <alignment wrapText="1" readingOrder="1"/>
    </xf>
    <xf numFmtId="0" fontId="37" fillId="30" borderId="76" xfId="0" applyFont="1" applyFill="1" applyBorder="1" applyAlignment="1">
      <alignment wrapText="1" readingOrder="1"/>
    </xf>
    <xf numFmtId="0" fontId="38" fillId="30" borderId="73" xfId="0" applyFont="1" applyFill="1" applyBorder="1" applyAlignment="1">
      <alignment horizontal="center" wrapText="1" readingOrder="1"/>
    </xf>
    <xf numFmtId="2" fontId="39" fillId="30" borderId="73" xfId="0" applyNumberFormat="1" applyFont="1" applyFill="1" applyBorder="1" applyAlignment="1">
      <alignment horizontal="center" wrapText="1" readingOrder="1"/>
    </xf>
    <xf numFmtId="2" fontId="40" fillId="30" borderId="73" xfId="0" applyNumberFormat="1" applyFont="1" applyFill="1" applyBorder="1" applyAlignment="1">
      <alignment horizontal="center" wrapText="1" readingOrder="1"/>
    </xf>
    <xf numFmtId="165" fontId="40" fillId="30" borderId="73" xfId="3" applyNumberFormat="1" applyFont="1" applyFill="1" applyBorder="1" applyAlignment="1">
      <alignment horizontal="center" wrapText="1" readingOrder="1"/>
    </xf>
    <xf numFmtId="9" fontId="41" fillId="30" borderId="73" xfId="0" applyNumberFormat="1" applyFont="1" applyFill="1" applyBorder="1" applyAlignment="1">
      <alignment horizontal="center" wrapText="1" readingOrder="1"/>
    </xf>
    <xf numFmtId="0" fontId="37" fillId="30" borderId="74" xfId="0" applyFont="1" applyFill="1" applyBorder="1" applyAlignment="1">
      <alignment horizontal="left" vertical="center" wrapText="1" readingOrder="1"/>
    </xf>
    <xf numFmtId="0" fontId="37" fillId="30" borderId="75" xfId="0" applyFont="1" applyFill="1" applyBorder="1" applyAlignment="1">
      <alignment horizontal="left" vertical="center" wrapText="1" readingOrder="1"/>
    </xf>
    <xf numFmtId="0" fontId="37" fillId="30" borderId="76" xfId="0" applyFont="1" applyFill="1" applyBorder="1" applyAlignment="1">
      <alignment horizontal="left" vertical="center" wrapText="1" readingOrder="1"/>
    </xf>
    <xf numFmtId="0" fontId="28" fillId="0" borderId="0" xfId="0" applyFont="1" applyAlignment="1">
      <alignment vertical="center"/>
    </xf>
    <xf numFmtId="0" fontId="6" fillId="0" borderId="36" xfId="0" applyFont="1" applyBorder="1" applyAlignment="1">
      <alignment vertical="center" wrapText="1"/>
    </xf>
    <xf numFmtId="0" fontId="6" fillId="24" borderId="36" xfId="0" applyFont="1" applyFill="1" applyBorder="1" applyAlignment="1">
      <alignment horizontal="center" vertical="center"/>
    </xf>
    <xf numFmtId="0" fontId="6" fillId="24" borderId="36" xfId="0" applyFont="1" applyFill="1" applyBorder="1" applyAlignment="1">
      <alignment horizontal="left" vertical="center" wrapText="1"/>
    </xf>
    <xf numFmtId="20" fontId="4" fillId="0" borderId="36" xfId="0" quotePrefix="1" applyNumberFormat="1" applyFont="1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20" fontId="4" fillId="0" borderId="77" xfId="0" quotePrefix="1" applyNumberFormat="1" applyFont="1" applyBorder="1" applyAlignment="1">
      <alignment horizontal="center" vertical="center"/>
    </xf>
    <xf numFmtId="0" fontId="0" fillId="0" borderId="77" xfId="0" applyBorder="1" applyAlignment="1">
      <alignment horizontal="left" vertical="center" wrapText="1"/>
    </xf>
    <xf numFmtId="0" fontId="6" fillId="0" borderId="77" xfId="0" applyFont="1" applyBorder="1" applyAlignment="1">
      <alignment horizontal="center" vertical="center"/>
    </xf>
    <xf numFmtId="0" fontId="6" fillId="0" borderId="77" xfId="0" applyFont="1" applyBorder="1" applyAlignment="1">
      <alignment horizontal="left" vertical="center" wrapText="1"/>
    </xf>
    <xf numFmtId="0" fontId="4" fillId="0" borderId="36" xfId="0" quotePrefix="1" applyFont="1" applyBorder="1" applyAlignment="1">
      <alignment horizontal="center" vertical="center"/>
    </xf>
    <xf numFmtId="0" fontId="4" fillId="0" borderId="77" xfId="0" quotePrefix="1" applyFont="1" applyBorder="1" applyAlignment="1">
      <alignment horizontal="center" vertical="center"/>
    </xf>
    <xf numFmtId="2" fontId="33" fillId="22" borderId="72" xfId="6" applyNumberFormat="1" applyFont="1"/>
    <xf numFmtId="0" fontId="32" fillId="0" borderId="0" xfId="0" applyFont="1" applyAlignment="1">
      <alignment horizontal="center" vertical="center"/>
    </xf>
    <xf numFmtId="0" fontId="42" fillId="21" borderId="48" xfId="0" applyFont="1" applyFill="1" applyBorder="1" applyAlignment="1">
      <alignment horizontal="center" vertical="center" wrapText="1"/>
    </xf>
    <xf numFmtId="0" fontId="42" fillId="21" borderId="78" xfId="0" applyFont="1" applyFill="1" applyBorder="1" applyAlignment="1">
      <alignment horizontal="center" vertical="center" wrapText="1"/>
    </xf>
    <xf numFmtId="0" fontId="42" fillId="21" borderId="7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21" borderId="48" xfId="0" applyFont="1" applyFill="1" applyBorder="1" applyAlignment="1">
      <alignment horizontal="center" vertical="center"/>
    </xf>
    <xf numFmtId="0" fontId="6" fillId="21" borderId="48" xfId="0" applyFont="1" applyFill="1" applyBorder="1" applyAlignment="1">
      <alignment horizontal="center" vertical="center" wrapText="1"/>
    </xf>
    <xf numFmtId="0" fontId="6" fillId="21" borderId="4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2" fillId="31" borderId="47" xfId="0" applyFont="1" applyFill="1" applyBorder="1" applyAlignment="1">
      <alignment horizontal="center" vertical="center"/>
    </xf>
    <xf numFmtId="0" fontId="0" fillId="31" borderId="48" xfId="0" applyFill="1" applyBorder="1" applyAlignment="1">
      <alignment vertical="center" wrapText="1"/>
    </xf>
    <xf numFmtId="0" fontId="0" fillId="0" borderId="48" xfId="0" applyBorder="1" applyAlignment="1">
      <alignment horizontal="center" vertical="center" wrapText="1"/>
    </xf>
    <xf numFmtId="44" fontId="0" fillId="8" borderId="47" xfId="2" applyFont="1" applyFill="1" applyBorder="1" applyAlignment="1">
      <alignment vertical="center" wrapText="1"/>
    </xf>
    <xf numFmtId="1" fontId="30" fillId="0" borderId="8" xfId="0" applyNumberFormat="1" applyFont="1" applyBorder="1" applyAlignment="1">
      <alignment horizontal="center" vertical="center" wrapText="1"/>
    </xf>
    <xf numFmtId="0" fontId="0" fillId="31" borderId="34" xfId="0" applyFill="1" applyBorder="1" applyAlignment="1">
      <alignment horizontal="center" vertical="center" wrapText="1"/>
    </xf>
    <xf numFmtId="0" fontId="0" fillId="31" borderId="42" xfId="0" applyFill="1" applyBorder="1" applyAlignment="1">
      <alignment horizontal="center" vertical="center" wrapText="1"/>
    </xf>
    <xf numFmtId="0" fontId="0" fillId="23" borderId="48" xfId="0" applyFill="1" applyBorder="1" applyAlignment="1">
      <alignment vertical="center" wrapText="1"/>
    </xf>
    <xf numFmtId="0" fontId="0" fillId="31" borderId="52" xfId="0" applyFill="1" applyBorder="1" applyAlignment="1">
      <alignment horizontal="center" vertical="center" wrapText="1"/>
    </xf>
    <xf numFmtId="37" fontId="0" fillId="23" borderId="47" xfId="0" applyNumberFormat="1" applyFill="1" applyBorder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 wrapText="1"/>
    </xf>
    <xf numFmtId="0" fontId="32" fillId="0" borderId="47" xfId="0" applyFont="1" applyBorder="1" applyAlignment="1">
      <alignment horizontal="center" vertical="center"/>
    </xf>
    <xf numFmtId="0" fontId="0" fillId="31" borderId="48" xfId="0" applyFill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43" fontId="0" fillId="0" borderId="0" xfId="1" applyFont="1" applyFill="1" applyBorder="1" applyAlignment="1">
      <alignment horizontal="center" vertical="center" wrapText="1"/>
    </xf>
    <xf numFmtId="0" fontId="6" fillId="0" borderId="47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wrapText="1"/>
    </xf>
    <xf numFmtId="173" fontId="0" fillId="0" borderId="0" xfId="0" applyNumberFormat="1" applyAlignment="1">
      <alignment horizontal="left" vertical="center"/>
    </xf>
    <xf numFmtId="0" fontId="6" fillId="24" borderId="47" xfId="0" applyFont="1" applyFill="1" applyBorder="1" applyAlignment="1">
      <alignment horizontal="center" vertical="center"/>
    </xf>
    <xf numFmtId="0" fontId="6" fillId="24" borderId="47" xfId="0" applyFont="1" applyFill="1" applyBorder="1" applyAlignment="1">
      <alignment horizontal="left" vertical="center" wrapText="1"/>
    </xf>
    <xf numFmtId="20" fontId="0" fillId="0" borderId="47" xfId="0" quotePrefix="1" applyNumberFormat="1" applyBorder="1" applyAlignment="1">
      <alignment horizontal="center" vertical="center"/>
    </xf>
    <xf numFmtId="0" fontId="0" fillId="0" borderId="47" xfId="0" applyBorder="1" applyAlignment="1">
      <alignment horizontal="left" vertical="center" wrapText="1"/>
    </xf>
    <xf numFmtId="20" fontId="0" fillId="0" borderId="77" xfId="0" quotePrefix="1" applyNumberForma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0" fillId="0" borderId="47" xfId="0" quotePrefix="1" applyBorder="1" applyAlignment="1">
      <alignment horizontal="center" vertical="center"/>
    </xf>
    <xf numFmtId="0" fontId="0" fillId="0" borderId="77" xfId="0" quotePrefix="1" applyBorder="1" applyAlignment="1">
      <alignment horizontal="center" vertical="center"/>
    </xf>
  </cellXfs>
  <cellStyles count="7">
    <cellStyle name="Calculation" xfId="5" builtinId="22"/>
    <cellStyle name="Comma" xfId="1" builtinId="3"/>
    <cellStyle name="Currency" xfId="2" builtinId="4"/>
    <cellStyle name="Input" xfId="4" builtinId="20"/>
    <cellStyle name="Normal" xfId="0" builtinId="0"/>
    <cellStyle name="Note 2" xfId="6" xr:uid="{5D08D436-27B3-4299-82DA-F7A334A40887}"/>
    <cellStyle name="Percent" xfId="3" builtinId="5"/>
  </cellStyles>
  <dxfs count="7">
    <dxf>
      <font>
        <color rgb="FF9C0006"/>
      </font>
      <fill>
        <patternFill>
          <bgColor rgb="FFFFC7CE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2038350</xdr:colOff>
      <xdr:row>89</xdr:row>
      <xdr:rowOff>172570</xdr:rowOff>
    </xdr:from>
    <xdr:to>
      <xdr:col>5</xdr:col>
      <xdr:colOff>578649</xdr:colOff>
      <xdr:row>96</xdr:row>
      <xdr:rowOff>134641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7EE6ED-55AD-4CC4-8890-686658568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7900" y="17387420"/>
          <a:ext cx="5734849" cy="1251121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47</xdr:row>
      <xdr:rowOff>0</xdr:rowOff>
    </xdr:from>
    <xdr:to>
      <xdr:col>9</xdr:col>
      <xdr:colOff>365285</xdr:colOff>
      <xdr:row>63</xdr:row>
      <xdr:rowOff>71873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47246B-6170-4EA4-B761-8BA1AB84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7575" y="9315450"/>
          <a:ext cx="7137560" cy="3018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2667000</xdr:colOff>
      <xdr:row>88</xdr:row>
      <xdr:rowOff>134470</xdr:rowOff>
    </xdr:from>
    <xdr:to>
      <xdr:col>8</xdr:col>
      <xdr:colOff>280946</xdr:colOff>
      <xdr:row>96</xdr:row>
      <xdr:rowOff>134641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AAF6D0F-C107-4BA1-B149-12D436C3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6550" y="20181420"/>
          <a:ext cx="8332746" cy="147337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26</xdr:col>
      <xdr:colOff>88335</xdr:colOff>
      <xdr:row>49</xdr:row>
      <xdr:rowOff>73400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BC870B-B5A7-47EC-8BB0-A8577993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37150" y="6915150"/>
          <a:ext cx="10661085" cy="5597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BusinessIdea\AItools\AFE.xlsm" TargetMode="External"/><Relationship Id="rId1" Type="http://schemas.openxmlformats.org/officeDocument/2006/relationships/externalLinkPath" Target="/BusinessIdea/AItools/AF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 Check"/>
      <sheetName val="Sheet1"/>
      <sheetName val="File Notes"/>
      <sheetName val="Links between Tabs"/>
      <sheetName val="Services Master list - for Ref"/>
      <sheetName val="Master Input Sheet"/>
      <sheetName val="Pricing Schedule"/>
      <sheetName val="Well Times Per Section"/>
      <sheetName val="MISHRIF SUBMISSION"/>
      <sheetName val="NAHR UMR SUBMISSION"/>
      <sheetName val="ZUBAIR SUBMISSION"/>
      <sheetName val="FINAL PRICING"/>
      <sheetName val="AFE Summary"/>
      <sheetName val="PBI single well cost"/>
      <sheetName val="PBI Master Input"/>
      <sheetName val="Markup table summary"/>
      <sheetName val="Check Totals"/>
      <sheetName val="Annex"/>
      <sheetName val="Seg Input"/>
      <sheetName val="Client Single Well COST"/>
      <sheetName val="SLB Total COST AFE"/>
      <sheetName val="Single Item AFE check"/>
      <sheetName val="Client Total AFE"/>
      <sheetName val="MobDemobMove"/>
      <sheetName val="BL-IWC-PMG"/>
      <sheetName val="BL-WCD-BDT"/>
      <sheetName val="BL-WCM-DM"/>
      <sheetName val="BL-WCF-MI"/>
      <sheetName val="BL-WCF-CEM"/>
      <sheetName val="BL-WPS-CPL"/>
      <sheetName val="BL-RPE-WL"/>
      <sheetName val="BL-SPS-CAM"/>
      <sheetName val="BL-RPE-TS"/>
      <sheetName val="BL-WCE-RIG_na"/>
      <sheetName val="Seg-SLK_na"/>
      <sheetName val="Seg-PTS_na"/>
      <sheetName val="BL-DI-DSS"/>
      <sheetName val="Seg-IT"/>
      <sheetName val="PTP-Rig"/>
      <sheetName val="PTP-Casing"/>
      <sheetName val="PTP-CemWL"/>
      <sheetName val="PTP-CsgHwd"/>
      <sheetName val="PTP-CasingServices"/>
      <sheetName val="PTP-Survey"/>
      <sheetName val="PTP-Security"/>
      <sheetName val="PTP-FixCostWell"/>
      <sheetName val="PTP-Trucking"/>
      <sheetName val="PTP-Bidding"/>
      <sheetName val="PTP-DHT"/>
      <sheetName val="PTP-CivilWorks"/>
      <sheetName val="PTP-Other"/>
      <sheetName val="PTP-Training"/>
      <sheetName val="PPP"/>
      <sheetName val="Spread_Rate"/>
    </sheetNames>
    <sheetDataSet>
      <sheetData sheetId="0"/>
      <sheetData sheetId="1"/>
      <sheetData sheetId="2"/>
      <sheetData sheetId="3"/>
      <sheetData sheetId="4">
        <row r="4">
          <cell r="B4" t="str">
            <v>Project Management</v>
          </cell>
          <cell r="C4" t="str">
            <v>BL-IWC-PMG</v>
          </cell>
        </row>
        <row r="5">
          <cell r="B5" t="str">
            <v>SLR Rig Demob</v>
          </cell>
          <cell r="C5" t="str">
            <v>BL-WCE-RIG</v>
          </cell>
        </row>
        <row r="6">
          <cell r="B6" t="str">
            <v xml:space="preserve">SLR Rig Mob </v>
          </cell>
          <cell r="C6" t="str">
            <v>BL-WCE-RIG</v>
          </cell>
        </row>
        <row r="7">
          <cell r="B7" t="str">
            <v>SLR Rig Move</v>
          </cell>
          <cell r="C7" t="str">
            <v>BL-WCE-RIG</v>
          </cell>
        </row>
        <row r="8">
          <cell r="B8" t="str">
            <v>SLR Rig Camp</v>
          </cell>
          <cell r="C8" t="str">
            <v>BL-WCE-RIG</v>
          </cell>
        </row>
        <row r="9">
          <cell r="B9" t="str">
            <v>SLR Support</v>
          </cell>
          <cell r="C9" t="str">
            <v>BL-WCE-RIG</v>
          </cell>
        </row>
        <row r="10">
          <cell r="B10" t="str">
            <v>SLR Civil Works</v>
          </cell>
          <cell r="C10" t="str">
            <v>BL-WCE-RIG</v>
          </cell>
        </row>
        <row r="11">
          <cell r="B11" t="str">
            <v>500 HP WO Rig</v>
          </cell>
          <cell r="C11" t="str">
            <v>BL-WCE-RIG</v>
          </cell>
        </row>
        <row r="12">
          <cell r="B12" t="str">
            <v>750 HP WO Rig</v>
          </cell>
          <cell r="C12" t="str">
            <v>BL-WCE-RIG</v>
          </cell>
        </row>
        <row r="13">
          <cell r="B13" t="str">
            <v>1000 HP WO Rig</v>
          </cell>
          <cell r="C13" t="str">
            <v>BL-WCE-RIG</v>
          </cell>
        </row>
        <row r="14">
          <cell r="B14" t="str">
            <v>1000 HP Drilling Rig</v>
          </cell>
          <cell r="C14" t="str">
            <v>BL-WCE-RIG</v>
          </cell>
        </row>
        <row r="15">
          <cell r="B15" t="str">
            <v>1500 HP Drilling Rig</v>
          </cell>
          <cell r="C15" t="str">
            <v>BL-WCE-RIG</v>
          </cell>
        </row>
        <row r="16">
          <cell r="B16" t="str">
            <v>2000 HP Drilling Rig</v>
          </cell>
          <cell r="C16" t="str">
            <v>BL-WCE-RIG</v>
          </cell>
        </row>
        <row r="17">
          <cell r="B17" t="str">
            <v>2500 HP Drilling Rig</v>
          </cell>
          <cell r="C17" t="str">
            <v>BL-WCE-RIG</v>
          </cell>
        </row>
        <row r="18">
          <cell r="B18" t="str">
            <v>3000 HP Drilling Rig</v>
          </cell>
          <cell r="C18" t="str">
            <v>BL-WCE-RIG</v>
          </cell>
        </row>
        <row r="19">
          <cell r="B19" t="str">
            <v>Bits &amp; Drilling Tools</v>
          </cell>
          <cell r="C19" t="str">
            <v>BL-WCD-BDT</v>
          </cell>
        </row>
        <row r="20">
          <cell r="B20" t="str">
            <v>Drilling tools</v>
          </cell>
          <cell r="C20" t="str">
            <v>BL-WCD-BDT</v>
          </cell>
        </row>
        <row r="21">
          <cell r="B21" t="str">
            <v>Fishing Products</v>
          </cell>
          <cell r="C21" t="str">
            <v>BL-WCD-BDT</v>
          </cell>
        </row>
        <row r="22">
          <cell r="B22" t="str">
            <v>Fishing Services/Rental</v>
          </cell>
          <cell r="C22" t="str">
            <v>BL-WCD-BDT</v>
          </cell>
        </row>
        <row r="23">
          <cell r="B23" t="str">
            <v>D&amp;M Services</v>
          </cell>
          <cell r="C23" t="str">
            <v>BL-WCM-DM</v>
          </cell>
        </row>
        <row r="24">
          <cell r="B24" t="str">
            <v>Performance Drilling Motors / RSS</v>
          </cell>
          <cell r="C24" t="str">
            <v>BL-WCM-DM</v>
          </cell>
        </row>
        <row r="25">
          <cell r="B25" t="str">
            <v>MWD Services</v>
          </cell>
          <cell r="C25" t="str">
            <v>BL-WCM-DM</v>
          </cell>
        </row>
        <row r="26">
          <cell r="B26" t="str">
            <v>Mud Logging GSS</v>
          </cell>
          <cell r="C26" t="str">
            <v>BL-WCM-DM</v>
          </cell>
        </row>
        <row r="27">
          <cell r="B27" t="str">
            <v>Mud Logging Services</v>
          </cell>
          <cell r="C27" t="str">
            <v>BL-WCM-GSS</v>
          </cell>
        </row>
        <row r="28">
          <cell r="B28" t="str">
            <v>M-I Equipment (Centrifuge)</v>
          </cell>
          <cell r="C28" t="str">
            <v>BL-WCF-MI</v>
          </cell>
        </row>
        <row r="29">
          <cell r="B29" t="str">
            <v>M-I Filtration</v>
          </cell>
          <cell r="C29" t="str">
            <v>BL-WCF-MI</v>
          </cell>
        </row>
        <row r="30">
          <cell r="B30" t="str">
            <v>Drilling Fluid Services</v>
          </cell>
          <cell r="C30" t="str">
            <v>BL-WCF-MI</v>
          </cell>
        </row>
        <row r="31">
          <cell r="B31" t="str">
            <v>M-I Fluids-Contingency</v>
          </cell>
          <cell r="C31" t="str">
            <v>BL-WCF-MI</v>
          </cell>
        </row>
        <row r="32">
          <cell r="B32" t="str">
            <v>Drilling Fluid Products &amp; Services</v>
          </cell>
          <cell r="C32" t="str">
            <v>BL-WCF-MI</v>
          </cell>
        </row>
        <row r="33">
          <cell r="B33" t="str">
            <v>M-I Shaker Screens</v>
          </cell>
          <cell r="C33" t="str">
            <v>BL-WCF-MI</v>
          </cell>
        </row>
        <row r="34">
          <cell r="B34" t="str">
            <v>MI-Waste Management</v>
          </cell>
          <cell r="C34" t="str">
            <v>BL-WCF-MI</v>
          </cell>
        </row>
        <row r="35">
          <cell r="B35" t="str">
            <v>M-I Fluids Safety Margin</v>
          </cell>
          <cell r="C35" t="str">
            <v>BL-WCF-MI</v>
          </cell>
        </row>
        <row r="36">
          <cell r="B36" t="str">
            <v>MI-Wellbore Cleaning Tools</v>
          </cell>
          <cell r="C36" t="str">
            <v>BL-WCF-MI</v>
          </cell>
        </row>
        <row r="37">
          <cell r="B37" t="str">
            <v>Cementing Products</v>
          </cell>
          <cell r="C37" t="str">
            <v>BL-WCF-CEM</v>
          </cell>
        </row>
        <row r="38">
          <cell r="B38" t="str">
            <v>Cementing Services</v>
          </cell>
          <cell r="C38" t="str">
            <v>BL-WCF-CEM</v>
          </cell>
        </row>
        <row r="39">
          <cell r="B39" t="str">
            <v>Coiled Tubing Services</v>
          </cell>
          <cell r="C39" t="str">
            <v>BL-RPE-CT</v>
          </cell>
        </row>
        <row r="40">
          <cell r="B40" t="str">
            <v>Cementting equipment and crew: flat monthly charge</v>
          </cell>
          <cell r="C40" t="str">
            <v>BL-RPE-CT</v>
          </cell>
        </row>
        <row r="41">
          <cell r="B41" t="str">
            <v>Hydraulic Fracturing</v>
          </cell>
          <cell r="C41" t="str">
            <v>BL-RP-STIM</v>
          </cell>
        </row>
        <row r="42">
          <cell r="B42" t="str">
            <v>Acidizing</v>
          </cell>
          <cell r="C42" t="str">
            <v>BL-RP-STIM</v>
          </cell>
        </row>
        <row r="43">
          <cell r="B43" t="str">
            <v>Sand Control Job</v>
          </cell>
          <cell r="C43" t="str">
            <v>BL-RP-STIM</v>
          </cell>
        </row>
        <row r="44">
          <cell r="B44" t="str">
            <v>Liner Hanger Products</v>
          </cell>
          <cell r="C44" t="str">
            <v>BL-WPS-CPL</v>
          </cell>
        </row>
        <row r="45">
          <cell r="B45" t="str">
            <v>Liner Hanger Services</v>
          </cell>
          <cell r="C45" t="str">
            <v>BL-WPS-CPL</v>
          </cell>
        </row>
        <row r="46">
          <cell r="B46" t="str">
            <v>Completions Products</v>
          </cell>
          <cell r="C46" t="str">
            <v>BL-WPS-CPL</v>
          </cell>
        </row>
        <row r="47">
          <cell r="B47" t="str">
            <v>Completions Services</v>
          </cell>
          <cell r="C47" t="str">
            <v>BL-WPS-CPL</v>
          </cell>
        </row>
        <row r="48">
          <cell r="B48" t="str">
            <v>Stimulation Tools - Products</v>
          </cell>
          <cell r="C48" t="str">
            <v>BL-WPS-CPL</v>
          </cell>
        </row>
        <row r="49">
          <cell r="B49" t="str">
            <v>Stimulation Tools - Services</v>
          </cell>
          <cell r="C49" t="str">
            <v>BL-WPS-CPL</v>
          </cell>
        </row>
        <row r="50">
          <cell r="B50" t="str">
            <v>Sand Control Tools - Products</v>
          </cell>
          <cell r="C50" t="str">
            <v>BL-WPS-CPL</v>
          </cell>
        </row>
        <row r="51">
          <cell r="B51" t="str">
            <v>Sand Control Tools - Services</v>
          </cell>
          <cell r="C51" t="str">
            <v>BL-WPS-CPL</v>
          </cell>
        </row>
        <row r="52">
          <cell r="B52" t="str">
            <v>Slickline Services</v>
          </cell>
          <cell r="C52" t="str">
            <v>BL-RPE-WL</v>
          </cell>
        </row>
        <row r="53">
          <cell r="B53" t="str">
            <v>Slickline Products</v>
          </cell>
          <cell r="C53" t="str">
            <v>BL-RPE-WL</v>
          </cell>
        </row>
        <row r="54">
          <cell r="B54" t="str">
            <v>Wireline Services</v>
          </cell>
          <cell r="C54" t="str">
            <v>BL-RPE-WL</v>
          </cell>
        </row>
        <row r="55">
          <cell r="B55" t="str">
            <v>Wireline Products</v>
          </cell>
          <cell r="C55" t="str">
            <v>BL-RPE-WL</v>
          </cell>
        </row>
        <row r="56">
          <cell r="B56" t="str">
            <v>Surface Well Testing Mob/Demob</v>
          </cell>
          <cell r="C56" t="str">
            <v>BL-RPE-TS</v>
          </cell>
        </row>
        <row r="57">
          <cell r="B57" t="str">
            <v>Surface Well Testing</v>
          </cell>
          <cell r="C57" t="str">
            <v>BL-RPE-TS</v>
          </cell>
        </row>
        <row r="58">
          <cell r="B58" t="str">
            <v>TCP with Downhole tools</v>
          </cell>
          <cell r="C58" t="str">
            <v>BL-RPE-TS</v>
          </cell>
        </row>
        <row r="59">
          <cell r="B59" t="str">
            <v>DST Tools</v>
          </cell>
          <cell r="C59" t="str">
            <v>BL-RPE-TS</v>
          </cell>
        </row>
        <row r="60">
          <cell r="B60" t="str">
            <v>Wellhead</v>
          </cell>
          <cell r="C60" t="str">
            <v>BL-SPS-CAM</v>
          </cell>
        </row>
        <row r="61">
          <cell r="B61" t="str">
            <v>Wellhead Installation</v>
          </cell>
          <cell r="C61" t="str">
            <v>BL-SPS-CAM</v>
          </cell>
        </row>
        <row r="62">
          <cell r="B62" t="str">
            <v>ESP System</v>
          </cell>
          <cell r="C62" t="str">
            <v>BL-SPS-ALS</v>
          </cell>
        </row>
        <row r="63">
          <cell r="B63" t="str">
            <v>GL System</v>
          </cell>
          <cell r="C63" t="str">
            <v>BL-SPS-ALS</v>
          </cell>
        </row>
        <row r="64">
          <cell r="B64" t="str">
            <v>AL Surface work</v>
          </cell>
          <cell r="C64" t="str">
            <v>BL-SPS-ALS</v>
          </cell>
        </row>
        <row r="65">
          <cell r="B65" t="str">
            <v>PTS Support</v>
          </cell>
          <cell r="C65" t="str">
            <v>BL-DI-DSS</v>
          </cell>
        </row>
        <row r="66">
          <cell r="B66" t="str">
            <v>SIS Support</v>
          </cell>
          <cell r="C66" t="str">
            <v>BL-DI-DSS</v>
          </cell>
        </row>
        <row r="67">
          <cell r="B67" t="str">
            <v>Real Time Data Services</v>
          </cell>
          <cell r="C67" t="str">
            <v>BL-DI-DSS</v>
          </cell>
        </row>
        <row r="68">
          <cell r="B68" t="str">
            <v>Communications IT_</v>
          </cell>
          <cell r="C68" t="str">
            <v>BL-DI-DSS</v>
          </cell>
        </row>
        <row r="69">
          <cell r="B69" t="str">
            <v xml:space="preserve">Liner Hanger system </v>
          </cell>
          <cell r="C69" t="str">
            <v>BL-WPS-CPL</v>
          </cell>
        </row>
        <row r="70">
          <cell r="B70" t="str">
            <v>Empty/Available Segments</v>
          </cell>
          <cell r="C70" t="str">
            <v>Seg-None</v>
          </cell>
        </row>
        <row r="71">
          <cell r="B71" t="str">
            <v>Empty/Available Segments</v>
          </cell>
          <cell r="C71" t="str">
            <v>Seg-None</v>
          </cell>
        </row>
        <row r="72">
          <cell r="B72" t="str">
            <v>Empty/Available Segments</v>
          </cell>
          <cell r="C72" t="str">
            <v>Seg-None</v>
          </cell>
        </row>
        <row r="73">
          <cell r="B73" t="str">
            <v>Empty/Available Segments</v>
          </cell>
          <cell r="C73" t="str">
            <v>Seg-IT</v>
          </cell>
        </row>
        <row r="74">
          <cell r="B74" t="str">
            <v>Mobilization</v>
          </cell>
          <cell r="C74" t="str">
            <v>PTP-Mob</v>
          </cell>
        </row>
        <row r="75">
          <cell r="B75" t="str">
            <v>Catering</v>
          </cell>
          <cell r="C75" t="str">
            <v>PTP-Rig</v>
          </cell>
        </row>
        <row r="76">
          <cell r="B76" t="str">
            <v>Fuel</v>
          </cell>
          <cell r="C76" t="str">
            <v>PTP-Rig</v>
          </cell>
        </row>
        <row r="77">
          <cell r="B77" t="str">
            <v xml:space="preserve">H2S Service </v>
          </cell>
          <cell r="C77" t="str">
            <v>PTP-Rig</v>
          </cell>
        </row>
        <row r="78">
          <cell r="B78" t="str">
            <v>Medical Services</v>
          </cell>
          <cell r="C78" t="str">
            <v>PTP-Rig</v>
          </cell>
        </row>
        <row r="79">
          <cell r="B79" t="str">
            <v>4" DP Procurement</v>
          </cell>
          <cell r="C79" t="str">
            <v>PTP-Rig</v>
          </cell>
        </row>
        <row r="80">
          <cell r="B80" t="str">
            <v>Rig Mob</v>
          </cell>
          <cell r="C80" t="str">
            <v>PTP-Rig</v>
          </cell>
        </row>
        <row r="81">
          <cell r="B81" t="str">
            <v>Rig Inspection</v>
          </cell>
          <cell r="C81" t="str">
            <v>PTP-Rig</v>
          </cell>
        </row>
        <row r="82">
          <cell r="B82" t="str">
            <v>Rig Move</v>
          </cell>
          <cell r="C82" t="str">
            <v>PTP-Rig</v>
          </cell>
        </row>
        <row r="83">
          <cell r="B83" t="str">
            <v>Rig Camp</v>
          </cell>
          <cell r="C83" t="str">
            <v>PTP-Rig</v>
          </cell>
        </row>
        <row r="84">
          <cell r="B84" t="str">
            <v>Rig Demob</v>
          </cell>
          <cell r="C84" t="str">
            <v>PTP-Rig</v>
          </cell>
        </row>
        <row r="85">
          <cell r="B85" t="str">
            <v>Rig-1000_</v>
          </cell>
          <cell r="C85" t="str">
            <v>PTP-Rig</v>
          </cell>
        </row>
        <row r="86">
          <cell r="B86" t="str">
            <v>Rig-1500</v>
          </cell>
          <cell r="C86" t="str">
            <v>PTP-Rig</v>
          </cell>
        </row>
        <row r="87">
          <cell r="B87" t="str">
            <v>Rig-2000</v>
          </cell>
          <cell r="C87" t="str">
            <v>PTP-Rig</v>
          </cell>
        </row>
        <row r="88">
          <cell r="B88" t="str">
            <v>Rigless</v>
          </cell>
          <cell r="C88" t="str">
            <v>PTP-Other</v>
          </cell>
        </row>
        <row r="89">
          <cell r="B89" t="str">
            <v>Tubular Grease</v>
          </cell>
          <cell r="C89" t="str">
            <v>PTP-Other</v>
          </cell>
        </row>
        <row r="90">
          <cell r="B90" t="str">
            <v>Tubular Inspection</v>
          </cell>
          <cell r="C90" t="str">
            <v>PTP-Casing</v>
          </cell>
        </row>
        <row r="91">
          <cell r="B91" t="str">
            <v>Waste Disposal</v>
          </cell>
          <cell r="C91" t="str">
            <v>PTP-Other</v>
          </cell>
        </row>
        <row r="92">
          <cell r="B92" t="str">
            <v>Water</v>
          </cell>
          <cell r="C92" t="str">
            <v>PTP-Rig</v>
          </cell>
        </row>
        <row r="93">
          <cell r="B93" t="str">
            <v>Conductor Setting</v>
          </cell>
          <cell r="C93" t="str">
            <v>PTP-Other</v>
          </cell>
        </row>
        <row r="94">
          <cell r="B94" t="str">
            <v>Casing</v>
          </cell>
          <cell r="C94" t="str">
            <v>PTP-Casing</v>
          </cell>
        </row>
        <row r="95">
          <cell r="B95" t="str">
            <v>Tubing</v>
          </cell>
          <cell r="C95" t="str">
            <v>PTP-Casing</v>
          </cell>
        </row>
        <row r="96">
          <cell r="B96" t="str">
            <v>Casing Services</v>
          </cell>
          <cell r="C96" t="str">
            <v>PTP-CasingServices</v>
          </cell>
        </row>
        <row r="97">
          <cell r="B97" t="str">
            <v>Tubular Running</v>
          </cell>
          <cell r="C97" t="str">
            <v>PTP-CasingServices</v>
          </cell>
        </row>
        <row r="98">
          <cell r="B98" t="str">
            <v>Csg Hwd</v>
          </cell>
          <cell r="C98" t="str">
            <v>PTP-CsgHwd</v>
          </cell>
        </row>
        <row r="99">
          <cell r="B99" t="str">
            <v>Canters</v>
          </cell>
          <cell r="C99" t="str">
            <v>PTP-CivilWorks</v>
          </cell>
        </row>
        <row r="100">
          <cell r="B100" t="str">
            <v>Civil Works</v>
          </cell>
          <cell r="C100" t="str">
            <v>PTP-CivilWorks</v>
          </cell>
        </row>
        <row r="101">
          <cell r="B101" t="str">
            <v>Environmental Studies</v>
          </cell>
          <cell r="C101" t="str">
            <v>PTP-CivilWorks</v>
          </cell>
        </row>
        <row r="102">
          <cell r="B102" t="str">
            <v>Miscelaneous Civil Work</v>
          </cell>
          <cell r="C102" t="str">
            <v>PTP-CivilWorks</v>
          </cell>
        </row>
        <row r="103">
          <cell r="B103" t="str">
            <v>Communication</v>
          </cell>
          <cell r="C103" t="str">
            <v>PTP-Other</v>
          </cell>
        </row>
        <row r="104">
          <cell r="B104" t="str">
            <v>Drilling Directional</v>
          </cell>
          <cell r="C104" t="str">
            <v>PTP-DHT</v>
          </cell>
        </row>
        <row r="105">
          <cell r="B105" t="str">
            <v>Coring</v>
          </cell>
          <cell r="C105" t="str">
            <v>PTP-Coring</v>
          </cell>
        </row>
        <row r="106">
          <cell r="B106" t="str">
            <v>DownholeTools</v>
          </cell>
          <cell r="C106" t="str">
            <v>PTP-DHT</v>
          </cell>
        </row>
        <row r="107">
          <cell r="B107" t="str">
            <v>Fishing Tools TP</v>
          </cell>
          <cell r="C107" t="str">
            <v>PTP-Other</v>
          </cell>
        </row>
        <row r="108">
          <cell r="B108" t="str">
            <v>Tubing Rental</v>
          </cell>
          <cell r="C108" t="str">
            <v>PTP-DHT</v>
          </cell>
        </row>
        <row r="109">
          <cell r="B109" t="str">
            <v>Wellbore Cleaning Tools</v>
          </cell>
          <cell r="C109" t="str">
            <v>PTP-DHT</v>
          </cell>
        </row>
        <row r="110">
          <cell r="B110" t="str">
            <v>Directional Survey</v>
          </cell>
          <cell r="C110" t="str">
            <v>PTP-Survey</v>
          </cell>
        </row>
        <row r="111">
          <cell r="B111" t="str">
            <v>Plugs &amp; Packers</v>
          </cell>
          <cell r="C111" t="str">
            <v>PTP-Packers</v>
          </cell>
        </row>
        <row r="112">
          <cell r="B112" t="str">
            <v>Solids Control</v>
          </cell>
          <cell r="C112" t="str">
            <v>PTP-SolidsControl</v>
          </cell>
        </row>
        <row r="113">
          <cell r="B113" t="str">
            <v>Wellhead TP</v>
          </cell>
          <cell r="C113" t="str">
            <v>PTP-Wellhead</v>
          </cell>
        </row>
        <row r="114">
          <cell r="B114" t="str">
            <v>Wellhead Services TP</v>
          </cell>
          <cell r="C114" t="str">
            <v>PTP-Wellhead</v>
          </cell>
        </row>
        <row r="115">
          <cell r="B115" t="str">
            <v>Fix Costs per Day</v>
          </cell>
          <cell r="C115" t="str">
            <v>PTP-FixCostDay</v>
          </cell>
        </row>
        <row r="116">
          <cell r="B116" t="str">
            <v>Fix Costs per well</v>
          </cell>
          <cell r="C116" t="str">
            <v>PTP-FixCostWell</v>
          </cell>
        </row>
        <row r="117">
          <cell r="B117" t="str">
            <v>Water Well</v>
          </cell>
          <cell r="C117" t="str">
            <v>PTP-FixCostWell</v>
          </cell>
        </row>
        <row r="118">
          <cell r="B118" t="str">
            <v>Control Panel &amp; Services</v>
          </cell>
          <cell r="C118" t="str">
            <v>PTP-Facilities</v>
          </cell>
        </row>
        <row r="119">
          <cell r="B119" t="str">
            <v>Crane</v>
          </cell>
          <cell r="C119" t="str">
            <v>PTP-Trucking</v>
          </cell>
        </row>
        <row r="120">
          <cell r="B120" t="str">
            <v>Diesel Trucking</v>
          </cell>
          <cell r="C120" t="str">
            <v>PTP-Trucking</v>
          </cell>
        </row>
        <row r="121">
          <cell r="B121" t="str">
            <v>Forklift</v>
          </cell>
          <cell r="C121" t="str">
            <v>PTP-Trucking</v>
          </cell>
        </row>
        <row r="122">
          <cell r="B122" t="str">
            <v>Fuel Trucking</v>
          </cell>
          <cell r="C122" t="str">
            <v>PTP-Trucking</v>
          </cell>
        </row>
        <row r="123">
          <cell r="B123" t="str">
            <v xml:space="preserve">Tangibles Trucking </v>
          </cell>
          <cell r="C123" t="str">
            <v>PTP-Trucking</v>
          </cell>
        </row>
        <row r="124">
          <cell r="B124" t="str">
            <v>Trash &amp; Vacuum Truck</v>
          </cell>
          <cell r="C124" t="str">
            <v>PTP-Trucking</v>
          </cell>
        </row>
        <row r="125">
          <cell r="B125" t="str">
            <v>Trucks</v>
          </cell>
          <cell r="C125" t="str">
            <v>PTP-Trucking</v>
          </cell>
        </row>
        <row r="126">
          <cell r="B126" t="str">
            <v>Trucks to Move Casing &amp; Wellhead</v>
          </cell>
          <cell r="C126" t="str">
            <v>PTP-Trucking</v>
          </cell>
        </row>
        <row r="127">
          <cell r="B127" t="str">
            <v>Water Truck</v>
          </cell>
          <cell r="C127" t="str">
            <v>PTP-Trucking</v>
          </cell>
        </row>
        <row r="128">
          <cell r="B128" t="str">
            <v>Diesel</v>
          </cell>
          <cell r="C128" t="str">
            <v>PTP-Other</v>
          </cell>
        </row>
        <row r="129">
          <cell r="B129" t="str">
            <v>Communication IT</v>
          </cell>
          <cell r="C129" t="str">
            <v>PTP-Other</v>
          </cell>
        </row>
        <row r="130">
          <cell r="B130" t="str">
            <v>Supply Base/WareHouse (Storage)</v>
          </cell>
          <cell r="C130" t="str">
            <v>PTP-Other</v>
          </cell>
        </row>
        <row r="131">
          <cell r="B131" t="str">
            <v>Wharfage and Stevedoring (Storage)</v>
          </cell>
          <cell r="C131" t="str">
            <v>PTP-Other</v>
          </cell>
        </row>
        <row r="132">
          <cell r="B132" t="str">
            <v>Haulage / Freight</v>
          </cell>
          <cell r="C132" t="str">
            <v>PTP-Other</v>
          </cell>
        </row>
        <row r="133">
          <cell r="B133" t="str">
            <v>Security</v>
          </cell>
          <cell r="C133" t="str">
            <v>PTP-Security</v>
          </cell>
        </row>
        <row r="134">
          <cell r="B134" t="str">
            <v>Annex Adjustments</v>
          </cell>
          <cell r="C134" t="str">
            <v>PTP-Annex</v>
          </cell>
        </row>
        <row r="135">
          <cell r="B135" t="str">
            <v>Bidding Costs</v>
          </cell>
          <cell r="C135" t="str">
            <v>PTP-Bidding</v>
          </cell>
        </row>
        <row r="136">
          <cell r="B136" t="str">
            <v>Bonds</v>
          </cell>
          <cell r="C136" t="str">
            <v>PTP-Bidding</v>
          </cell>
        </row>
        <row r="137">
          <cell r="B137" t="str">
            <v>Performance Bond-1500</v>
          </cell>
          <cell r="C137" t="str">
            <v>PTP-Bidding</v>
          </cell>
        </row>
        <row r="138">
          <cell r="B138" t="str">
            <v>Performance Bond-2000</v>
          </cell>
          <cell r="C138" t="str">
            <v>PTP-Bidding</v>
          </cell>
        </row>
        <row r="139">
          <cell r="B139" t="str">
            <v>Community Support</v>
          </cell>
          <cell r="C139" t="str">
            <v>PTP-Community</v>
          </cell>
        </row>
        <row r="140">
          <cell r="B140" t="str">
            <v>Community Workers</v>
          </cell>
          <cell r="C140" t="str">
            <v>PTP-Community</v>
          </cell>
        </row>
        <row r="141">
          <cell r="B141" t="str">
            <v>Financing Costs</v>
          </cell>
          <cell r="C141" t="str">
            <v>PTP-Financing</v>
          </cell>
        </row>
        <row r="142">
          <cell r="B142" t="str">
            <v>TP Wireline Logging</v>
          </cell>
          <cell r="C142" t="str">
            <v>PTP-CemWL</v>
          </cell>
        </row>
        <row r="143">
          <cell r="B143" t="str">
            <v>TP TCP Perf</v>
          </cell>
          <cell r="C143" t="str">
            <v>PTP-CemWL</v>
          </cell>
        </row>
        <row r="144">
          <cell r="B144" t="str">
            <v>Training</v>
          </cell>
          <cell r="C144" t="str">
            <v>PTP-Other</v>
          </cell>
        </row>
        <row r="145">
          <cell r="B145" t="str">
            <v>TP Cementing Services</v>
          </cell>
          <cell r="C145" t="str">
            <v>PTP-CemWL</v>
          </cell>
        </row>
        <row r="146">
          <cell r="B146" t="str">
            <v>TP Cementing Products</v>
          </cell>
          <cell r="C146" t="str">
            <v>PTP-CemWL</v>
          </cell>
        </row>
        <row r="147">
          <cell r="B147" t="str">
            <v>BOP</v>
          </cell>
          <cell r="C147" t="str">
            <v>PTP-Rig</v>
          </cell>
        </row>
        <row r="148">
          <cell r="B148" t="str">
            <v>Pick-up truck</v>
          </cell>
          <cell r="C148" t="str">
            <v>PTP-Trucking</v>
          </cell>
        </row>
        <row r="150">
          <cell r="B150" t="str">
            <v>Rig acceptance inspection</v>
          </cell>
          <cell r="C150" t="str">
            <v>PTP-Rig</v>
          </cell>
        </row>
        <row r="151">
          <cell r="B151" t="str">
            <v xml:space="preserve">Security infrastructure </v>
          </cell>
          <cell r="C151" t="str">
            <v>PTP-Other</v>
          </cell>
        </row>
        <row r="152">
          <cell r="B152" t="str">
            <v xml:space="preserve">Pup Joints / Crossovers </v>
          </cell>
          <cell r="C152" t="str">
            <v>PTP-Other</v>
          </cell>
        </row>
        <row r="153">
          <cell r="B153" t="str">
            <v>Bucking services</v>
          </cell>
          <cell r="C153" t="str">
            <v>PTP-Other</v>
          </cell>
        </row>
        <row r="154">
          <cell r="B154" t="str">
            <v>Technical Risk Pot</v>
          </cell>
          <cell r="C154" t="str">
            <v>PPP</v>
          </cell>
        </row>
        <row r="155">
          <cell r="B155" t="str">
            <v>Commercial Risk Pot</v>
          </cell>
          <cell r="C155" t="str">
            <v>PPP</v>
          </cell>
        </row>
        <row r="157">
          <cell r="C157" t="str">
            <v>PTP-Annex</v>
          </cell>
        </row>
        <row r="158">
          <cell r="C158" t="str">
            <v>PTP-Bidding</v>
          </cell>
        </row>
        <row r="159">
          <cell r="C159" t="str">
            <v>PTP-Casing</v>
          </cell>
        </row>
        <row r="160">
          <cell r="C160" t="str">
            <v>PTP-CasingServices</v>
          </cell>
        </row>
        <row r="161">
          <cell r="C161" t="str">
            <v>PTP-Catering</v>
          </cell>
        </row>
        <row r="162">
          <cell r="C162" t="str">
            <v>PTP-CivilWorks</v>
          </cell>
        </row>
        <row r="163">
          <cell r="C163" t="str">
            <v>PTP-Comm</v>
          </cell>
        </row>
        <row r="164">
          <cell r="C164" t="str">
            <v>PTP-Community</v>
          </cell>
        </row>
        <row r="165">
          <cell r="C165" t="str">
            <v>PTP-CemWL</v>
          </cell>
        </row>
        <row r="166">
          <cell r="C166" t="str">
            <v>PTP-Coring</v>
          </cell>
        </row>
        <row r="167">
          <cell r="C167" t="str">
            <v>PTP-LetterCredit</v>
          </cell>
        </row>
        <row r="168">
          <cell r="C168" t="str">
            <v>PTP-CsgHwd</v>
          </cell>
        </row>
        <row r="169">
          <cell r="C169" t="str">
            <v>PTP-Dbits</v>
          </cell>
        </row>
        <row r="170">
          <cell r="C170" t="str">
            <v>PTP-DHT</v>
          </cell>
        </row>
        <row r="171">
          <cell r="C171" t="str">
            <v>PTP-Facilities</v>
          </cell>
        </row>
        <row r="172">
          <cell r="C172" t="str">
            <v>PTP-Financing</v>
          </cell>
        </row>
        <row r="173">
          <cell r="C173" t="str">
            <v>PTP-FixCostDay</v>
          </cell>
        </row>
        <row r="174">
          <cell r="C174" t="str">
            <v>PTP-FixCostWell</v>
          </cell>
        </row>
        <row r="175">
          <cell r="C175" t="str">
            <v>PTP-Freight</v>
          </cell>
        </row>
        <row r="176">
          <cell r="C176" t="str">
            <v>PTP-Fuel</v>
          </cell>
        </row>
        <row r="177">
          <cell r="C177" t="str">
            <v>PTP-HSE</v>
          </cell>
        </row>
        <row r="178">
          <cell r="C178" t="str">
            <v>PTP-Insurance</v>
          </cell>
        </row>
        <row r="179">
          <cell r="C179" t="str">
            <v>PTP-Mob</v>
          </cell>
        </row>
        <row r="180">
          <cell r="C180" t="str">
            <v>PTP-MPD</v>
          </cell>
        </row>
        <row r="181">
          <cell r="C181" t="str">
            <v>PTP-MudLogging</v>
          </cell>
        </row>
        <row r="182">
          <cell r="C182" t="str">
            <v>PTP-Other</v>
          </cell>
        </row>
        <row r="183">
          <cell r="C183" t="str">
            <v>PTP-Packers</v>
          </cell>
        </row>
        <row r="184">
          <cell r="C184" t="str">
            <v>PTP-Rig</v>
          </cell>
        </row>
        <row r="185">
          <cell r="C185" t="str">
            <v>PTP-Security</v>
          </cell>
        </row>
        <row r="186">
          <cell r="C186" t="str">
            <v>PTP-SolidsControl</v>
          </cell>
        </row>
        <row r="187">
          <cell r="C187" t="str">
            <v>PTP-Storage</v>
          </cell>
        </row>
        <row r="188">
          <cell r="C188" t="str">
            <v>PTP-Survey</v>
          </cell>
        </row>
        <row r="189">
          <cell r="C189" t="str">
            <v>PTP-Training</v>
          </cell>
        </row>
        <row r="190">
          <cell r="C190" t="str">
            <v>PTP-Trucking</v>
          </cell>
        </row>
        <row r="191">
          <cell r="C191" t="str">
            <v>PTP-WasteManagement</v>
          </cell>
        </row>
        <row r="192">
          <cell r="C192" t="str">
            <v>PTP-Wellhead</v>
          </cell>
        </row>
      </sheetData>
      <sheetData sheetId="5"/>
      <sheetData sheetId="6">
        <row r="2">
          <cell r="F2">
            <v>24.327449566768507</v>
          </cell>
          <cell r="G2">
            <v>1</v>
          </cell>
          <cell r="H2">
            <v>9</v>
          </cell>
          <cell r="I2">
            <v>9</v>
          </cell>
          <cell r="J2">
            <v>9</v>
          </cell>
          <cell r="K2">
            <v>9</v>
          </cell>
          <cell r="L2">
            <v>9</v>
          </cell>
          <cell r="M2">
            <v>9</v>
          </cell>
        </row>
        <row r="3">
          <cell r="F3">
            <v>0</v>
          </cell>
          <cell r="G3">
            <v>55</v>
          </cell>
          <cell r="H3">
            <v>9</v>
          </cell>
          <cell r="I3">
            <v>9</v>
          </cell>
          <cell r="J3">
            <v>9</v>
          </cell>
          <cell r="K3">
            <v>9</v>
          </cell>
          <cell r="L3">
            <v>9</v>
          </cell>
          <cell r="M3">
            <v>9</v>
          </cell>
        </row>
        <row r="4">
          <cell r="F4">
            <v>6.2483566890144072E-3</v>
          </cell>
          <cell r="G4">
            <v>675</v>
          </cell>
          <cell r="H4">
            <v>9</v>
          </cell>
          <cell r="I4">
            <v>9</v>
          </cell>
          <cell r="J4">
            <v>9</v>
          </cell>
          <cell r="K4">
            <v>9</v>
          </cell>
          <cell r="L4">
            <v>9</v>
          </cell>
          <cell r="M4">
            <v>9</v>
          </cell>
        </row>
        <row r="5">
          <cell r="F5">
            <v>9.5929223721516552E-3</v>
          </cell>
          <cell r="G5">
            <v>1210</v>
          </cell>
          <cell r="H5">
            <v>9</v>
          </cell>
          <cell r="I5">
            <v>9</v>
          </cell>
          <cell r="J5">
            <v>9</v>
          </cell>
          <cell r="K5">
            <v>9</v>
          </cell>
          <cell r="L5">
            <v>9</v>
          </cell>
          <cell r="M5">
            <v>9</v>
          </cell>
        </row>
        <row r="6">
          <cell r="F6">
            <v>1.4948838391444964E-2</v>
          </cell>
          <cell r="G6">
            <v>540</v>
          </cell>
          <cell r="H6">
            <v>9</v>
          </cell>
          <cell r="I6">
            <v>9</v>
          </cell>
          <cell r="J6">
            <v>9</v>
          </cell>
          <cell r="K6">
            <v>9</v>
          </cell>
          <cell r="L6">
            <v>9</v>
          </cell>
          <cell r="M6">
            <v>9</v>
          </cell>
        </row>
        <row r="7">
          <cell r="F7">
            <v>0</v>
          </cell>
          <cell r="G7">
            <v>0</v>
          </cell>
          <cell r="H7">
            <v>9</v>
          </cell>
          <cell r="I7">
            <v>9</v>
          </cell>
          <cell r="J7">
            <v>9</v>
          </cell>
          <cell r="K7">
            <v>9</v>
          </cell>
          <cell r="L7">
            <v>9</v>
          </cell>
          <cell r="M7">
            <v>9</v>
          </cell>
        </row>
        <row r="8">
          <cell r="F8">
            <v>0.43</v>
          </cell>
          <cell r="G8">
            <v>1</v>
          </cell>
          <cell r="H8">
            <v>9</v>
          </cell>
          <cell r="I8">
            <v>9</v>
          </cell>
          <cell r="J8">
            <v>9</v>
          </cell>
          <cell r="K8">
            <v>9</v>
          </cell>
          <cell r="L8">
            <v>9</v>
          </cell>
          <cell r="M8">
            <v>9</v>
          </cell>
        </row>
        <row r="9">
          <cell r="F9">
            <v>3.1479999999999997</v>
          </cell>
          <cell r="G9">
            <v>0</v>
          </cell>
          <cell r="H9">
            <v>9</v>
          </cell>
          <cell r="I9">
            <v>9</v>
          </cell>
          <cell r="J9">
            <v>9</v>
          </cell>
          <cell r="K9">
            <v>9</v>
          </cell>
          <cell r="L9">
            <v>9</v>
          </cell>
          <cell r="M9">
            <v>9</v>
          </cell>
        </row>
        <row r="10">
          <cell r="F10">
            <v>0</v>
          </cell>
          <cell r="G10">
            <v>1</v>
          </cell>
          <cell r="H10">
            <v>9</v>
          </cell>
          <cell r="I10">
            <v>9</v>
          </cell>
          <cell r="J10">
            <v>9</v>
          </cell>
          <cell r="K10">
            <v>9</v>
          </cell>
          <cell r="L10">
            <v>9</v>
          </cell>
          <cell r="M10">
            <v>9</v>
          </cell>
        </row>
        <row r="11">
          <cell r="F11">
            <v>26.84695048549122</v>
          </cell>
          <cell r="G11">
            <v>1</v>
          </cell>
          <cell r="H11">
            <v>13</v>
          </cell>
          <cell r="I11">
            <v>13</v>
          </cell>
          <cell r="J11">
            <v>13</v>
          </cell>
          <cell r="K11">
            <v>13</v>
          </cell>
          <cell r="L11">
            <v>13</v>
          </cell>
          <cell r="M11">
            <v>13</v>
          </cell>
        </row>
        <row r="12">
          <cell r="F12">
            <v>0</v>
          </cell>
          <cell r="G12">
            <v>55</v>
          </cell>
          <cell r="H12">
            <v>13</v>
          </cell>
          <cell r="I12">
            <v>13</v>
          </cell>
          <cell r="J12">
            <v>13</v>
          </cell>
          <cell r="K12">
            <v>13</v>
          </cell>
          <cell r="L12">
            <v>13</v>
          </cell>
          <cell r="M12">
            <v>13</v>
          </cell>
        </row>
        <row r="13">
          <cell r="F13">
            <v>6.2483566890144072E-3</v>
          </cell>
          <cell r="G13">
            <v>675</v>
          </cell>
          <cell r="H13">
            <v>13</v>
          </cell>
          <cell r="I13">
            <v>13</v>
          </cell>
          <cell r="J13">
            <v>13</v>
          </cell>
          <cell r="K13">
            <v>13</v>
          </cell>
          <cell r="L13">
            <v>13</v>
          </cell>
          <cell r="M13">
            <v>13</v>
          </cell>
        </row>
        <row r="14">
          <cell r="F14">
            <v>1.008338889557926E-2</v>
          </cell>
          <cell r="G14">
            <v>1320</v>
          </cell>
          <cell r="H14">
            <v>13</v>
          </cell>
          <cell r="I14">
            <v>13</v>
          </cell>
          <cell r="J14">
            <v>13</v>
          </cell>
          <cell r="K14">
            <v>13</v>
          </cell>
          <cell r="L14">
            <v>13</v>
          </cell>
          <cell r="M14">
            <v>13</v>
          </cell>
        </row>
        <row r="15">
          <cell r="F15">
            <v>1.3675748274218264E-2</v>
          </cell>
          <cell r="G15">
            <v>650</v>
          </cell>
          <cell r="H15">
            <v>13</v>
          </cell>
          <cell r="I15">
            <v>13</v>
          </cell>
          <cell r="J15">
            <v>13</v>
          </cell>
          <cell r="K15">
            <v>13</v>
          </cell>
          <cell r="L15">
            <v>13</v>
          </cell>
          <cell r="M15">
            <v>13</v>
          </cell>
        </row>
        <row r="16">
          <cell r="F16">
            <v>0</v>
          </cell>
          <cell r="G16">
            <v>0</v>
          </cell>
          <cell r="H16">
            <v>13</v>
          </cell>
          <cell r="I16">
            <v>13</v>
          </cell>
          <cell r="J16">
            <v>13</v>
          </cell>
          <cell r="K16">
            <v>13</v>
          </cell>
          <cell r="L16">
            <v>13</v>
          </cell>
          <cell r="M16">
            <v>13</v>
          </cell>
        </row>
        <row r="17">
          <cell r="F17">
            <v>0.43</v>
          </cell>
          <cell r="G17">
            <v>1</v>
          </cell>
          <cell r="H17">
            <v>13</v>
          </cell>
          <cell r="I17">
            <v>13</v>
          </cell>
          <cell r="J17">
            <v>13</v>
          </cell>
          <cell r="K17">
            <v>13</v>
          </cell>
          <cell r="L17">
            <v>13</v>
          </cell>
          <cell r="M17">
            <v>13</v>
          </cell>
        </row>
        <row r="18">
          <cell r="F18">
            <v>3.2439999999999998</v>
          </cell>
          <cell r="G18">
            <v>0</v>
          </cell>
          <cell r="H18">
            <v>13</v>
          </cell>
          <cell r="I18">
            <v>13</v>
          </cell>
          <cell r="J18">
            <v>13</v>
          </cell>
          <cell r="K18">
            <v>13</v>
          </cell>
          <cell r="L18">
            <v>13</v>
          </cell>
          <cell r="M18">
            <v>13</v>
          </cell>
        </row>
        <row r="19">
          <cell r="F19">
            <v>0</v>
          </cell>
          <cell r="G19">
            <v>1</v>
          </cell>
          <cell r="H19">
            <v>13</v>
          </cell>
          <cell r="I19">
            <v>13</v>
          </cell>
          <cell r="J19">
            <v>13</v>
          </cell>
          <cell r="K19">
            <v>13</v>
          </cell>
          <cell r="L19">
            <v>13</v>
          </cell>
          <cell r="M19">
            <v>13</v>
          </cell>
        </row>
        <row r="20">
          <cell r="F20">
            <v>27.714613439555443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F21">
            <v>0</v>
          </cell>
          <cell r="G21">
            <v>55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F22">
            <v>6.2483566890144072E-3</v>
          </cell>
          <cell r="G22">
            <v>675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F23">
            <v>9.632727029297513E-3</v>
          </cell>
          <cell r="G23">
            <v>1205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F24">
            <v>9.1676292833337732E-3</v>
          </cell>
          <cell r="G24">
            <v>1250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F26">
            <v>0.43</v>
          </cell>
          <cell r="G26">
            <v>1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F27">
            <v>3.3040000000000003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F28">
            <v>0</v>
          </cell>
          <cell r="G28">
            <v>1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F29">
            <v>37.301732017384431</v>
          </cell>
          <cell r="G29">
            <v>1</v>
          </cell>
          <cell r="H29">
            <v>15</v>
          </cell>
          <cell r="I29">
            <v>15</v>
          </cell>
          <cell r="J29">
            <v>15</v>
          </cell>
          <cell r="K29">
            <v>15</v>
          </cell>
          <cell r="L29">
            <v>15</v>
          </cell>
          <cell r="M29">
            <v>15</v>
          </cell>
        </row>
        <row r="30">
          <cell r="F30">
            <v>0</v>
          </cell>
          <cell r="G30">
            <v>55</v>
          </cell>
          <cell r="H30">
            <v>15</v>
          </cell>
          <cell r="I30">
            <v>15</v>
          </cell>
          <cell r="J30">
            <v>15</v>
          </cell>
          <cell r="K30">
            <v>15</v>
          </cell>
          <cell r="L30">
            <v>15</v>
          </cell>
          <cell r="M30">
            <v>15</v>
          </cell>
        </row>
        <row r="31">
          <cell r="F31">
            <v>6.2280933670392545E-3</v>
          </cell>
          <cell r="G31">
            <v>675</v>
          </cell>
          <cell r="H31">
            <v>15</v>
          </cell>
          <cell r="I31">
            <v>15</v>
          </cell>
          <cell r="J31">
            <v>15</v>
          </cell>
          <cell r="K31">
            <v>15</v>
          </cell>
          <cell r="L31">
            <v>15</v>
          </cell>
          <cell r="M31">
            <v>15</v>
          </cell>
        </row>
        <row r="32">
          <cell r="F32">
            <v>9.5816184528679949E-3</v>
          </cell>
          <cell r="G32">
            <v>1210</v>
          </cell>
          <cell r="H32">
            <v>15</v>
          </cell>
          <cell r="I32">
            <v>15</v>
          </cell>
          <cell r="J32">
            <v>15</v>
          </cell>
          <cell r="K32">
            <v>15</v>
          </cell>
          <cell r="L32">
            <v>15</v>
          </cell>
          <cell r="M32">
            <v>15</v>
          </cell>
        </row>
        <row r="33">
          <cell r="F33">
            <v>9.5382157181949888E-3</v>
          </cell>
          <cell r="G33">
            <v>1200</v>
          </cell>
          <cell r="H33">
            <v>15</v>
          </cell>
          <cell r="I33">
            <v>15</v>
          </cell>
          <cell r="J33">
            <v>15</v>
          </cell>
          <cell r="K33">
            <v>15</v>
          </cell>
          <cell r="L33">
            <v>15</v>
          </cell>
          <cell r="M33">
            <v>15</v>
          </cell>
        </row>
        <row r="34">
          <cell r="F34">
            <v>2.2924170963877805E-2</v>
          </cell>
          <cell r="G34">
            <v>420</v>
          </cell>
          <cell r="H34">
            <v>15</v>
          </cell>
          <cell r="I34">
            <v>15</v>
          </cell>
          <cell r="J34">
            <v>15</v>
          </cell>
          <cell r="K34">
            <v>15</v>
          </cell>
          <cell r="L34">
            <v>15</v>
          </cell>
          <cell r="M34">
            <v>15</v>
          </cell>
        </row>
        <row r="35">
          <cell r="F35">
            <v>0.43</v>
          </cell>
          <cell r="G35">
            <v>1</v>
          </cell>
          <cell r="H35">
            <v>15</v>
          </cell>
          <cell r="I35">
            <v>15</v>
          </cell>
          <cell r="J35">
            <v>15</v>
          </cell>
          <cell r="K35">
            <v>15</v>
          </cell>
          <cell r="L35">
            <v>15</v>
          </cell>
          <cell r="M35">
            <v>15</v>
          </cell>
        </row>
        <row r="36">
          <cell r="F36">
            <v>3.532</v>
          </cell>
          <cell r="G36">
            <v>0</v>
          </cell>
          <cell r="H36">
            <v>15</v>
          </cell>
          <cell r="I36">
            <v>15</v>
          </cell>
          <cell r="J36">
            <v>15</v>
          </cell>
          <cell r="K36">
            <v>15</v>
          </cell>
          <cell r="L36">
            <v>15</v>
          </cell>
          <cell r="M36">
            <v>15</v>
          </cell>
        </row>
        <row r="37">
          <cell r="F37">
            <v>0</v>
          </cell>
          <cell r="G37">
            <v>1</v>
          </cell>
          <cell r="H37">
            <v>15</v>
          </cell>
          <cell r="I37">
            <v>15</v>
          </cell>
          <cell r="J37">
            <v>15</v>
          </cell>
          <cell r="K37">
            <v>15</v>
          </cell>
          <cell r="L37">
            <v>15</v>
          </cell>
          <cell r="M37">
            <v>15</v>
          </cell>
        </row>
        <row r="38">
          <cell r="F38">
            <v>43.734477050869039</v>
          </cell>
          <cell r="G38">
            <v>1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  <cell r="L38">
            <v>3</v>
          </cell>
          <cell r="M38">
            <v>3</v>
          </cell>
        </row>
        <row r="39">
          <cell r="F39">
            <v>0</v>
          </cell>
          <cell r="G39">
            <v>55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  <cell r="L39">
            <v>3</v>
          </cell>
          <cell r="M39">
            <v>3</v>
          </cell>
        </row>
        <row r="40">
          <cell r="F40">
            <v>6.2280933670392545E-3</v>
          </cell>
          <cell r="G40">
            <v>675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  <cell r="L40">
            <v>3</v>
          </cell>
          <cell r="M40">
            <v>3</v>
          </cell>
        </row>
        <row r="41">
          <cell r="F41">
            <v>1.0073026969569238E-2</v>
          </cell>
          <cell r="G41">
            <v>1320</v>
          </cell>
          <cell r="H41">
            <v>3</v>
          </cell>
          <cell r="I41">
            <v>3</v>
          </cell>
          <cell r="J41">
            <v>3</v>
          </cell>
          <cell r="K41">
            <v>3</v>
          </cell>
          <cell r="L41">
            <v>3</v>
          </cell>
          <cell r="M41">
            <v>3</v>
          </cell>
        </row>
        <row r="42">
          <cell r="F42">
            <v>9.8104483560355182E-3</v>
          </cell>
          <cell r="G42">
            <v>1300</v>
          </cell>
          <cell r="H42">
            <v>3</v>
          </cell>
          <cell r="I42">
            <v>3</v>
          </cell>
          <cell r="J42">
            <v>3</v>
          </cell>
          <cell r="K42">
            <v>3</v>
          </cell>
          <cell r="L42">
            <v>3</v>
          </cell>
          <cell r="M42">
            <v>3</v>
          </cell>
        </row>
        <row r="43">
          <cell r="F43">
            <v>2.9001190145422167E-2</v>
          </cell>
          <cell r="G43">
            <v>450</v>
          </cell>
          <cell r="H43">
            <v>3</v>
          </cell>
          <cell r="I43">
            <v>3</v>
          </cell>
          <cell r="J43">
            <v>3</v>
          </cell>
          <cell r="K43">
            <v>3</v>
          </cell>
          <cell r="L43">
            <v>3</v>
          </cell>
          <cell r="M43">
            <v>3</v>
          </cell>
        </row>
        <row r="44">
          <cell r="F44">
            <v>0.43</v>
          </cell>
          <cell r="G44">
            <v>1</v>
          </cell>
          <cell r="H44">
            <v>3</v>
          </cell>
          <cell r="I44">
            <v>3</v>
          </cell>
          <cell r="J44">
            <v>3</v>
          </cell>
          <cell r="K44">
            <v>3</v>
          </cell>
          <cell r="L44">
            <v>3</v>
          </cell>
          <cell r="M44">
            <v>3</v>
          </cell>
        </row>
        <row r="45">
          <cell r="F45">
            <v>3.6160000000000001</v>
          </cell>
          <cell r="G45">
            <v>0</v>
          </cell>
          <cell r="H45">
            <v>3</v>
          </cell>
          <cell r="I45">
            <v>3</v>
          </cell>
          <cell r="J45">
            <v>3</v>
          </cell>
          <cell r="K45">
            <v>3</v>
          </cell>
          <cell r="L45">
            <v>3</v>
          </cell>
          <cell r="M45">
            <v>3</v>
          </cell>
        </row>
        <row r="46">
          <cell r="F46">
            <v>0</v>
          </cell>
          <cell r="G46">
            <v>1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</row>
      </sheetData>
      <sheetData sheetId="7">
        <row r="2">
          <cell r="E2">
            <v>24.327449566768507</v>
          </cell>
          <cell r="F2">
            <v>1</v>
          </cell>
        </row>
        <row r="3">
          <cell r="F3">
            <v>55</v>
          </cell>
        </row>
        <row r="4">
          <cell r="E4">
            <v>4.2176407650847247</v>
          </cell>
          <cell r="F4">
            <v>675</v>
          </cell>
        </row>
        <row r="5">
          <cell r="E5">
            <v>11.607436070303503</v>
          </cell>
          <cell r="F5">
            <v>1210</v>
          </cell>
        </row>
        <row r="6">
          <cell r="E6">
            <v>8.0723727313802804</v>
          </cell>
          <cell r="F6">
            <v>540</v>
          </cell>
        </row>
        <row r="7">
          <cell r="E7">
            <v>0</v>
          </cell>
          <cell r="F7">
            <v>1</v>
          </cell>
        </row>
        <row r="8">
          <cell r="E8">
            <v>0.43</v>
          </cell>
          <cell r="F8">
            <v>1</v>
          </cell>
        </row>
        <row r="9">
          <cell r="E9">
            <v>3.1479999999999997</v>
          </cell>
          <cell r="F9">
            <v>1</v>
          </cell>
        </row>
        <row r="10">
          <cell r="F10">
            <v>1</v>
          </cell>
        </row>
        <row r="11">
          <cell r="E11">
            <v>26.84695048549122</v>
          </cell>
          <cell r="F11">
            <v>1</v>
          </cell>
        </row>
        <row r="12">
          <cell r="F12">
            <v>55</v>
          </cell>
        </row>
        <row r="13">
          <cell r="E13">
            <v>4.2176407650847247</v>
          </cell>
          <cell r="F13">
            <v>675</v>
          </cell>
        </row>
        <row r="14">
          <cell r="E14">
            <v>13.310073342164623</v>
          </cell>
          <cell r="F14">
            <v>1320</v>
          </cell>
        </row>
        <row r="15">
          <cell r="E15">
            <v>8.889236378241872</v>
          </cell>
          <cell r="F15">
            <v>650</v>
          </cell>
        </row>
        <row r="16">
          <cell r="E16">
            <v>0</v>
          </cell>
          <cell r="F16">
            <v>1</v>
          </cell>
        </row>
        <row r="17">
          <cell r="E17">
            <v>0.43</v>
          </cell>
          <cell r="F17">
            <v>1</v>
          </cell>
        </row>
        <row r="18">
          <cell r="E18">
            <v>3.2439999999999998</v>
          </cell>
          <cell r="F18">
            <v>1</v>
          </cell>
        </row>
        <row r="19">
          <cell r="F19">
            <v>1</v>
          </cell>
        </row>
        <row r="20">
          <cell r="E20">
            <v>27.714613439555443</v>
          </cell>
          <cell r="F20">
            <v>1</v>
          </cell>
        </row>
        <row r="21">
          <cell r="F21">
            <v>55</v>
          </cell>
        </row>
        <row r="22">
          <cell r="E22">
            <v>4.2176407650847247</v>
          </cell>
          <cell r="F22">
            <v>675</v>
          </cell>
        </row>
        <row r="23">
          <cell r="E23">
            <v>11.607436070303503</v>
          </cell>
          <cell r="F23">
            <v>1205</v>
          </cell>
        </row>
        <row r="24">
          <cell r="E24">
            <v>11.459536604167216</v>
          </cell>
          <cell r="F24">
            <v>1250</v>
          </cell>
        </row>
        <row r="25">
          <cell r="E25">
            <v>0</v>
          </cell>
          <cell r="F25">
            <v>1</v>
          </cell>
        </row>
        <row r="26">
          <cell r="E26">
            <v>0.43</v>
          </cell>
          <cell r="F26">
            <v>1</v>
          </cell>
        </row>
        <row r="27">
          <cell r="E27">
            <v>3.3040000000000003</v>
          </cell>
          <cell r="F27">
            <v>1</v>
          </cell>
        </row>
        <row r="28">
          <cell r="F28">
            <v>1</v>
          </cell>
        </row>
        <row r="29">
          <cell r="E29">
            <v>37.301732017384431</v>
          </cell>
          <cell r="F29">
            <v>1</v>
          </cell>
        </row>
        <row r="30">
          <cell r="F30">
            <v>55</v>
          </cell>
        </row>
        <row r="31">
          <cell r="E31">
            <v>4.2039630227514966</v>
          </cell>
          <cell r="F31">
            <v>675</v>
          </cell>
        </row>
        <row r="32">
          <cell r="E32">
            <v>11.593758327970274</v>
          </cell>
          <cell r="F32">
            <v>1210</v>
          </cell>
        </row>
        <row r="33">
          <cell r="E33">
            <v>11.445858861833987</v>
          </cell>
          <cell r="F33">
            <v>1200</v>
          </cell>
        </row>
        <row r="34">
          <cell r="E34">
            <v>9.6281518048286774</v>
          </cell>
          <cell r="F34">
            <v>420</v>
          </cell>
        </row>
        <row r="35">
          <cell r="E35">
            <v>0.43</v>
          </cell>
          <cell r="F35">
            <v>1</v>
          </cell>
        </row>
        <row r="36">
          <cell r="E36">
            <v>3.532</v>
          </cell>
          <cell r="F36">
            <v>1</v>
          </cell>
        </row>
        <row r="37">
          <cell r="F37">
            <v>1</v>
          </cell>
        </row>
        <row r="38">
          <cell r="E38">
            <v>43.734477050869039</v>
          </cell>
          <cell r="F38">
            <v>1</v>
          </cell>
        </row>
        <row r="39">
          <cell r="F39">
            <v>55</v>
          </cell>
        </row>
        <row r="40">
          <cell r="E40">
            <v>4.2039630227514966</v>
          </cell>
          <cell r="F40">
            <v>675</v>
          </cell>
        </row>
        <row r="41">
          <cell r="E41">
            <v>13.296395599831394</v>
          </cell>
          <cell r="F41">
            <v>1320</v>
          </cell>
        </row>
        <row r="42">
          <cell r="E42">
            <v>12.753582862846175</v>
          </cell>
          <cell r="F42">
            <v>1300</v>
          </cell>
        </row>
        <row r="43">
          <cell r="E43">
            <v>13.050535565439976</v>
          </cell>
          <cell r="F43">
            <v>450</v>
          </cell>
        </row>
        <row r="44">
          <cell r="E44">
            <v>0.43</v>
          </cell>
          <cell r="F44">
            <v>1</v>
          </cell>
        </row>
        <row r="45">
          <cell r="E45">
            <v>3.6160000000000001</v>
          </cell>
          <cell r="F45">
            <v>1</v>
          </cell>
        </row>
        <row r="46">
          <cell r="F46">
            <v>1</v>
          </cell>
        </row>
      </sheetData>
      <sheetData sheetId="8"/>
      <sheetData sheetId="9"/>
      <sheetData sheetId="10"/>
      <sheetData sheetId="11">
        <row r="2">
          <cell r="A2" t="str">
            <v>MV.1</v>
          </cell>
          <cell r="E2">
            <v>585046.48161169817</v>
          </cell>
        </row>
        <row r="3">
          <cell r="A3" t="str">
            <v>MV.2</v>
          </cell>
          <cell r="E3">
            <v>669.09090909090912</v>
          </cell>
        </row>
        <row r="4">
          <cell r="A4" t="str">
            <v>MV.3</v>
          </cell>
          <cell r="E4">
            <v>262.78199148046485</v>
          </cell>
        </row>
        <row r="5">
          <cell r="A5" t="str">
            <v>MV.4</v>
          </cell>
          <cell r="E5">
            <v>413.05852960626004</v>
          </cell>
        </row>
        <row r="6">
          <cell r="A6" t="str">
            <v>MV.5</v>
          </cell>
          <cell r="E6">
            <v>872.08463548143231</v>
          </cell>
        </row>
        <row r="7">
          <cell r="A7" t="str">
            <v>MV.6</v>
          </cell>
          <cell r="E7">
            <v>0</v>
          </cell>
        </row>
        <row r="8">
          <cell r="A8" t="str">
            <v>MV.7</v>
          </cell>
          <cell r="E8">
            <v>6497.269220946353</v>
          </cell>
        </row>
        <row r="9">
          <cell r="A9" t="str">
            <v>MV.8</v>
          </cell>
          <cell r="E9">
            <v>59098.520088850659</v>
          </cell>
        </row>
        <row r="10">
          <cell r="A10" t="str">
            <v>MV.9</v>
          </cell>
          <cell r="E10">
            <v>13500</v>
          </cell>
        </row>
        <row r="11">
          <cell r="A11" t="str">
            <v>MD.1</v>
          </cell>
          <cell r="E11">
            <v>618616.06992573594</v>
          </cell>
        </row>
        <row r="12">
          <cell r="A12" t="str">
            <v>MD.2</v>
          </cell>
          <cell r="E12">
            <v>669.09090909090912</v>
          </cell>
        </row>
        <row r="13">
          <cell r="A13" t="str">
            <v>MD.3</v>
          </cell>
          <cell r="E13">
            <v>262.78199148046485</v>
          </cell>
        </row>
        <row r="14">
          <cell r="A14" t="str">
            <v>MD.4</v>
          </cell>
          <cell r="E14">
            <v>483.05839861323062</v>
          </cell>
        </row>
        <row r="15">
          <cell r="A15" t="str">
            <v>MD.5</v>
          </cell>
          <cell r="E15">
            <v>680.76667352347579</v>
          </cell>
        </row>
        <row r="16">
          <cell r="A16" t="str">
            <v>MD.6</v>
          </cell>
          <cell r="E16">
            <v>0</v>
          </cell>
        </row>
        <row r="17">
          <cell r="A17" t="str">
            <v>MD.7</v>
          </cell>
          <cell r="E17">
            <v>6497.269220946353</v>
          </cell>
        </row>
        <row r="18">
          <cell r="A18" t="str">
            <v>MD.8</v>
          </cell>
          <cell r="E18">
            <v>54174.790054457284</v>
          </cell>
        </row>
        <row r="19">
          <cell r="A19" t="str">
            <v>MD.9</v>
          </cell>
          <cell r="E19">
            <v>13500</v>
          </cell>
        </row>
        <row r="20">
          <cell r="A20" t="str">
            <v>NUV.1</v>
          </cell>
          <cell r="E20">
            <v>630307.22569540073</v>
          </cell>
        </row>
        <row r="21">
          <cell r="A21" t="str">
            <v>NUV.2</v>
          </cell>
          <cell r="E21">
            <v>669.09090909090912</v>
          </cell>
        </row>
        <row r="22">
          <cell r="A22" t="str">
            <v>NUV.3</v>
          </cell>
          <cell r="E22">
            <v>275.50088259157599</v>
          </cell>
        </row>
        <row r="23">
          <cell r="A23" t="str">
            <v>NUV.4</v>
          </cell>
          <cell r="E23">
            <v>366.83696202993752</v>
          </cell>
        </row>
        <row r="24">
          <cell r="A24" t="str">
            <v>NUV.5</v>
          </cell>
          <cell r="E24">
            <v>578.11628235399098</v>
          </cell>
        </row>
        <row r="25">
          <cell r="A25" t="str">
            <v>NUV.6</v>
          </cell>
          <cell r="E25">
            <v>0</v>
          </cell>
        </row>
        <row r="26">
          <cell r="A26" t="str">
            <v>NUV.7</v>
          </cell>
          <cell r="E26">
            <v>6497.269220946353</v>
          </cell>
        </row>
        <row r="27">
          <cell r="A27" t="str">
            <v>NUV.8</v>
          </cell>
          <cell r="E27">
            <v>59222.458782961425</v>
          </cell>
        </row>
        <row r="28">
          <cell r="A28" t="str">
            <v>NUV.9</v>
          </cell>
          <cell r="E28">
            <v>13500</v>
          </cell>
        </row>
        <row r="29">
          <cell r="A29" t="str">
            <v>ZV.1</v>
          </cell>
          <cell r="E29">
            <v>801686.9310291725</v>
          </cell>
        </row>
        <row r="30">
          <cell r="A30" t="str">
            <v>ZV.2</v>
          </cell>
          <cell r="E30">
            <v>669.09090909090912</v>
          </cell>
        </row>
        <row r="31">
          <cell r="A31" t="str">
            <v>ZV.3</v>
          </cell>
          <cell r="E31">
            <v>263.17682603390108</v>
          </cell>
        </row>
        <row r="32">
          <cell r="A32" t="str">
            <v>ZV.4</v>
          </cell>
          <cell r="E32">
            <v>414.4389703695407</v>
          </cell>
        </row>
        <row r="33">
          <cell r="A33" t="str">
            <v>ZV.5</v>
          </cell>
          <cell r="E33">
            <v>463.22060117588182</v>
          </cell>
        </row>
        <row r="34">
          <cell r="A34" t="str">
            <v>ZV.6</v>
          </cell>
          <cell r="E34">
            <v>1995.304347778613</v>
          </cell>
        </row>
        <row r="35">
          <cell r="A35" t="str">
            <v>ZV.7</v>
          </cell>
          <cell r="E35">
            <v>6497.269220946353</v>
          </cell>
        </row>
        <row r="36">
          <cell r="A36" t="str">
            <v>ZV.8</v>
          </cell>
          <cell r="E36">
            <v>59403.599951277167</v>
          </cell>
        </row>
        <row r="37">
          <cell r="A37" t="str">
            <v>ZV.9</v>
          </cell>
          <cell r="E37">
            <v>13500</v>
          </cell>
        </row>
        <row r="38">
          <cell r="A38" t="str">
            <v>ZD.1</v>
          </cell>
          <cell r="E38">
            <v>941803.07589419407</v>
          </cell>
        </row>
        <row r="39">
          <cell r="A39" t="str">
            <v>ZD.2</v>
          </cell>
          <cell r="E39">
            <v>669.09090909090912</v>
          </cell>
        </row>
        <row r="40">
          <cell r="A40" t="str">
            <v>ZD.3</v>
          </cell>
          <cell r="E40">
            <v>247.30789270056781</v>
          </cell>
        </row>
        <row r="41">
          <cell r="A41" t="str">
            <v>ZD.4</v>
          </cell>
          <cell r="E41">
            <v>462.10786400987416</v>
          </cell>
        </row>
        <row r="42">
          <cell r="A42" t="str">
            <v>ZD.5</v>
          </cell>
          <cell r="E42">
            <v>450.8473809158474</v>
          </cell>
        </row>
        <row r="43">
          <cell r="A43" t="str">
            <v>ZD.6</v>
          </cell>
          <cell r="E43">
            <v>1362.0453143608374</v>
          </cell>
        </row>
        <row r="44">
          <cell r="A44" t="str">
            <v>ZD.7</v>
          </cell>
          <cell r="E44">
            <v>6497.269220946353</v>
          </cell>
        </row>
        <row r="45">
          <cell r="A45" t="str">
            <v>ZD.8</v>
          </cell>
          <cell r="E45">
            <v>54470.336171182964</v>
          </cell>
        </row>
        <row r="46">
          <cell r="A46" t="str">
            <v>ZD.9</v>
          </cell>
          <cell r="E46">
            <v>13500</v>
          </cell>
        </row>
      </sheetData>
      <sheetData sheetId="12">
        <row r="11">
          <cell r="T11" t="str">
            <v>ENI-814</v>
          </cell>
          <cell r="U11" t="str">
            <v>VolumeSLB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950D-52ED-4C7E-8838-3121BD002240}">
  <dimension ref="A1:O229"/>
  <sheetViews>
    <sheetView workbookViewId="0">
      <selection sqref="A1:XFD1048576"/>
    </sheetView>
  </sheetViews>
  <sheetFormatPr defaultColWidth="0" defaultRowHeight="0" zeroHeight="1"/>
  <cols>
    <col min="1" max="1" width="3.1796875" bestFit="1" customWidth="1"/>
    <col min="2" max="2" width="32.7265625" bestFit="1" customWidth="1"/>
    <col min="3" max="3" width="17.453125" style="1" bestFit="1" customWidth="1"/>
    <col min="4" max="5" width="11.453125" style="1" customWidth="1"/>
    <col min="6" max="6" width="28.54296875" style="1" bestFit="1" customWidth="1"/>
    <col min="7" max="8" width="29.54296875" style="1" bestFit="1" customWidth="1"/>
    <col min="9" max="10" width="9.1796875" hidden="1"/>
    <col min="11" max="11" width="26.453125" hidden="1"/>
    <col min="12" max="12" width="8.453125" hidden="1"/>
    <col min="13" max="13" width="6.26953125" hidden="1"/>
    <col min="14" max="14" width="8.453125" hidden="1"/>
    <col min="15" max="15" width="6.26953125" hidden="1"/>
    <col min="16" max="16384" width="9.1796875" hidden="1"/>
  </cols>
  <sheetData>
    <row r="1" spans="1:12" ht="14.5">
      <c r="D1" s="2">
        <v>7</v>
      </c>
      <c r="E1" s="2">
        <v>4</v>
      </c>
    </row>
    <row r="2" spans="1:12" ht="14.5">
      <c r="B2" s="3" t="s">
        <v>0</v>
      </c>
    </row>
    <row r="3" spans="1:12" ht="14.5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L3" s="7" t="s">
        <v>8</v>
      </c>
    </row>
    <row r="4" spans="1:12" ht="14.5">
      <c r="A4" s="8">
        <v>1</v>
      </c>
      <c r="B4" s="9" t="s">
        <v>9</v>
      </c>
      <c r="C4" s="10" t="s">
        <v>10</v>
      </c>
      <c r="D4" s="11">
        <f ca="1">IFERROR(INDIRECT(CONCATENATE("'",C4,"'!B1")),0)</f>
        <v>0</v>
      </c>
      <c r="E4" s="11">
        <f ca="1">IFERROR(INDIRECT(CONCATENATE("'",C4,"'!B2")),0)</f>
        <v>0</v>
      </c>
      <c r="F4" s="11" t="str">
        <f ca="1">IF(D4=0,"",CONCATENATE("'",$C4,"'!",ADDRESS($D$1,1,1),":",ADDRESS($D4,1,1)))</f>
        <v/>
      </c>
      <c r="G4" s="11" t="str">
        <f ca="1">IF(D4=0,"",CONCATENATE("'",C4,"'!",ADDRESS(4,$E$1,1),":",ADDRESS(4,$E4,1)))</f>
        <v/>
      </c>
      <c r="H4" s="11" t="str">
        <f ca="1">IF(D4=0,"",CONCATENATE("'",C4,"'!",ADDRESS($D$1,$E$1,1),":",ADDRESS($D4,$E4,1)))</f>
        <v/>
      </c>
      <c r="K4" s="12"/>
      <c r="L4" s="13" t="s">
        <v>11</v>
      </c>
    </row>
    <row r="5" spans="1:12" ht="14.5">
      <c r="A5" s="8">
        <f>A4+1</f>
        <v>2</v>
      </c>
      <c r="B5" s="9" t="s">
        <v>12</v>
      </c>
      <c r="C5" s="10" t="s">
        <v>13</v>
      </c>
      <c r="D5" s="11">
        <f t="shared" ref="D5:D68" ca="1" si="0">IFERROR(INDIRECT(CONCATENATE("'",C5,"'!B1")),0)</f>
        <v>0</v>
      </c>
      <c r="E5" s="11">
        <f t="shared" ref="E5:E68" ca="1" si="1">IFERROR(INDIRECT(CONCATENATE("'",C5,"'!B2")),0)</f>
        <v>0</v>
      </c>
      <c r="F5" s="11" t="str">
        <f t="shared" ref="F5:F68" ca="1" si="2">IF(D5=0,"",CONCATENATE("'",$C5,"'!",ADDRESS($D$1,1,1),":",ADDRESS($D5,1,1)))</f>
        <v/>
      </c>
      <c r="G5" s="11" t="str">
        <f t="shared" ref="G5:G68" ca="1" si="3">IF(D5=0,"",CONCATENATE("'",C5,"'!",ADDRESS(4,$E$1,1),":",ADDRESS(4,$E5,1)))</f>
        <v/>
      </c>
      <c r="H5" s="11" t="str">
        <f t="shared" ref="H5:H68" ca="1" si="4">IF(D5=0,"",CONCATENATE("'",C5,"'!",ADDRESS($D$1,$E$1,1),":",ADDRESS($D5,$E5,1)))</f>
        <v/>
      </c>
      <c r="K5" s="12"/>
      <c r="L5" s="13" t="s">
        <v>14</v>
      </c>
    </row>
    <row r="6" spans="1:12" ht="14.5">
      <c r="A6" s="8">
        <f t="shared" ref="A6:A69" si="5">A5+1</f>
        <v>3</v>
      </c>
      <c r="B6" s="9" t="s">
        <v>15</v>
      </c>
      <c r="C6" s="10" t="s">
        <v>13</v>
      </c>
      <c r="D6" s="11">
        <f t="shared" ca="1" si="0"/>
        <v>0</v>
      </c>
      <c r="E6" s="11">
        <f t="shared" ca="1" si="1"/>
        <v>0</v>
      </c>
      <c r="F6" s="11" t="str">
        <f t="shared" ca="1" si="2"/>
        <v/>
      </c>
      <c r="G6" s="11" t="str">
        <f t="shared" ca="1" si="3"/>
        <v/>
      </c>
      <c r="H6" s="11" t="str">
        <f t="shared" ca="1" si="4"/>
        <v/>
      </c>
      <c r="K6" s="12"/>
      <c r="L6" s="12"/>
    </row>
    <row r="7" spans="1:12" ht="14.5">
      <c r="A7" s="8">
        <f t="shared" si="5"/>
        <v>4</v>
      </c>
      <c r="B7" s="9" t="s">
        <v>16</v>
      </c>
      <c r="C7" s="10" t="s">
        <v>13</v>
      </c>
      <c r="D7" s="11">
        <f t="shared" ca="1" si="0"/>
        <v>0</v>
      </c>
      <c r="E7" s="11">
        <f t="shared" ca="1" si="1"/>
        <v>0</v>
      </c>
      <c r="F7" s="11" t="str">
        <f t="shared" ca="1" si="2"/>
        <v/>
      </c>
      <c r="G7" s="11" t="str">
        <f t="shared" ca="1" si="3"/>
        <v/>
      </c>
      <c r="H7" s="11" t="str">
        <f t="shared" ca="1" si="4"/>
        <v/>
      </c>
      <c r="K7" s="12"/>
      <c r="L7" s="12"/>
    </row>
    <row r="8" spans="1:12" ht="14.5">
      <c r="A8" s="8">
        <f t="shared" si="5"/>
        <v>5</v>
      </c>
      <c r="B8" s="9" t="s">
        <v>17</v>
      </c>
      <c r="C8" s="10" t="s">
        <v>13</v>
      </c>
      <c r="D8" s="11">
        <f t="shared" ca="1" si="0"/>
        <v>0</v>
      </c>
      <c r="E8" s="11">
        <f t="shared" ca="1" si="1"/>
        <v>0</v>
      </c>
      <c r="F8" s="11" t="str">
        <f t="shared" ca="1" si="2"/>
        <v/>
      </c>
      <c r="G8" s="11" t="str">
        <f t="shared" ca="1" si="3"/>
        <v/>
      </c>
      <c r="H8" s="11" t="str">
        <f t="shared" ca="1" si="4"/>
        <v/>
      </c>
      <c r="K8" s="12"/>
      <c r="L8" s="12"/>
    </row>
    <row r="9" spans="1:12" ht="14.5">
      <c r="A9" s="8">
        <f t="shared" si="5"/>
        <v>6</v>
      </c>
      <c r="B9" s="9" t="s">
        <v>18</v>
      </c>
      <c r="C9" s="10" t="s">
        <v>13</v>
      </c>
      <c r="D9" s="11">
        <f t="shared" ca="1" si="0"/>
        <v>0</v>
      </c>
      <c r="E9" s="11">
        <f t="shared" ca="1" si="1"/>
        <v>0</v>
      </c>
      <c r="F9" s="11" t="str">
        <f t="shared" ca="1" si="2"/>
        <v/>
      </c>
      <c r="G9" s="11" t="str">
        <f t="shared" ca="1" si="3"/>
        <v/>
      </c>
      <c r="H9" s="11" t="str">
        <f t="shared" ca="1" si="4"/>
        <v/>
      </c>
      <c r="K9" s="12"/>
      <c r="L9" s="12"/>
    </row>
    <row r="10" spans="1:12" ht="14.5">
      <c r="A10" s="8">
        <f t="shared" si="5"/>
        <v>7</v>
      </c>
      <c r="B10" s="9" t="s">
        <v>19</v>
      </c>
      <c r="C10" s="10" t="s">
        <v>13</v>
      </c>
      <c r="D10" s="11">
        <f t="shared" ca="1" si="0"/>
        <v>0</v>
      </c>
      <c r="E10" s="11">
        <f t="shared" ca="1" si="1"/>
        <v>0</v>
      </c>
      <c r="F10" s="11" t="str">
        <f t="shared" ca="1" si="2"/>
        <v/>
      </c>
      <c r="G10" s="11" t="str">
        <f t="shared" ca="1" si="3"/>
        <v/>
      </c>
      <c r="H10" s="11" t="str">
        <f t="shared" ca="1" si="4"/>
        <v/>
      </c>
      <c r="K10" s="12"/>
      <c r="L10" s="12"/>
    </row>
    <row r="11" spans="1:12" ht="14.5">
      <c r="A11" s="8">
        <f t="shared" si="5"/>
        <v>8</v>
      </c>
      <c r="B11" s="9" t="s">
        <v>20</v>
      </c>
      <c r="C11" s="10" t="s">
        <v>13</v>
      </c>
      <c r="D11" s="11">
        <f t="shared" ca="1" si="0"/>
        <v>0</v>
      </c>
      <c r="E11" s="11">
        <f t="shared" ca="1" si="1"/>
        <v>0</v>
      </c>
      <c r="F11" s="11" t="str">
        <f ca="1">IF(D11=0,"",CONCATENATE("'",$C11,"'!",ADDRESS($D$1,1,1),":",ADDRESS($D11,1,1)))</f>
        <v/>
      </c>
      <c r="G11" s="11" t="str">
        <f ca="1">IF(D11=0,"",CONCATENATE("'",C11,"'!",ADDRESS(4,$E$1,1),":",ADDRESS(4,$E11,1)))</f>
        <v/>
      </c>
      <c r="H11" s="11" t="str">
        <f ca="1">IF(D11=0,"",CONCATENATE("'",C11,"'!",ADDRESS($D$1,$E$1,1),":",ADDRESS($D11,$E11,1)))</f>
        <v/>
      </c>
      <c r="K11" s="12"/>
      <c r="L11" s="12"/>
    </row>
    <row r="12" spans="1:12" ht="14.5">
      <c r="A12" s="8">
        <f t="shared" si="5"/>
        <v>9</v>
      </c>
      <c r="B12" s="9" t="s">
        <v>21</v>
      </c>
      <c r="C12" s="10" t="s">
        <v>13</v>
      </c>
      <c r="D12" s="11">
        <f t="shared" ca="1" si="0"/>
        <v>0</v>
      </c>
      <c r="E12" s="11">
        <f t="shared" ca="1" si="1"/>
        <v>0</v>
      </c>
      <c r="F12" s="11" t="str">
        <f ca="1">IF(D12=0,"",CONCATENATE("'",$C12,"'!",ADDRESS($D$1,1,1),":",ADDRESS($D12,1,1)))</f>
        <v/>
      </c>
      <c r="G12" s="11" t="str">
        <f ca="1">IF(D12=0,"",CONCATENATE("'",C12,"'!",ADDRESS(4,$E$1,1),":",ADDRESS(4,$E12,1)))</f>
        <v/>
      </c>
      <c r="H12" s="11" t="str">
        <f ca="1">IF(D12=0,"",CONCATENATE("'",C12,"'!",ADDRESS($D$1,$E$1,1),":",ADDRESS($D12,$E12,1)))</f>
        <v/>
      </c>
      <c r="K12" s="12"/>
      <c r="L12" s="12"/>
    </row>
    <row r="13" spans="1:12" ht="14.5">
      <c r="A13" s="8">
        <f t="shared" si="5"/>
        <v>10</v>
      </c>
      <c r="B13" s="9" t="s">
        <v>22</v>
      </c>
      <c r="C13" s="10" t="s">
        <v>13</v>
      </c>
      <c r="D13" s="11">
        <f t="shared" ca="1" si="0"/>
        <v>0</v>
      </c>
      <c r="E13" s="11">
        <f t="shared" ca="1" si="1"/>
        <v>0</v>
      </c>
      <c r="F13" s="11" t="str">
        <f ca="1">IF(D13=0,"",CONCATENATE("'",$C13,"'!",ADDRESS($D$1,1,1),":",ADDRESS($D13,1,1)))</f>
        <v/>
      </c>
      <c r="G13" s="11" t="str">
        <f ca="1">IF(D13=0,"",CONCATENATE("'",C13,"'!",ADDRESS(4,$E$1,1),":",ADDRESS(4,$E13,1)))</f>
        <v/>
      </c>
      <c r="H13" s="11" t="str">
        <f ca="1">IF(D13=0,"",CONCATENATE("'",C13,"'!",ADDRESS($D$1,$E$1,1),":",ADDRESS($D13,$E13,1)))</f>
        <v/>
      </c>
      <c r="K13" s="12"/>
      <c r="L13" s="12"/>
    </row>
    <row r="14" spans="1:12" ht="14.5">
      <c r="A14" s="8">
        <f t="shared" si="5"/>
        <v>11</v>
      </c>
      <c r="B14" s="9" t="s">
        <v>23</v>
      </c>
      <c r="C14" s="10" t="s">
        <v>13</v>
      </c>
      <c r="D14" s="11">
        <f t="shared" ca="1" si="0"/>
        <v>0</v>
      </c>
      <c r="E14" s="11">
        <f t="shared" ca="1" si="1"/>
        <v>0</v>
      </c>
      <c r="F14" s="11" t="str">
        <f t="shared" ca="1" si="2"/>
        <v/>
      </c>
      <c r="G14" s="11" t="str">
        <f t="shared" ca="1" si="3"/>
        <v/>
      </c>
      <c r="H14" s="11" t="str">
        <f t="shared" ca="1" si="4"/>
        <v/>
      </c>
      <c r="K14" s="12"/>
      <c r="L14" s="12"/>
    </row>
    <row r="15" spans="1:12" ht="14.5">
      <c r="A15" s="8">
        <f t="shared" si="5"/>
        <v>12</v>
      </c>
      <c r="B15" s="9" t="s">
        <v>24</v>
      </c>
      <c r="C15" s="10" t="s">
        <v>13</v>
      </c>
      <c r="D15" s="11">
        <f t="shared" ca="1" si="0"/>
        <v>0</v>
      </c>
      <c r="E15" s="11">
        <f t="shared" ca="1" si="1"/>
        <v>0</v>
      </c>
      <c r="F15" s="11" t="str">
        <f t="shared" ca="1" si="2"/>
        <v/>
      </c>
      <c r="G15" s="11" t="str">
        <f t="shared" ca="1" si="3"/>
        <v/>
      </c>
      <c r="H15" s="11" t="str">
        <f t="shared" ca="1" si="4"/>
        <v/>
      </c>
      <c r="K15" s="12"/>
      <c r="L15" s="12"/>
    </row>
    <row r="16" spans="1:12" ht="14.5">
      <c r="A16" s="8">
        <f t="shared" si="5"/>
        <v>13</v>
      </c>
      <c r="B16" s="9" t="s">
        <v>25</v>
      </c>
      <c r="C16" s="10" t="s">
        <v>13</v>
      </c>
      <c r="D16" s="11">
        <f t="shared" ca="1" si="0"/>
        <v>0</v>
      </c>
      <c r="E16" s="11">
        <f t="shared" ca="1" si="1"/>
        <v>0</v>
      </c>
      <c r="F16" s="11" t="str">
        <f t="shared" ca="1" si="2"/>
        <v/>
      </c>
      <c r="G16" s="11" t="str">
        <f t="shared" ca="1" si="3"/>
        <v/>
      </c>
      <c r="H16" s="11" t="str">
        <f t="shared" ca="1" si="4"/>
        <v/>
      </c>
      <c r="K16" s="12"/>
      <c r="L16" s="12"/>
    </row>
    <row r="17" spans="1:12" ht="14.5">
      <c r="A17" s="8">
        <f t="shared" si="5"/>
        <v>14</v>
      </c>
      <c r="B17" s="9" t="s">
        <v>26</v>
      </c>
      <c r="C17" s="10" t="s">
        <v>13</v>
      </c>
      <c r="D17" s="11">
        <f t="shared" ca="1" si="0"/>
        <v>0</v>
      </c>
      <c r="E17" s="11">
        <f t="shared" ca="1" si="1"/>
        <v>0</v>
      </c>
      <c r="F17" s="11" t="str">
        <f t="shared" ca="1" si="2"/>
        <v/>
      </c>
      <c r="G17" s="11" t="str">
        <f t="shared" ca="1" si="3"/>
        <v/>
      </c>
      <c r="H17" s="11" t="str">
        <f t="shared" ca="1" si="4"/>
        <v/>
      </c>
      <c r="K17" s="12"/>
      <c r="L17" s="12"/>
    </row>
    <row r="18" spans="1:12" ht="14.5">
      <c r="A18" s="8">
        <f t="shared" si="5"/>
        <v>15</v>
      </c>
      <c r="B18" s="9" t="s">
        <v>27</v>
      </c>
      <c r="C18" s="10" t="s">
        <v>13</v>
      </c>
      <c r="D18" s="11">
        <f t="shared" ca="1" si="0"/>
        <v>0</v>
      </c>
      <c r="E18" s="11">
        <f t="shared" ca="1" si="1"/>
        <v>0</v>
      </c>
      <c r="F18" s="11" t="str">
        <f t="shared" ca="1" si="2"/>
        <v/>
      </c>
      <c r="G18" s="11" t="str">
        <f t="shared" ca="1" si="3"/>
        <v/>
      </c>
      <c r="H18" s="11" t="str">
        <f t="shared" ca="1" si="4"/>
        <v/>
      </c>
      <c r="K18" s="12"/>
      <c r="L18" s="12"/>
    </row>
    <row r="19" spans="1:12" ht="14.5">
      <c r="A19" s="8">
        <f t="shared" si="5"/>
        <v>16</v>
      </c>
      <c r="B19" s="9" t="s">
        <v>28</v>
      </c>
      <c r="C19" s="10" t="s">
        <v>29</v>
      </c>
      <c r="D19" s="11">
        <f t="shared" ca="1" si="0"/>
        <v>0</v>
      </c>
      <c r="E19" s="11">
        <f t="shared" ca="1" si="1"/>
        <v>0</v>
      </c>
      <c r="F19" s="11" t="str">
        <f t="shared" ca="1" si="2"/>
        <v/>
      </c>
      <c r="G19" s="11" t="str">
        <f t="shared" ca="1" si="3"/>
        <v/>
      </c>
      <c r="H19" s="11" t="str">
        <f t="shared" ca="1" si="4"/>
        <v/>
      </c>
      <c r="K19" s="12"/>
      <c r="L19" s="12"/>
    </row>
    <row r="20" spans="1:12" ht="14.5">
      <c r="A20" s="8">
        <f t="shared" si="5"/>
        <v>17</v>
      </c>
      <c r="B20" s="9" t="s">
        <v>30</v>
      </c>
      <c r="C20" s="10" t="s">
        <v>29</v>
      </c>
      <c r="D20" s="11">
        <f t="shared" ca="1" si="0"/>
        <v>0</v>
      </c>
      <c r="E20" s="11">
        <f t="shared" ca="1" si="1"/>
        <v>0</v>
      </c>
      <c r="F20" s="11" t="str">
        <f t="shared" ca="1" si="2"/>
        <v/>
      </c>
      <c r="G20" s="11" t="str">
        <f t="shared" ca="1" si="3"/>
        <v/>
      </c>
      <c r="H20" s="11" t="str">
        <f t="shared" ca="1" si="4"/>
        <v/>
      </c>
      <c r="K20" s="12"/>
      <c r="L20" s="12"/>
    </row>
    <row r="21" spans="1:12" ht="14.5">
      <c r="A21" s="8">
        <f t="shared" si="5"/>
        <v>18</v>
      </c>
      <c r="B21" s="9" t="s">
        <v>31</v>
      </c>
      <c r="C21" s="10" t="s">
        <v>29</v>
      </c>
      <c r="D21" s="11">
        <f t="shared" ca="1" si="0"/>
        <v>0</v>
      </c>
      <c r="E21" s="11">
        <f t="shared" ca="1" si="1"/>
        <v>0</v>
      </c>
      <c r="F21" s="11" t="str">
        <f t="shared" ca="1" si="2"/>
        <v/>
      </c>
      <c r="G21" s="11" t="str">
        <f t="shared" ca="1" si="3"/>
        <v/>
      </c>
      <c r="H21" s="11" t="str">
        <f t="shared" ca="1" si="4"/>
        <v/>
      </c>
      <c r="K21" s="12"/>
      <c r="L21" s="12"/>
    </row>
    <row r="22" spans="1:12" ht="14.5">
      <c r="A22" s="8">
        <f t="shared" si="5"/>
        <v>19</v>
      </c>
      <c r="B22" s="9" t="s">
        <v>32</v>
      </c>
      <c r="C22" s="10" t="s">
        <v>29</v>
      </c>
      <c r="D22" s="11">
        <f t="shared" ca="1" si="0"/>
        <v>0</v>
      </c>
      <c r="E22" s="11">
        <f t="shared" ca="1" si="1"/>
        <v>0</v>
      </c>
      <c r="F22" s="11" t="str">
        <f t="shared" ca="1" si="2"/>
        <v/>
      </c>
      <c r="G22" s="11" t="str">
        <f t="shared" ca="1" si="3"/>
        <v/>
      </c>
      <c r="H22" s="11" t="str">
        <f t="shared" ca="1" si="4"/>
        <v/>
      </c>
      <c r="K22" s="12"/>
      <c r="L22" s="12"/>
    </row>
    <row r="23" spans="1:12" ht="14.5">
      <c r="A23" s="8">
        <f t="shared" si="5"/>
        <v>20</v>
      </c>
      <c r="B23" s="9" t="s">
        <v>33</v>
      </c>
      <c r="C23" s="10" t="s">
        <v>34</v>
      </c>
      <c r="D23" s="11">
        <f t="shared" ca="1" si="0"/>
        <v>0</v>
      </c>
      <c r="E23" s="11">
        <f t="shared" ca="1" si="1"/>
        <v>0</v>
      </c>
      <c r="F23" s="11" t="str">
        <f t="shared" ca="1" si="2"/>
        <v/>
      </c>
      <c r="G23" s="11" t="str">
        <f t="shared" ca="1" si="3"/>
        <v/>
      </c>
      <c r="H23" s="11" t="str">
        <f t="shared" ca="1" si="4"/>
        <v/>
      </c>
      <c r="K23" s="12"/>
      <c r="L23" s="12"/>
    </row>
    <row r="24" spans="1:12" ht="14.5">
      <c r="A24" s="8">
        <f t="shared" si="5"/>
        <v>21</v>
      </c>
      <c r="B24" s="9" t="s">
        <v>35</v>
      </c>
      <c r="C24" s="10" t="s">
        <v>34</v>
      </c>
      <c r="D24" s="11">
        <f t="shared" ca="1" si="0"/>
        <v>0</v>
      </c>
      <c r="E24" s="11">
        <f t="shared" ca="1" si="1"/>
        <v>0</v>
      </c>
      <c r="F24" s="11" t="str">
        <f t="shared" ca="1" si="2"/>
        <v/>
      </c>
      <c r="G24" s="11" t="str">
        <f t="shared" ca="1" si="3"/>
        <v/>
      </c>
      <c r="H24" s="11" t="str">
        <f t="shared" ca="1" si="4"/>
        <v/>
      </c>
      <c r="K24" s="12"/>
      <c r="L24" s="12"/>
    </row>
    <row r="25" spans="1:12" ht="14.5">
      <c r="A25" s="8">
        <f t="shared" si="5"/>
        <v>22</v>
      </c>
      <c r="B25" s="9" t="s">
        <v>36</v>
      </c>
      <c r="C25" s="10" t="s">
        <v>34</v>
      </c>
      <c r="D25" s="11">
        <f t="shared" ca="1" si="0"/>
        <v>0</v>
      </c>
      <c r="E25" s="11">
        <f t="shared" ca="1" si="1"/>
        <v>0</v>
      </c>
      <c r="F25" s="11" t="str">
        <f t="shared" ca="1" si="2"/>
        <v/>
      </c>
      <c r="G25" s="11" t="str">
        <f t="shared" ca="1" si="3"/>
        <v/>
      </c>
      <c r="H25" s="11" t="str">
        <f t="shared" ca="1" si="4"/>
        <v/>
      </c>
      <c r="K25" s="12"/>
      <c r="L25" s="12"/>
    </row>
    <row r="26" spans="1:12" ht="14.5">
      <c r="A26" s="8">
        <f t="shared" si="5"/>
        <v>23</v>
      </c>
      <c r="B26" s="9" t="s">
        <v>37</v>
      </c>
      <c r="C26" s="10" t="s">
        <v>34</v>
      </c>
      <c r="D26" s="11">
        <f t="shared" ca="1" si="0"/>
        <v>0</v>
      </c>
      <c r="E26" s="11">
        <f t="shared" ca="1" si="1"/>
        <v>0</v>
      </c>
      <c r="F26" s="11" t="str">
        <f t="shared" ca="1" si="2"/>
        <v/>
      </c>
      <c r="G26" s="11" t="str">
        <f t="shared" ca="1" si="3"/>
        <v/>
      </c>
      <c r="H26" s="11" t="str">
        <f t="shared" ca="1" si="4"/>
        <v/>
      </c>
      <c r="K26" s="12"/>
      <c r="L26" s="12"/>
    </row>
    <row r="27" spans="1:12" ht="14.5">
      <c r="A27" s="8">
        <f t="shared" si="5"/>
        <v>24</v>
      </c>
      <c r="B27" s="9" t="s">
        <v>38</v>
      </c>
      <c r="C27" s="10" t="s">
        <v>39</v>
      </c>
      <c r="D27" s="11">
        <f t="shared" ca="1" si="0"/>
        <v>0</v>
      </c>
      <c r="E27" s="11">
        <f t="shared" ca="1" si="1"/>
        <v>0</v>
      </c>
      <c r="F27" s="11" t="str">
        <f t="shared" ca="1" si="2"/>
        <v/>
      </c>
      <c r="G27" s="11" t="str">
        <f t="shared" ca="1" si="3"/>
        <v/>
      </c>
      <c r="H27" s="11" t="str">
        <f t="shared" ca="1" si="4"/>
        <v/>
      </c>
      <c r="K27" s="12"/>
      <c r="L27" s="12"/>
    </row>
    <row r="28" spans="1:12" ht="14.5">
      <c r="A28" s="8">
        <f t="shared" si="5"/>
        <v>25</v>
      </c>
      <c r="B28" s="9" t="s">
        <v>40</v>
      </c>
      <c r="C28" s="10" t="s">
        <v>41</v>
      </c>
      <c r="D28" s="11">
        <f t="shared" ca="1" si="0"/>
        <v>0</v>
      </c>
      <c r="E28" s="11">
        <f t="shared" ca="1" si="1"/>
        <v>0</v>
      </c>
      <c r="F28" s="11" t="str">
        <f ca="1">IF(D28=0,"",CONCATENATE("'",$C28,"'!",ADDRESS($D$1,1,1),":",ADDRESS($D28,1,1)))</f>
        <v/>
      </c>
      <c r="G28" s="11" t="str">
        <f t="shared" ca="1" si="3"/>
        <v/>
      </c>
      <c r="H28" s="11" t="str">
        <f t="shared" ca="1" si="4"/>
        <v/>
      </c>
      <c r="K28" s="12"/>
      <c r="L28" s="12"/>
    </row>
    <row r="29" spans="1:12" ht="14.5">
      <c r="A29" s="8">
        <f t="shared" si="5"/>
        <v>26</v>
      </c>
      <c r="B29" s="9" t="s">
        <v>42</v>
      </c>
      <c r="C29" s="10" t="s">
        <v>41</v>
      </c>
      <c r="D29" s="11">
        <f t="shared" ca="1" si="0"/>
        <v>0</v>
      </c>
      <c r="E29" s="11">
        <f t="shared" ca="1" si="1"/>
        <v>0</v>
      </c>
      <c r="F29" s="11" t="str">
        <f t="shared" ca="1" si="2"/>
        <v/>
      </c>
      <c r="G29" s="11" t="str">
        <f t="shared" ca="1" si="3"/>
        <v/>
      </c>
      <c r="H29" s="11" t="str">
        <f t="shared" ca="1" si="4"/>
        <v/>
      </c>
      <c r="K29" s="12"/>
      <c r="L29" s="12"/>
    </row>
    <row r="30" spans="1:12" ht="14.5">
      <c r="A30" s="8">
        <f t="shared" si="5"/>
        <v>27</v>
      </c>
      <c r="B30" s="9" t="s">
        <v>43</v>
      </c>
      <c r="C30" s="10" t="s">
        <v>41</v>
      </c>
      <c r="D30" s="11">
        <f t="shared" ca="1" si="0"/>
        <v>0</v>
      </c>
      <c r="E30" s="11">
        <f t="shared" ca="1" si="1"/>
        <v>0</v>
      </c>
      <c r="F30" s="11" t="str">
        <f t="shared" ca="1" si="2"/>
        <v/>
      </c>
      <c r="G30" s="11" t="str">
        <f t="shared" ca="1" si="3"/>
        <v/>
      </c>
      <c r="H30" s="11" t="str">
        <f t="shared" ca="1" si="4"/>
        <v/>
      </c>
      <c r="K30" s="12"/>
      <c r="L30" s="12"/>
    </row>
    <row r="31" spans="1:12" ht="14.5">
      <c r="A31" s="8">
        <f t="shared" si="5"/>
        <v>28</v>
      </c>
      <c r="B31" s="9" t="s">
        <v>44</v>
      </c>
      <c r="C31" s="10" t="s">
        <v>41</v>
      </c>
      <c r="D31" s="11">
        <f t="shared" ca="1" si="0"/>
        <v>0</v>
      </c>
      <c r="E31" s="11">
        <f t="shared" ca="1" si="1"/>
        <v>0</v>
      </c>
      <c r="F31" s="11" t="str">
        <f t="shared" ca="1" si="2"/>
        <v/>
      </c>
      <c r="G31" s="11" t="str">
        <f t="shared" ca="1" si="3"/>
        <v/>
      </c>
      <c r="H31" s="11" t="str">
        <f t="shared" ca="1" si="4"/>
        <v/>
      </c>
    </row>
    <row r="32" spans="1:12" ht="14.5">
      <c r="A32" s="8">
        <f t="shared" si="5"/>
        <v>29</v>
      </c>
      <c r="B32" s="9" t="s">
        <v>45</v>
      </c>
      <c r="C32" s="10" t="s">
        <v>41</v>
      </c>
      <c r="D32" s="11">
        <f t="shared" ca="1" si="0"/>
        <v>0</v>
      </c>
      <c r="E32" s="11">
        <f t="shared" ca="1" si="1"/>
        <v>0</v>
      </c>
      <c r="F32" s="11" t="str">
        <f t="shared" ca="1" si="2"/>
        <v/>
      </c>
      <c r="G32" s="11" t="str">
        <f t="shared" ca="1" si="3"/>
        <v/>
      </c>
      <c r="H32" s="11" t="str">
        <f t="shared" ca="1" si="4"/>
        <v/>
      </c>
    </row>
    <row r="33" spans="1:12" ht="14.5">
      <c r="A33" s="8">
        <f t="shared" si="5"/>
        <v>30</v>
      </c>
      <c r="B33" s="9" t="s">
        <v>46</v>
      </c>
      <c r="C33" s="10" t="s">
        <v>41</v>
      </c>
      <c r="D33" s="11">
        <f t="shared" ca="1" si="0"/>
        <v>0</v>
      </c>
      <c r="E33" s="11">
        <f t="shared" ca="1" si="1"/>
        <v>0</v>
      </c>
      <c r="F33" s="11" t="str">
        <f t="shared" ca="1" si="2"/>
        <v/>
      </c>
      <c r="G33" s="11" t="str">
        <f t="shared" ca="1" si="3"/>
        <v/>
      </c>
      <c r="H33" s="11" t="str">
        <f t="shared" ca="1" si="4"/>
        <v/>
      </c>
    </row>
    <row r="34" spans="1:12" ht="14.5">
      <c r="A34" s="8">
        <f t="shared" si="5"/>
        <v>31</v>
      </c>
      <c r="B34" s="9" t="s">
        <v>47</v>
      </c>
      <c r="C34" s="10" t="s">
        <v>41</v>
      </c>
      <c r="D34" s="11">
        <f t="shared" ca="1" si="0"/>
        <v>0</v>
      </c>
      <c r="E34" s="11">
        <f t="shared" ca="1" si="1"/>
        <v>0</v>
      </c>
      <c r="F34" s="11" t="str">
        <f t="shared" ca="1" si="2"/>
        <v/>
      </c>
      <c r="G34" s="11" t="str">
        <f t="shared" ca="1" si="3"/>
        <v/>
      </c>
      <c r="H34" s="11" t="str">
        <f t="shared" ca="1" si="4"/>
        <v/>
      </c>
    </row>
    <row r="35" spans="1:12" ht="14.5">
      <c r="A35" s="8">
        <f t="shared" si="5"/>
        <v>32</v>
      </c>
      <c r="B35" s="9" t="s">
        <v>48</v>
      </c>
      <c r="C35" s="10" t="s">
        <v>41</v>
      </c>
      <c r="D35" s="11">
        <f t="shared" ca="1" si="0"/>
        <v>0</v>
      </c>
      <c r="E35" s="11">
        <f t="shared" ca="1" si="1"/>
        <v>0</v>
      </c>
      <c r="F35" s="11" t="str">
        <f t="shared" ca="1" si="2"/>
        <v/>
      </c>
      <c r="G35" s="11" t="str">
        <f t="shared" ca="1" si="3"/>
        <v/>
      </c>
      <c r="H35" s="11" t="str">
        <f t="shared" ca="1" si="4"/>
        <v/>
      </c>
    </row>
    <row r="36" spans="1:12" ht="14.5">
      <c r="A36" s="8">
        <f t="shared" si="5"/>
        <v>33</v>
      </c>
      <c r="B36" s="9" t="s">
        <v>49</v>
      </c>
      <c r="C36" s="10" t="s">
        <v>41</v>
      </c>
      <c r="D36" s="11">
        <f t="shared" ca="1" si="0"/>
        <v>0</v>
      </c>
      <c r="E36" s="11">
        <f t="shared" ca="1" si="1"/>
        <v>0</v>
      </c>
      <c r="F36" s="11" t="str">
        <f t="shared" ca="1" si="2"/>
        <v/>
      </c>
      <c r="G36" s="11" t="str">
        <f t="shared" ca="1" si="3"/>
        <v/>
      </c>
      <c r="H36" s="11" t="str">
        <f t="shared" ca="1" si="4"/>
        <v/>
      </c>
    </row>
    <row r="37" spans="1:12" ht="14.5">
      <c r="A37" s="8">
        <f t="shared" si="5"/>
        <v>34</v>
      </c>
      <c r="B37" s="9" t="s">
        <v>50</v>
      </c>
      <c r="C37" s="10" t="s">
        <v>51</v>
      </c>
      <c r="D37" s="11">
        <f ca="1">IFERROR(INDIRECT(CONCATENATE("'",C37,"'!B1")),0)</f>
        <v>0</v>
      </c>
      <c r="E37" s="11">
        <f ca="1">IFERROR(INDIRECT(CONCATENATE("'",C37,"'!B2")),0)</f>
        <v>0</v>
      </c>
      <c r="F37" s="11" t="str">
        <f ca="1">IF(D37=0,"",CONCATENATE("'",$C37,"'!",ADDRESS($D$1,1,1),":",ADDRESS($D37,1,1)))</f>
        <v/>
      </c>
      <c r="G37" s="11" t="str">
        <f ca="1">IF(D37=0,"",CONCATENATE("'",C37,"'!",ADDRESS(4,$E$1,1),":",ADDRESS(4,$E37,1)))</f>
        <v/>
      </c>
      <c r="H37" s="11" t="str">
        <f ca="1">IF(D37=0,"",CONCATENATE("'",C37,"'!",ADDRESS($D$1,$E$1,1),":",ADDRESS($D37,$E37,1)))</f>
        <v/>
      </c>
    </row>
    <row r="38" spans="1:12" ht="14.5">
      <c r="A38" s="8">
        <f t="shared" si="5"/>
        <v>35</v>
      </c>
      <c r="B38" s="9" t="s">
        <v>52</v>
      </c>
      <c r="C38" s="10" t="s">
        <v>51</v>
      </c>
      <c r="D38" s="11">
        <f t="shared" ca="1" si="0"/>
        <v>0</v>
      </c>
      <c r="E38" s="11">
        <f t="shared" ca="1" si="1"/>
        <v>0</v>
      </c>
      <c r="F38" s="11" t="str">
        <f t="shared" ca="1" si="2"/>
        <v/>
      </c>
      <c r="G38" s="11" t="str">
        <f t="shared" ca="1" si="3"/>
        <v/>
      </c>
      <c r="H38" s="11" t="str">
        <f t="shared" ca="1" si="4"/>
        <v/>
      </c>
    </row>
    <row r="39" spans="1:12" ht="14.5">
      <c r="A39" s="8">
        <f t="shared" si="5"/>
        <v>36</v>
      </c>
      <c r="B39" s="9" t="s">
        <v>53</v>
      </c>
      <c r="C39" s="10" t="s">
        <v>54</v>
      </c>
      <c r="D39" s="11">
        <f t="shared" ca="1" si="0"/>
        <v>0</v>
      </c>
      <c r="E39" s="11">
        <f t="shared" ca="1" si="1"/>
        <v>0</v>
      </c>
      <c r="F39" s="11" t="str">
        <f t="shared" ca="1" si="2"/>
        <v/>
      </c>
      <c r="G39" s="11" t="str">
        <f t="shared" ca="1" si="3"/>
        <v/>
      </c>
      <c r="H39" s="11" t="str">
        <f t="shared" ca="1" si="4"/>
        <v/>
      </c>
      <c r="K39" s="14"/>
      <c r="L39" s="14"/>
    </row>
    <row r="40" spans="1:12" ht="14.5">
      <c r="A40" s="8">
        <f t="shared" si="5"/>
        <v>37</v>
      </c>
      <c r="B40" s="9" t="s">
        <v>55</v>
      </c>
      <c r="C40" s="10" t="s">
        <v>54</v>
      </c>
      <c r="D40" s="11">
        <f t="shared" ca="1" si="0"/>
        <v>0</v>
      </c>
      <c r="E40" s="11">
        <f t="shared" ca="1" si="1"/>
        <v>0</v>
      </c>
      <c r="F40" s="11" t="str">
        <f t="shared" ca="1" si="2"/>
        <v/>
      </c>
      <c r="G40" s="11" t="str">
        <f t="shared" ca="1" si="3"/>
        <v/>
      </c>
      <c r="H40" s="11" t="str">
        <f t="shared" ca="1" si="4"/>
        <v/>
      </c>
      <c r="K40" s="14"/>
      <c r="L40" s="14"/>
    </row>
    <row r="41" spans="1:12" ht="14.5">
      <c r="A41" s="8">
        <f t="shared" si="5"/>
        <v>38</v>
      </c>
      <c r="B41" s="9" t="s">
        <v>56</v>
      </c>
      <c r="C41" s="10" t="s">
        <v>57</v>
      </c>
      <c r="D41" s="11">
        <f t="shared" ca="1" si="0"/>
        <v>0</v>
      </c>
      <c r="E41" s="11">
        <f t="shared" ca="1" si="1"/>
        <v>0</v>
      </c>
      <c r="F41" s="11" t="str">
        <f t="shared" ca="1" si="2"/>
        <v/>
      </c>
      <c r="G41" s="11" t="str">
        <f t="shared" ca="1" si="3"/>
        <v/>
      </c>
      <c r="H41" s="11" t="str">
        <f t="shared" ca="1" si="4"/>
        <v/>
      </c>
      <c r="K41" s="14"/>
      <c r="L41" s="14"/>
    </row>
    <row r="42" spans="1:12" ht="14.5">
      <c r="A42" s="8">
        <f t="shared" si="5"/>
        <v>39</v>
      </c>
      <c r="B42" s="9" t="s">
        <v>58</v>
      </c>
      <c r="C42" s="10" t="s">
        <v>57</v>
      </c>
      <c r="D42" s="11">
        <f t="shared" ca="1" si="0"/>
        <v>0</v>
      </c>
      <c r="E42" s="11">
        <f t="shared" ca="1" si="1"/>
        <v>0</v>
      </c>
      <c r="F42" s="11" t="str">
        <f t="shared" ca="1" si="2"/>
        <v/>
      </c>
      <c r="G42" s="11" t="str">
        <f t="shared" ca="1" si="3"/>
        <v/>
      </c>
      <c r="H42" s="11" t="str">
        <f t="shared" ca="1" si="4"/>
        <v/>
      </c>
      <c r="K42" s="14"/>
      <c r="L42" s="14"/>
    </row>
    <row r="43" spans="1:12" ht="14.5">
      <c r="A43" s="8">
        <f t="shared" si="5"/>
        <v>40</v>
      </c>
      <c r="B43" s="9" t="s">
        <v>59</v>
      </c>
      <c r="C43" s="10" t="s">
        <v>57</v>
      </c>
      <c r="D43" s="11">
        <f t="shared" ca="1" si="0"/>
        <v>0</v>
      </c>
      <c r="E43" s="11">
        <f t="shared" ca="1" si="1"/>
        <v>0</v>
      </c>
      <c r="F43" s="11" t="str">
        <f t="shared" ca="1" si="2"/>
        <v/>
      </c>
      <c r="G43" s="11" t="str">
        <f t="shared" ca="1" si="3"/>
        <v/>
      </c>
      <c r="H43" s="11" t="str">
        <f t="shared" ca="1" si="4"/>
        <v/>
      </c>
      <c r="K43" s="14"/>
      <c r="L43" s="14"/>
    </row>
    <row r="44" spans="1:12" ht="14.5">
      <c r="A44" s="8">
        <f t="shared" si="5"/>
        <v>41</v>
      </c>
      <c r="B44" s="9" t="s">
        <v>60</v>
      </c>
      <c r="C44" s="10" t="s">
        <v>61</v>
      </c>
      <c r="D44" s="11">
        <f t="shared" ca="1" si="0"/>
        <v>0</v>
      </c>
      <c r="E44" s="11">
        <f t="shared" ca="1" si="1"/>
        <v>0</v>
      </c>
      <c r="F44" s="11" t="str">
        <f t="shared" ca="1" si="2"/>
        <v/>
      </c>
      <c r="G44" s="11" t="str">
        <f t="shared" ca="1" si="3"/>
        <v/>
      </c>
      <c r="H44" s="11" t="str">
        <f t="shared" ca="1" si="4"/>
        <v/>
      </c>
      <c r="K44" s="14"/>
      <c r="L44" s="14"/>
    </row>
    <row r="45" spans="1:12" ht="14.5">
      <c r="A45" s="8">
        <f t="shared" si="5"/>
        <v>42</v>
      </c>
      <c r="B45" s="9" t="s">
        <v>62</v>
      </c>
      <c r="C45" s="10" t="s">
        <v>61</v>
      </c>
      <c r="D45" s="11">
        <f t="shared" ca="1" si="0"/>
        <v>0</v>
      </c>
      <c r="E45" s="11">
        <f t="shared" ca="1" si="1"/>
        <v>0</v>
      </c>
      <c r="F45" s="11" t="str">
        <f t="shared" ca="1" si="2"/>
        <v/>
      </c>
      <c r="G45" s="11" t="str">
        <f t="shared" ca="1" si="3"/>
        <v/>
      </c>
      <c r="H45" s="11" t="str">
        <f t="shared" ca="1" si="4"/>
        <v/>
      </c>
      <c r="K45" s="14"/>
      <c r="L45" s="14"/>
    </row>
    <row r="46" spans="1:12" ht="14.5">
      <c r="A46" s="8">
        <f t="shared" si="5"/>
        <v>43</v>
      </c>
      <c r="B46" s="9" t="s">
        <v>63</v>
      </c>
      <c r="C46" s="10" t="s">
        <v>61</v>
      </c>
      <c r="D46" s="11">
        <f t="shared" ca="1" si="0"/>
        <v>0</v>
      </c>
      <c r="E46" s="11">
        <f t="shared" ca="1" si="1"/>
        <v>0</v>
      </c>
      <c r="F46" s="11" t="str">
        <f t="shared" ca="1" si="2"/>
        <v/>
      </c>
      <c r="G46" s="11" t="str">
        <f t="shared" ca="1" si="3"/>
        <v/>
      </c>
      <c r="H46" s="11" t="str">
        <f t="shared" ca="1" si="4"/>
        <v/>
      </c>
      <c r="K46" s="14"/>
      <c r="L46" s="14"/>
    </row>
    <row r="47" spans="1:12" ht="14.5">
      <c r="A47" s="8">
        <f t="shared" si="5"/>
        <v>44</v>
      </c>
      <c r="B47" s="9" t="s">
        <v>64</v>
      </c>
      <c r="C47" s="10" t="s">
        <v>61</v>
      </c>
      <c r="D47" s="11">
        <f t="shared" ca="1" si="0"/>
        <v>0</v>
      </c>
      <c r="E47" s="11">
        <f t="shared" ca="1" si="1"/>
        <v>0</v>
      </c>
      <c r="F47" s="11" t="str">
        <f t="shared" ca="1" si="2"/>
        <v/>
      </c>
      <c r="G47" s="11" t="str">
        <f t="shared" ca="1" si="3"/>
        <v/>
      </c>
      <c r="H47" s="11" t="str">
        <f t="shared" ca="1" si="4"/>
        <v/>
      </c>
      <c r="K47" s="14"/>
      <c r="L47" s="14"/>
    </row>
    <row r="48" spans="1:12" ht="14.5">
      <c r="A48" s="8">
        <f t="shared" si="5"/>
        <v>45</v>
      </c>
      <c r="B48" s="9" t="s">
        <v>65</v>
      </c>
      <c r="C48" s="10" t="s">
        <v>61</v>
      </c>
      <c r="D48" s="11">
        <f t="shared" ca="1" si="0"/>
        <v>0</v>
      </c>
      <c r="E48" s="11">
        <f t="shared" ca="1" si="1"/>
        <v>0</v>
      </c>
      <c r="F48" s="11" t="str">
        <f t="shared" ca="1" si="2"/>
        <v/>
      </c>
      <c r="G48" s="11" t="str">
        <f t="shared" ca="1" si="3"/>
        <v/>
      </c>
      <c r="H48" s="11" t="str">
        <f t="shared" ca="1" si="4"/>
        <v/>
      </c>
      <c r="K48" s="14"/>
      <c r="L48" s="14"/>
    </row>
    <row r="49" spans="1:12" ht="14.5">
      <c r="A49" s="8">
        <f t="shared" si="5"/>
        <v>46</v>
      </c>
      <c r="B49" s="9" t="s">
        <v>66</v>
      </c>
      <c r="C49" s="10" t="s">
        <v>61</v>
      </c>
      <c r="D49" s="11">
        <f t="shared" ca="1" si="0"/>
        <v>0</v>
      </c>
      <c r="E49" s="11">
        <f t="shared" ca="1" si="1"/>
        <v>0</v>
      </c>
      <c r="F49" s="11" t="str">
        <f t="shared" ca="1" si="2"/>
        <v/>
      </c>
      <c r="G49" s="11" t="str">
        <f t="shared" ca="1" si="3"/>
        <v/>
      </c>
      <c r="H49" s="11" t="str">
        <f t="shared" ca="1" si="4"/>
        <v/>
      </c>
      <c r="K49" s="14"/>
      <c r="L49" s="14"/>
    </row>
    <row r="50" spans="1:12" ht="14.5">
      <c r="A50" s="8">
        <f t="shared" si="5"/>
        <v>47</v>
      </c>
      <c r="B50" s="9" t="s">
        <v>67</v>
      </c>
      <c r="C50" s="10" t="s">
        <v>61</v>
      </c>
      <c r="D50" s="11">
        <f t="shared" ca="1" si="0"/>
        <v>0</v>
      </c>
      <c r="E50" s="11">
        <f t="shared" ca="1" si="1"/>
        <v>0</v>
      </c>
      <c r="F50" s="11" t="str">
        <f t="shared" ca="1" si="2"/>
        <v/>
      </c>
      <c r="G50" s="11" t="str">
        <f t="shared" ca="1" si="3"/>
        <v/>
      </c>
      <c r="H50" s="11" t="str">
        <f t="shared" ca="1" si="4"/>
        <v/>
      </c>
      <c r="K50" s="14"/>
      <c r="L50" s="14"/>
    </row>
    <row r="51" spans="1:12" ht="14.5">
      <c r="A51" s="8">
        <f>A50+1</f>
        <v>48</v>
      </c>
      <c r="B51" s="9" t="s">
        <v>68</v>
      </c>
      <c r="C51" s="10" t="s">
        <v>61</v>
      </c>
      <c r="D51" s="11">
        <f t="shared" ca="1" si="0"/>
        <v>0</v>
      </c>
      <c r="E51" s="11">
        <f t="shared" ca="1" si="1"/>
        <v>0</v>
      </c>
      <c r="F51" s="11" t="str">
        <f t="shared" ca="1" si="2"/>
        <v/>
      </c>
      <c r="G51" s="11" t="str">
        <f t="shared" ca="1" si="3"/>
        <v/>
      </c>
      <c r="H51" s="11" t="str">
        <f t="shared" ca="1" si="4"/>
        <v/>
      </c>
      <c r="K51" s="14"/>
      <c r="L51" s="14"/>
    </row>
    <row r="52" spans="1:12" ht="14.5">
      <c r="A52" s="8">
        <f t="shared" si="5"/>
        <v>49</v>
      </c>
      <c r="B52" s="9" t="s">
        <v>69</v>
      </c>
      <c r="C52" s="10" t="s">
        <v>70</v>
      </c>
      <c r="D52" s="11">
        <f t="shared" ca="1" si="0"/>
        <v>0</v>
      </c>
      <c r="E52" s="11">
        <f t="shared" ca="1" si="1"/>
        <v>0</v>
      </c>
      <c r="F52" s="11" t="str">
        <f t="shared" ca="1" si="2"/>
        <v/>
      </c>
      <c r="G52" s="11" t="str">
        <f t="shared" ca="1" si="3"/>
        <v/>
      </c>
      <c r="H52" s="11" t="str">
        <f t="shared" ca="1" si="4"/>
        <v/>
      </c>
      <c r="K52" s="14"/>
      <c r="L52" s="14"/>
    </row>
    <row r="53" spans="1:12" ht="14.5">
      <c r="A53" s="8">
        <f t="shared" si="5"/>
        <v>50</v>
      </c>
      <c r="B53" s="9" t="s">
        <v>71</v>
      </c>
      <c r="C53" s="10" t="s">
        <v>70</v>
      </c>
      <c r="D53" s="11">
        <f t="shared" ca="1" si="0"/>
        <v>0</v>
      </c>
      <c r="E53" s="11">
        <f t="shared" ca="1" si="1"/>
        <v>0</v>
      </c>
      <c r="F53" s="11" t="str">
        <f t="shared" ca="1" si="2"/>
        <v/>
      </c>
      <c r="G53" s="11" t="str">
        <f t="shared" ca="1" si="3"/>
        <v/>
      </c>
      <c r="H53" s="11" t="str">
        <f t="shared" ca="1" si="4"/>
        <v/>
      </c>
      <c r="K53" s="14"/>
      <c r="L53" s="14"/>
    </row>
    <row r="54" spans="1:12" ht="14.5">
      <c r="A54" s="8">
        <f t="shared" si="5"/>
        <v>51</v>
      </c>
      <c r="B54" s="9" t="s">
        <v>72</v>
      </c>
      <c r="C54" s="10" t="s">
        <v>70</v>
      </c>
      <c r="D54" s="11">
        <f t="shared" ca="1" si="0"/>
        <v>0</v>
      </c>
      <c r="E54" s="11">
        <f t="shared" ca="1" si="1"/>
        <v>0</v>
      </c>
      <c r="F54" s="11" t="str">
        <f t="shared" ca="1" si="2"/>
        <v/>
      </c>
      <c r="G54" s="11" t="str">
        <f t="shared" ca="1" si="3"/>
        <v/>
      </c>
      <c r="H54" s="11" t="str">
        <f t="shared" ca="1" si="4"/>
        <v/>
      </c>
      <c r="K54" s="14"/>
      <c r="L54" s="14"/>
    </row>
    <row r="55" spans="1:12" ht="14.5">
      <c r="A55" s="8">
        <f t="shared" si="5"/>
        <v>52</v>
      </c>
      <c r="B55" s="9" t="s">
        <v>73</v>
      </c>
      <c r="C55" s="10" t="s">
        <v>70</v>
      </c>
      <c r="D55" s="11">
        <f t="shared" ca="1" si="0"/>
        <v>0</v>
      </c>
      <c r="E55" s="11">
        <f t="shared" ca="1" si="1"/>
        <v>0</v>
      </c>
      <c r="F55" s="11" t="str">
        <f t="shared" ca="1" si="2"/>
        <v/>
      </c>
      <c r="G55" s="11" t="str">
        <f t="shared" ca="1" si="3"/>
        <v/>
      </c>
      <c r="H55" s="11" t="str">
        <f t="shared" ca="1" si="4"/>
        <v/>
      </c>
      <c r="K55" s="14"/>
      <c r="L55" s="14"/>
    </row>
    <row r="56" spans="1:12" ht="14.5">
      <c r="A56" s="8">
        <f t="shared" si="5"/>
        <v>53</v>
      </c>
      <c r="B56" s="9" t="s">
        <v>74</v>
      </c>
      <c r="C56" s="10" t="s">
        <v>75</v>
      </c>
      <c r="D56" s="11">
        <f t="shared" ca="1" si="0"/>
        <v>0</v>
      </c>
      <c r="E56" s="11">
        <f t="shared" ca="1" si="1"/>
        <v>0</v>
      </c>
      <c r="F56" s="11" t="str">
        <f t="shared" ca="1" si="2"/>
        <v/>
      </c>
      <c r="G56" s="11" t="str">
        <f t="shared" ca="1" si="3"/>
        <v/>
      </c>
      <c r="H56" s="11" t="str">
        <f t="shared" ca="1" si="4"/>
        <v/>
      </c>
      <c r="K56" s="14"/>
      <c r="L56" s="14"/>
    </row>
    <row r="57" spans="1:12" ht="14.5">
      <c r="A57" s="8">
        <f t="shared" si="5"/>
        <v>54</v>
      </c>
      <c r="B57" s="9" t="s">
        <v>76</v>
      </c>
      <c r="C57" s="10" t="s">
        <v>75</v>
      </c>
      <c r="D57" s="11">
        <f t="shared" ca="1" si="0"/>
        <v>0</v>
      </c>
      <c r="E57" s="11">
        <f t="shared" ca="1" si="1"/>
        <v>0</v>
      </c>
      <c r="F57" s="11" t="str">
        <f t="shared" ca="1" si="2"/>
        <v/>
      </c>
      <c r="G57" s="11" t="str">
        <f t="shared" ca="1" si="3"/>
        <v/>
      </c>
      <c r="H57" s="11" t="str">
        <f t="shared" ca="1" si="4"/>
        <v/>
      </c>
      <c r="K57" s="14"/>
      <c r="L57" s="14"/>
    </row>
    <row r="58" spans="1:12" ht="14.5">
      <c r="A58" s="8">
        <f t="shared" si="5"/>
        <v>55</v>
      </c>
      <c r="B58" s="9" t="s">
        <v>77</v>
      </c>
      <c r="C58" s="10" t="s">
        <v>75</v>
      </c>
      <c r="D58" s="11">
        <f t="shared" ca="1" si="0"/>
        <v>0</v>
      </c>
      <c r="E58" s="11">
        <f t="shared" ca="1" si="1"/>
        <v>0</v>
      </c>
      <c r="F58" s="11" t="str">
        <f t="shared" ca="1" si="2"/>
        <v/>
      </c>
      <c r="G58" s="11" t="str">
        <f t="shared" ca="1" si="3"/>
        <v/>
      </c>
      <c r="H58" s="11" t="str">
        <f t="shared" ca="1" si="4"/>
        <v/>
      </c>
      <c r="K58" s="14"/>
      <c r="L58" s="14"/>
    </row>
    <row r="59" spans="1:12" ht="14.5">
      <c r="A59" s="8">
        <f t="shared" si="5"/>
        <v>56</v>
      </c>
      <c r="B59" s="9" t="s">
        <v>78</v>
      </c>
      <c r="C59" s="10" t="s">
        <v>75</v>
      </c>
      <c r="D59" s="11">
        <f t="shared" ca="1" si="0"/>
        <v>0</v>
      </c>
      <c r="E59" s="11">
        <f t="shared" ca="1" si="1"/>
        <v>0</v>
      </c>
      <c r="F59" s="11" t="str">
        <f t="shared" ca="1" si="2"/>
        <v/>
      </c>
      <c r="G59" s="11" t="str">
        <f t="shared" ca="1" si="3"/>
        <v/>
      </c>
      <c r="H59" s="11" t="str">
        <f t="shared" ca="1" si="4"/>
        <v/>
      </c>
      <c r="K59" s="14"/>
      <c r="L59" s="14"/>
    </row>
    <row r="60" spans="1:12" ht="14.5">
      <c r="A60" s="8">
        <f t="shared" si="5"/>
        <v>57</v>
      </c>
      <c r="B60" s="9" t="s">
        <v>79</v>
      </c>
      <c r="C60" s="10" t="s">
        <v>80</v>
      </c>
      <c r="D60" s="11">
        <f t="shared" ca="1" si="0"/>
        <v>0</v>
      </c>
      <c r="E60" s="11">
        <f t="shared" ca="1" si="1"/>
        <v>0</v>
      </c>
      <c r="F60" s="11" t="str">
        <f t="shared" ca="1" si="2"/>
        <v/>
      </c>
      <c r="G60" s="11" t="str">
        <f t="shared" ca="1" si="3"/>
        <v/>
      </c>
      <c r="H60" s="11" t="str">
        <f t="shared" ca="1" si="4"/>
        <v/>
      </c>
      <c r="K60" s="14"/>
      <c r="L60" s="14"/>
    </row>
    <row r="61" spans="1:12" ht="14.5">
      <c r="A61" s="8">
        <f t="shared" si="5"/>
        <v>58</v>
      </c>
      <c r="B61" s="9" t="s">
        <v>81</v>
      </c>
      <c r="C61" s="10" t="s">
        <v>80</v>
      </c>
      <c r="D61" s="11">
        <f t="shared" ca="1" si="0"/>
        <v>0</v>
      </c>
      <c r="E61" s="11">
        <f t="shared" ca="1" si="1"/>
        <v>0</v>
      </c>
      <c r="F61" s="11" t="str">
        <f t="shared" ca="1" si="2"/>
        <v/>
      </c>
      <c r="G61" s="11" t="str">
        <f t="shared" ca="1" si="3"/>
        <v/>
      </c>
      <c r="H61" s="11" t="str">
        <f t="shared" ca="1" si="4"/>
        <v/>
      </c>
      <c r="K61" s="14"/>
      <c r="L61" s="14"/>
    </row>
    <row r="62" spans="1:12" ht="14.5">
      <c r="A62" s="8">
        <f t="shared" si="5"/>
        <v>59</v>
      </c>
      <c r="B62" s="9" t="s">
        <v>82</v>
      </c>
      <c r="C62" s="10" t="s">
        <v>83</v>
      </c>
      <c r="D62" s="11">
        <f t="shared" ca="1" si="0"/>
        <v>0</v>
      </c>
      <c r="E62" s="11">
        <f t="shared" ca="1" si="1"/>
        <v>0</v>
      </c>
      <c r="F62" s="11" t="str">
        <f t="shared" ca="1" si="2"/>
        <v/>
      </c>
      <c r="G62" s="11" t="str">
        <f t="shared" ca="1" si="3"/>
        <v/>
      </c>
      <c r="H62" s="11" t="str">
        <f t="shared" ca="1" si="4"/>
        <v/>
      </c>
      <c r="K62" s="14"/>
      <c r="L62" s="14"/>
    </row>
    <row r="63" spans="1:12" ht="14.5">
      <c r="A63" s="8">
        <f t="shared" si="5"/>
        <v>60</v>
      </c>
      <c r="B63" s="9" t="s">
        <v>84</v>
      </c>
      <c r="C63" s="10" t="s">
        <v>83</v>
      </c>
      <c r="D63" s="11">
        <f t="shared" ca="1" si="0"/>
        <v>0</v>
      </c>
      <c r="E63" s="11">
        <f t="shared" ca="1" si="1"/>
        <v>0</v>
      </c>
      <c r="F63" s="11" t="str">
        <f t="shared" ca="1" si="2"/>
        <v/>
      </c>
      <c r="G63" s="11" t="str">
        <f t="shared" ca="1" si="3"/>
        <v/>
      </c>
      <c r="H63" s="11" t="str">
        <f t="shared" ca="1" si="4"/>
        <v/>
      </c>
      <c r="K63" s="14"/>
      <c r="L63" s="14"/>
    </row>
    <row r="64" spans="1:12" ht="14.5">
      <c r="A64" s="8">
        <f t="shared" si="5"/>
        <v>61</v>
      </c>
      <c r="B64" s="9" t="s">
        <v>85</v>
      </c>
      <c r="C64" s="10" t="s">
        <v>83</v>
      </c>
      <c r="D64" s="11">
        <f t="shared" ca="1" si="0"/>
        <v>0</v>
      </c>
      <c r="E64" s="11">
        <f t="shared" ca="1" si="1"/>
        <v>0</v>
      </c>
      <c r="F64" s="11" t="str">
        <f t="shared" ca="1" si="2"/>
        <v/>
      </c>
      <c r="G64" s="11" t="str">
        <f t="shared" ca="1" si="3"/>
        <v/>
      </c>
      <c r="H64" s="11" t="str">
        <f t="shared" ca="1" si="4"/>
        <v/>
      </c>
      <c r="K64" s="14"/>
      <c r="L64" s="14"/>
    </row>
    <row r="65" spans="1:12" ht="14.5">
      <c r="A65" s="8">
        <f t="shared" si="5"/>
        <v>62</v>
      </c>
      <c r="B65" s="9" t="s">
        <v>86</v>
      </c>
      <c r="C65" s="10" t="s">
        <v>87</v>
      </c>
      <c r="D65" s="11">
        <f t="shared" ca="1" si="0"/>
        <v>0</v>
      </c>
      <c r="E65" s="11">
        <f t="shared" ca="1" si="1"/>
        <v>0</v>
      </c>
      <c r="F65" s="11" t="str">
        <f t="shared" ca="1" si="2"/>
        <v/>
      </c>
      <c r="G65" s="11" t="str">
        <f t="shared" ca="1" si="3"/>
        <v/>
      </c>
      <c r="H65" s="11" t="str">
        <f t="shared" ca="1" si="4"/>
        <v/>
      </c>
      <c r="K65" s="14"/>
      <c r="L65" s="14"/>
    </row>
    <row r="66" spans="1:12" ht="14.5">
      <c r="A66" s="8">
        <f t="shared" si="5"/>
        <v>63</v>
      </c>
      <c r="B66" s="9" t="s">
        <v>88</v>
      </c>
      <c r="C66" s="10" t="s">
        <v>87</v>
      </c>
      <c r="D66" s="11">
        <f t="shared" ca="1" si="0"/>
        <v>0</v>
      </c>
      <c r="E66" s="11">
        <f t="shared" ca="1" si="1"/>
        <v>0</v>
      </c>
      <c r="F66" s="11" t="str">
        <f t="shared" ca="1" si="2"/>
        <v/>
      </c>
      <c r="G66" s="11" t="str">
        <f t="shared" ca="1" si="3"/>
        <v/>
      </c>
      <c r="H66" s="11" t="str">
        <f t="shared" ca="1" si="4"/>
        <v/>
      </c>
      <c r="K66" s="14"/>
      <c r="L66" s="14"/>
    </row>
    <row r="67" spans="1:12" ht="14.5">
      <c r="A67" s="8">
        <f t="shared" si="5"/>
        <v>64</v>
      </c>
      <c r="B67" s="9" t="s">
        <v>89</v>
      </c>
      <c r="C67" s="10" t="s">
        <v>87</v>
      </c>
      <c r="D67" s="11">
        <f t="shared" ca="1" si="0"/>
        <v>0</v>
      </c>
      <c r="E67" s="11">
        <f t="shared" ca="1" si="1"/>
        <v>0</v>
      </c>
      <c r="F67" s="11" t="str">
        <f t="shared" ca="1" si="2"/>
        <v/>
      </c>
      <c r="G67" s="11" t="str">
        <f t="shared" ca="1" si="3"/>
        <v/>
      </c>
      <c r="H67" s="11" t="str">
        <f t="shared" ca="1" si="4"/>
        <v/>
      </c>
      <c r="K67" s="14"/>
      <c r="L67" s="14"/>
    </row>
    <row r="68" spans="1:12" ht="14.5">
      <c r="A68" s="8">
        <f t="shared" si="5"/>
        <v>65</v>
      </c>
      <c r="B68" s="9" t="s">
        <v>90</v>
      </c>
      <c r="C68" s="10" t="s">
        <v>87</v>
      </c>
      <c r="D68" s="11">
        <f t="shared" ca="1" si="0"/>
        <v>0</v>
      </c>
      <c r="E68" s="11">
        <f t="shared" ca="1" si="1"/>
        <v>0</v>
      </c>
      <c r="F68" s="11" t="str">
        <f t="shared" ca="1" si="2"/>
        <v/>
      </c>
      <c r="G68" s="11" t="str">
        <f t="shared" ca="1" si="3"/>
        <v/>
      </c>
      <c r="H68" s="11" t="str">
        <f t="shared" ca="1" si="4"/>
        <v/>
      </c>
      <c r="K68" s="14"/>
      <c r="L68" s="14"/>
    </row>
    <row r="69" spans="1:12" ht="14.5">
      <c r="A69" s="8">
        <f t="shared" si="5"/>
        <v>66</v>
      </c>
      <c r="B69" s="9" t="s">
        <v>91</v>
      </c>
      <c r="C69" s="10" t="s">
        <v>61</v>
      </c>
      <c r="D69" s="11">
        <f t="shared" ref="D69:D98" ca="1" si="6">IFERROR(INDIRECT(CONCATENATE("'",C69,"'!B1")),0)</f>
        <v>0</v>
      </c>
      <c r="E69" s="11">
        <f t="shared" ref="E69:E98" ca="1" si="7">IFERROR(INDIRECT(CONCATENATE("'",C69,"'!B2")),0)</f>
        <v>0</v>
      </c>
      <c r="F69" s="11" t="str">
        <f t="shared" ref="F69:F132" ca="1" si="8">IF(D69=0,"",CONCATENATE("'",$C69,"'!",ADDRESS($D$1,1,1),":",ADDRESS($D69,1,1)))</f>
        <v/>
      </c>
      <c r="G69" s="11" t="str">
        <f t="shared" ref="G69:G132" ca="1" si="9">IF(D69=0,"",CONCATENATE("'",C69,"'!",ADDRESS(4,$E$1,1),":",ADDRESS(4,$E69,1)))</f>
        <v/>
      </c>
      <c r="H69" s="11" t="str">
        <f t="shared" ref="H69:H132" ca="1" si="10">IF(D69=0,"",CONCATENATE("'",C69,"'!",ADDRESS($D$1,$E$1,1),":",ADDRESS($D69,$E69,1)))</f>
        <v/>
      </c>
      <c r="K69" s="14"/>
      <c r="L69" s="14"/>
    </row>
    <row r="70" spans="1:12" ht="14.5">
      <c r="A70" s="8">
        <f t="shared" ref="A70:A133" si="11">A69+1</f>
        <v>67</v>
      </c>
      <c r="B70" s="9" t="s">
        <v>92</v>
      </c>
      <c r="C70" s="10" t="s">
        <v>93</v>
      </c>
      <c r="D70" s="11">
        <f t="shared" ca="1" si="6"/>
        <v>0</v>
      </c>
      <c r="E70" s="11">
        <f t="shared" ca="1" si="7"/>
        <v>0</v>
      </c>
      <c r="F70" s="11" t="str">
        <f t="shared" ca="1" si="8"/>
        <v/>
      </c>
      <c r="G70" s="11" t="str">
        <f t="shared" ca="1" si="9"/>
        <v/>
      </c>
      <c r="H70" s="11" t="str">
        <f t="shared" ca="1" si="10"/>
        <v/>
      </c>
      <c r="K70" s="14"/>
      <c r="L70" s="14"/>
    </row>
    <row r="71" spans="1:12" ht="14.5">
      <c r="A71" s="8">
        <f t="shared" si="11"/>
        <v>68</v>
      </c>
      <c r="B71" s="9" t="s">
        <v>92</v>
      </c>
      <c r="C71" s="10" t="s">
        <v>93</v>
      </c>
      <c r="D71" s="11">
        <f t="shared" ca="1" si="6"/>
        <v>0</v>
      </c>
      <c r="E71" s="11">
        <f t="shared" ca="1" si="7"/>
        <v>0</v>
      </c>
      <c r="F71" s="11" t="str">
        <f t="shared" ca="1" si="8"/>
        <v/>
      </c>
      <c r="G71" s="11" t="str">
        <f t="shared" ca="1" si="9"/>
        <v/>
      </c>
      <c r="H71" s="11" t="str">
        <f t="shared" ca="1" si="10"/>
        <v/>
      </c>
      <c r="K71" s="14"/>
      <c r="L71" s="14"/>
    </row>
    <row r="72" spans="1:12" ht="14.5">
      <c r="A72" s="8">
        <f t="shared" si="11"/>
        <v>69</v>
      </c>
      <c r="B72" s="9" t="s">
        <v>92</v>
      </c>
      <c r="C72" s="10" t="s">
        <v>93</v>
      </c>
      <c r="D72" s="11">
        <f t="shared" ca="1" si="6"/>
        <v>0</v>
      </c>
      <c r="E72" s="11">
        <f t="shared" ca="1" si="7"/>
        <v>0</v>
      </c>
      <c r="F72" s="11" t="str">
        <f t="shared" ca="1" si="8"/>
        <v/>
      </c>
      <c r="G72" s="11" t="str">
        <f t="shared" ca="1" si="9"/>
        <v/>
      </c>
      <c r="H72" s="11" t="str">
        <f t="shared" ca="1" si="10"/>
        <v/>
      </c>
      <c r="K72" s="14"/>
      <c r="L72" s="14"/>
    </row>
    <row r="73" spans="1:12" ht="14.5">
      <c r="A73" s="8">
        <f t="shared" si="11"/>
        <v>70</v>
      </c>
      <c r="B73" s="9" t="s">
        <v>92</v>
      </c>
      <c r="C73" s="10" t="s">
        <v>94</v>
      </c>
      <c r="D73" s="11">
        <f t="shared" ca="1" si="6"/>
        <v>0</v>
      </c>
      <c r="E73" s="11">
        <f t="shared" ca="1" si="7"/>
        <v>0</v>
      </c>
      <c r="F73" s="11" t="str">
        <f t="shared" ca="1" si="8"/>
        <v/>
      </c>
      <c r="G73" s="11" t="str">
        <f t="shared" ca="1" si="9"/>
        <v/>
      </c>
      <c r="H73" s="11" t="str">
        <f t="shared" ca="1" si="10"/>
        <v/>
      </c>
      <c r="K73" s="14"/>
      <c r="L73" s="14"/>
    </row>
    <row r="74" spans="1:12" ht="14.5">
      <c r="A74" s="8">
        <v>1</v>
      </c>
      <c r="B74" s="15" t="s">
        <v>95</v>
      </c>
      <c r="C74" s="16" t="s">
        <v>96</v>
      </c>
      <c r="D74" s="17">
        <f ca="1">IFERROR(INDIRECT(CONCATENATE("'",C74,"'!B1")),0)</f>
        <v>0</v>
      </c>
      <c r="E74" s="17">
        <f ca="1">IFERROR(INDIRECT(CONCATENATE("'",C74,"'!B2")),0)</f>
        <v>0</v>
      </c>
      <c r="F74" s="17" t="str">
        <f t="shared" ca="1" si="8"/>
        <v/>
      </c>
      <c r="G74" s="17" t="str">
        <f t="shared" ca="1" si="9"/>
        <v/>
      </c>
      <c r="H74" s="17" t="str">
        <f t="shared" ca="1" si="10"/>
        <v/>
      </c>
    </row>
    <row r="75" spans="1:12" ht="14.5">
      <c r="A75" s="8">
        <f t="shared" si="11"/>
        <v>2</v>
      </c>
      <c r="B75" s="15" t="s">
        <v>97</v>
      </c>
      <c r="C75" s="16" t="s">
        <v>98</v>
      </c>
      <c r="D75" s="17">
        <f t="shared" ref="D75:D138" ca="1" si="12">IFERROR(INDIRECT(CONCATENATE("'",C75,"'!B1")),0)</f>
        <v>0</v>
      </c>
      <c r="E75" s="17">
        <f t="shared" ref="E75:E102" ca="1" si="13">IFERROR(INDIRECT(CONCATENATE("'",C75,"'!B2")),0)</f>
        <v>0</v>
      </c>
      <c r="F75" s="17" t="str">
        <f t="shared" ca="1" si="8"/>
        <v/>
      </c>
      <c r="G75" s="17" t="str">
        <f t="shared" ca="1" si="9"/>
        <v/>
      </c>
      <c r="H75" s="17" t="str">
        <f t="shared" ca="1" si="10"/>
        <v/>
      </c>
    </row>
    <row r="76" spans="1:12" ht="14.5">
      <c r="A76" s="8">
        <f t="shared" si="11"/>
        <v>3</v>
      </c>
      <c r="B76" s="15" t="s">
        <v>99</v>
      </c>
      <c r="C76" s="16" t="s">
        <v>98</v>
      </c>
      <c r="D76" s="17">
        <f t="shared" ca="1" si="12"/>
        <v>0</v>
      </c>
      <c r="E76" s="17">
        <f t="shared" ca="1" si="13"/>
        <v>0</v>
      </c>
      <c r="F76" s="17" t="str">
        <f t="shared" ca="1" si="8"/>
        <v/>
      </c>
      <c r="G76" s="17" t="str">
        <f t="shared" ca="1" si="9"/>
        <v/>
      </c>
      <c r="H76" s="17" t="str">
        <f t="shared" ca="1" si="10"/>
        <v/>
      </c>
    </row>
    <row r="77" spans="1:12" ht="14.5">
      <c r="A77" s="8">
        <f t="shared" si="11"/>
        <v>4</v>
      </c>
      <c r="B77" s="15" t="s">
        <v>100</v>
      </c>
      <c r="C77" s="16" t="s">
        <v>98</v>
      </c>
      <c r="D77" s="17">
        <f t="shared" ca="1" si="12"/>
        <v>0</v>
      </c>
      <c r="E77" s="17">
        <f t="shared" ca="1" si="13"/>
        <v>0</v>
      </c>
      <c r="F77" s="17" t="str">
        <f t="shared" ca="1" si="8"/>
        <v/>
      </c>
      <c r="G77" s="17" t="str">
        <f t="shared" ca="1" si="9"/>
        <v/>
      </c>
      <c r="H77" s="17" t="str">
        <f t="shared" ca="1" si="10"/>
        <v/>
      </c>
    </row>
    <row r="78" spans="1:12" ht="14.5">
      <c r="A78" s="8">
        <f t="shared" si="11"/>
        <v>5</v>
      </c>
      <c r="B78" s="15" t="s">
        <v>101</v>
      </c>
      <c r="C78" s="16" t="s">
        <v>98</v>
      </c>
      <c r="D78" s="17">
        <f t="shared" ca="1" si="12"/>
        <v>0</v>
      </c>
      <c r="E78" s="17">
        <f t="shared" ca="1" si="13"/>
        <v>0</v>
      </c>
      <c r="F78" s="17" t="str">
        <f t="shared" ca="1" si="8"/>
        <v/>
      </c>
      <c r="G78" s="17" t="str">
        <f t="shared" ca="1" si="9"/>
        <v/>
      </c>
      <c r="H78" s="17" t="str">
        <f t="shared" ca="1" si="10"/>
        <v/>
      </c>
    </row>
    <row r="79" spans="1:12" ht="14.5">
      <c r="A79" s="8">
        <f t="shared" si="11"/>
        <v>6</v>
      </c>
      <c r="B79" s="18" t="s">
        <v>102</v>
      </c>
      <c r="C79" s="16" t="s">
        <v>98</v>
      </c>
      <c r="D79" s="17">
        <f t="shared" ca="1" si="12"/>
        <v>0</v>
      </c>
      <c r="E79" s="17">
        <f t="shared" ca="1" si="13"/>
        <v>0</v>
      </c>
      <c r="F79" s="17" t="str">
        <f t="shared" ca="1" si="8"/>
        <v/>
      </c>
      <c r="G79" s="17" t="str">
        <f t="shared" ca="1" si="9"/>
        <v/>
      </c>
      <c r="H79" s="17" t="str">
        <f t="shared" ca="1" si="10"/>
        <v/>
      </c>
    </row>
    <row r="80" spans="1:12" ht="14.5">
      <c r="A80" s="8">
        <f t="shared" si="11"/>
        <v>7</v>
      </c>
      <c r="B80" s="15" t="s">
        <v>103</v>
      </c>
      <c r="C80" s="16" t="s">
        <v>98</v>
      </c>
      <c r="D80" s="17">
        <f t="shared" ca="1" si="12"/>
        <v>0</v>
      </c>
      <c r="E80" s="17">
        <f t="shared" ca="1" si="13"/>
        <v>0</v>
      </c>
      <c r="F80" s="17" t="str">
        <f t="shared" ca="1" si="8"/>
        <v/>
      </c>
      <c r="G80" s="17" t="str">
        <f t="shared" ca="1" si="9"/>
        <v/>
      </c>
      <c r="H80" s="17" t="str">
        <f t="shared" ca="1" si="10"/>
        <v/>
      </c>
    </row>
    <row r="81" spans="1:8" ht="14.5">
      <c r="A81" s="8">
        <f t="shared" si="11"/>
        <v>8</v>
      </c>
      <c r="B81" s="15" t="s">
        <v>104</v>
      </c>
      <c r="C81" s="16" t="s">
        <v>98</v>
      </c>
      <c r="D81" s="17">
        <f t="shared" ca="1" si="12"/>
        <v>0</v>
      </c>
      <c r="E81" s="17">
        <f t="shared" ca="1" si="13"/>
        <v>0</v>
      </c>
      <c r="F81" s="17" t="str">
        <f t="shared" ca="1" si="8"/>
        <v/>
      </c>
      <c r="G81" s="17" t="str">
        <f t="shared" ca="1" si="9"/>
        <v/>
      </c>
      <c r="H81" s="17" t="str">
        <f t="shared" ca="1" si="10"/>
        <v/>
      </c>
    </row>
    <row r="82" spans="1:8" ht="14.5">
      <c r="A82" s="8">
        <f t="shared" si="11"/>
        <v>9</v>
      </c>
      <c r="B82" s="15" t="s">
        <v>105</v>
      </c>
      <c r="C82" s="16" t="s">
        <v>98</v>
      </c>
      <c r="D82" s="17">
        <f t="shared" ca="1" si="12"/>
        <v>0</v>
      </c>
      <c r="E82" s="17">
        <f t="shared" ca="1" si="13"/>
        <v>0</v>
      </c>
      <c r="F82" s="17" t="str">
        <f t="shared" ca="1" si="8"/>
        <v/>
      </c>
      <c r="G82" s="17" t="str">
        <f t="shared" ca="1" si="9"/>
        <v/>
      </c>
      <c r="H82" s="17" t="str">
        <f t="shared" ca="1" si="10"/>
        <v/>
      </c>
    </row>
    <row r="83" spans="1:8" ht="14.5">
      <c r="A83" s="8">
        <f t="shared" si="11"/>
        <v>10</v>
      </c>
      <c r="B83" s="15" t="s">
        <v>106</v>
      </c>
      <c r="C83" s="16" t="s">
        <v>98</v>
      </c>
      <c r="D83" s="17">
        <f t="shared" ca="1" si="12"/>
        <v>0</v>
      </c>
      <c r="E83" s="17">
        <f t="shared" ca="1" si="13"/>
        <v>0</v>
      </c>
      <c r="F83" s="17" t="str">
        <f t="shared" ca="1" si="8"/>
        <v/>
      </c>
      <c r="G83" s="17" t="str">
        <f t="shared" ca="1" si="9"/>
        <v/>
      </c>
      <c r="H83" s="17" t="str">
        <f t="shared" ca="1" si="10"/>
        <v/>
      </c>
    </row>
    <row r="84" spans="1:8" ht="14.5">
      <c r="A84" s="8">
        <f t="shared" si="11"/>
        <v>11</v>
      </c>
      <c r="B84" s="15" t="s">
        <v>107</v>
      </c>
      <c r="C84" s="16" t="s">
        <v>98</v>
      </c>
      <c r="D84" s="17">
        <f t="shared" ca="1" si="12"/>
        <v>0</v>
      </c>
      <c r="E84" s="17">
        <f t="shared" ca="1" si="13"/>
        <v>0</v>
      </c>
      <c r="F84" s="17" t="str">
        <f t="shared" ca="1" si="8"/>
        <v/>
      </c>
      <c r="G84" s="17" t="str">
        <f t="shared" ca="1" si="9"/>
        <v/>
      </c>
      <c r="H84" s="17" t="str">
        <f t="shared" ca="1" si="10"/>
        <v/>
      </c>
    </row>
    <row r="85" spans="1:8" ht="14.5">
      <c r="A85" s="8">
        <f t="shared" si="11"/>
        <v>12</v>
      </c>
      <c r="B85" s="15" t="s">
        <v>108</v>
      </c>
      <c r="C85" s="16" t="s">
        <v>98</v>
      </c>
      <c r="D85" s="17">
        <f t="shared" ca="1" si="12"/>
        <v>0</v>
      </c>
      <c r="E85" s="17">
        <f t="shared" ca="1" si="13"/>
        <v>0</v>
      </c>
      <c r="F85" s="17" t="str">
        <f t="shared" ca="1" si="8"/>
        <v/>
      </c>
      <c r="G85" s="17" t="str">
        <f t="shared" ca="1" si="9"/>
        <v/>
      </c>
      <c r="H85" s="17" t="str">
        <f t="shared" ca="1" si="10"/>
        <v/>
      </c>
    </row>
    <row r="86" spans="1:8" ht="14.5">
      <c r="A86" s="8">
        <f t="shared" si="11"/>
        <v>13</v>
      </c>
      <c r="B86" s="15" t="s">
        <v>109</v>
      </c>
      <c r="C86" s="16" t="s">
        <v>98</v>
      </c>
      <c r="D86" s="17">
        <f t="shared" ca="1" si="12"/>
        <v>0</v>
      </c>
      <c r="E86" s="17">
        <f t="shared" ca="1" si="13"/>
        <v>0</v>
      </c>
      <c r="F86" s="17" t="str">
        <f t="shared" ca="1" si="8"/>
        <v/>
      </c>
      <c r="G86" s="17" t="str">
        <f t="shared" ca="1" si="9"/>
        <v/>
      </c>
      <c r="H86" s="17" t="str">
        <f t="shared" ca="1" si="10"/>
        <v/>
      </c>
    </row>
    <row r="87" spans="1:8" ht="14.5">
      <c r="A87" s="8">
        <f t="shared" si="11"/>
        <v>14</v>
      </c>
      <c r="B87" s="15" t="s">
        <v>110</v>
      </c>
      <c r="C87" s="16" t="s">
        <v>98</v>
      </c>
      <c r="D87" s="17">
        <f t="shared" ca="1" si="12"/>
        <v>0</v>
      </c>
      <c r="E87" s="17">
        <f t="shared" ca="1" si="13"/>
        <v>0</v>
      </c>
      <c r="F87" s="17" t="str">
        <f t="shared" ca="1" si="8"/>
        <v/>
      </c>
      <c r="G87" s="17" t="str">
        <f t="shared" ca="1" si="9"/>
        <v/>
      </c>
      <c r="H87" s="17" t="str">
        <f t="shared" ca="1" si="10"/>
        <v/>
      </c>
    </row>
    <row r="88" spans="1:8" ht="14.5">
      <c r="A88" s="8">
        <f t="shared" si="11"/>
        <v>15</v>
      </c>
      <c r="B88" s="15" t="s">
        <v>111</v>
      </c>
      <c r="C88" s="16" t="s">
        <v>112</v>
      </c>
      <c r="D88" s="17">
        <f t="shared" ca="1" si="12"/>
        <v>0</v>
      </c>
      <c r="E88" s="17">
        <f t="shared" ca="1" si="13"/>
        <v>0</v>
      </c>
      <c r="F88" s="17" t="str">
        <f t="shared" ca="1" si="8"/>
        <v/>
      </c>
      <c r="G88" s="17" t="str">
        <f t="shared" ca="1" si="9"/>
        <v/>
      </c>
      <c r="H88" s="17" t="str">
        <f t="shared" ca="1" si="10"/>
        <v/>
      </c>
    </row>
    <row r="89" spans="1:8" ht="14.5">
      <c r="A89" s="8">
        <f t="shared" si="11"/>
        <v>16</v>
      </c>
      <c r="B89" s="15" t="s">
        <v>113</v>
      </c>
      <c r="C89" s="16" t="s">
        <v>112</v>
      </c>
      <c r="D89" s="17">
        <f t="shared" ca="1" si="12"/>
        <v>0</v>
      </c>
      <c r="E89" s="17">
        <f t="shared" ca="1" si="13"/>
        <v>0</v>
      </c>
      <c r="F89" s="17" t="str">
        <f t="shared" ca="1" si="8"/>
        <v/>
      </c>
      <c r="G89" s="17" t="str">
        <f t="shared" ca="1" si="9"/>
        <v/>
      </c>
      <c r="H89" s="17" t="str">
        <f t="shared" ca="1" si="10"/>
        <v/>
      </c>
    </row>
    <row r="90" spans="1:8" ht="14.5">
      <c r="A90" s="8">
        <f t="shared" si="11"/>
        <v>17</v>
      </c>
      <c r="B90" s="15" t="s">
        <v>114</v>
      </c>
      <c r="C90" s="16" t="s">
        <v>115</v>
      </c>
      <c r="D90" s="17">
        <f t="shared" ca="1" si="12"/>
        <v>0</v>
      </c>
      <c r="E90" s="17">
        <f t="shared" ca="1" si="13"/>
        <v>0</v>
      </c>
      <c r="F90" s="17" t="str">
        <f t="shared" ca="1" si="8"/>
        <v/>
      </c>
      <c r="G90" s="17" t="str">
        <f t="shared" ca="1" si="9"/>
        <v/>
      </c>
      <c r="H90" s="17" t="str">
        <f t="shared" ca="1" si="10"/>
        <v/>
      </c>
    </row>
    <row r="91" spans="1:8" ht="14.5">
      <c r="A91" s="8">
        <f t="shared" si="11"/>
        <v>18</v>
      </c>
      <c r="B91" s="15" t="s">
        <v>116</v>
      </c>
      <c r="C91" s="16" t="s">
        <v>112</v>
      </c>
      <c r="D91" s="17">
        <f t="shared" ca="1" si="12"/>
        <v>0</v>
      </c>
      <c r="E91" s="17">
        <f t="shared" ca="1" si="13"/>
        <v>0</v>
      </c>
      <c r="F91" s="17" t="str">
        <f t="shared" ca="1" si="8"/>
        <v/>
      </c>
      <c r="G91" s="17" t="str">
        <f t="shared" ca="1" si="9"/>
        <v/>
      </c>
      <c r="H91" s="17" t="str">
        <f t="shared" ca="1" si="10"/>
        <v/>
      </c>
    </row>
    <row r="92" spans="1:8" ht="14.5">
      <c r="A92" s="8">
        <f t="shared" si="11"/>
        <v>19</v>
      </c>
      <c r="B92" s="15" t="s">
        <v>117</v>
      </c>
      <c r="C92" s="16" t="s">
        <v>98</v>
      </c>
      <c r="D92" s="17">
        <f t="shared" ca="1" si="12"/>
        <v>0</v>
      </c>
      <c r="E92" s="17">
        <f t="shared" ca="1" si="13"/>
        <v>0</v>
      </c>
      <c r="F92" s="17" t="str">
        <f t="shared" ca="1" si="8"/>
        <v/>
      </c>
      <c r="G92" s="17" t="str">
        <f t="shared" ca="1" si="9"/>
        <v/>
      </c>
      <c r="H92" s="17" t="str">
        <f t="shared" ca="1" si="10"/>
        <v/>
      </c>
    </row>
    <row r="93" spans="1:8" ht="14.5">
      <c r="A93" s="8">
        <f t="shared" si="11"/>
        <v>20</v>
      </c>
      <c r="B93" s="15" t="s">
        <v>118</v>
      </c>
      <c r="C93" s="16" t="s">
        <v>112</v>
      </c>
      <c r="D93" s="17">
        <f t="shared" ca="1" si="12"/>
        <v>0</v>
      </c>
      <c r="E93" s="17">
        <f t="shared" ca="1" si="13"/>
        <v>0</v>
      </c>
      <c r="F93" s="17" t="str">
        <f t="shared" ca="1" si="8"/>
        <v/>
      </c>
      <c r="G93" s="17" t="str">
        <f t="shared" ca="1" si="9"/>
        <v/>
      </c>
      <c r="H93" s="17" t="str">
        <f t="shared" ca="1" si="10"/>
        <v/>
      </c>
    </row>
    <row r="94" spans="1:8" ht="14.5">
      <c r="A94" s="8">
        <f t="shared" si="11"/>
        <v>21</v>
      </c>
      <c r="B94" s="15" t="s">
        <v>119</v>
      </c>
      <c r="C94" s="16" t="s">
        <v>115</v>
      </c>
      <c r="D94" s="17">
        <f t="shared" ca="1" si="12"/>
        <v>0</v>
      </c>
      <c r="E94" s="17">
        <f t="shared" ca="1" si="13"/>
        <v>0</v>
      </c>
      <c r="F94" s="17" t="str">
        <f t="shared" ca="1" si="8"/>
        <v/>
      </c>
      <c r="G94" s="17" t="str">
        <f t="shared" ca="1" si="9"/>
        <v/>
      </c>
      <c r="H94" s="17" t="str">
        <f t="shared" ca="1" si="10"/>
        <v/>
      </c>
    </row>
    <row r="95" spans="1:8" ht="14.5">
      <c r="A95" s="8">
        <f t="shared" si="11"/>
        <v>22</v>
      </c>
      <c r="B95" s="15" t="s">
        <v>120</v>
      </c>
      <c r="C95" s="16" t="s">
        <v>115</v>
      </c>
      <c r="D95" s="17">
        <f t="shared" ca="1" si="12"/>
        <v>0</v>
      </c>
      <c r="E95" s="17">
        <f t="shared" ca="1" si="13"/>
        <v>0</v>
      </c>
      <c r="F95" s="17" t="str">
        <f t="shared" ca="1" si="8"/>
        <v/>
      </c>
      <c r="G95" s="17" t="str">
        <f t="shared" ca="1" si="9"/>
        <v/>
      </c>
      <c r="H95" s="17" t="str">
        <f t="shared" ca="1" si="10"/>
        <v/>
      </c>
    </row>
    <row r="96" spans="1:8" ht="14.5">
      <c r="A96" s="8">
        <f t="shared" si="11"/>
        <v>23</v>
      </c>
      <c r="B96" s="15" t="s">
        <v>121</v>
      </c>
      <c r="C96" s="16" t="s">
        <v>122</v>
      </c>
      <c r="D96" s="17">
        <f t="shared" ca="1" si="12"/>
        <v>0</v>
      </c>
      <c r="E96" s="17">
        <f t="shared" ca="1" si="13"/>
        <v>0</v>
      </c>
      <c r="F96" s="17" t="str">
        <f t="shared" ca="1" si="8"/>
        <v/>
      </c>
      <c r="G96" s="17" t="str">
        <f t="shared" ca="1" si="9"/>
        <v/>
      </c>
      <c r="H96" s="17" t="str">
        <f t="shared" ca="1" si="10"/>
        <v/>
      </c>
    </row>
    <row r="97" spans="1:8" ht="14.5">
      <c r="A97" s="8">
        <f t="shared" si="11"/>
        <v>24</v>
      </c>
      <c r="B97" s="15" t="s">
        <v>123</v>
      </c>
      <c r="C97" s="16" t="s">
        <v>122</v>
      </c>
      <c r="D97" s="17">
        <f t="shared" ca="1" si="12"/>
        <v>0</v>
      </c>
      <c r="E97" s="17">
        <f t="shared" ca="1" si="13"/>
        <v>0</v>
      </c>
      <c r="F97" s="17" t="str">
        <f t="shared" ca="1" si="8"/>
        <v/>
      </c>
      <c r="G97" s="17" t="str">
        <f t="shared" ca="1" si="9"/>
        <v/>
      </c>
      <c r="H97" s="17" t="str">
        <f t="shared" ca="1" si="10"/>
        <v/>
      </c>
    </row>
    <row r="98" spans="1:8" ht="14.5">
      <c r="A98" s="8">
        <f t="shared" si="11"/>
        <v>25</v>
      </c>
      <c r="B98" s="15" t="s">
        <v>124</v>
      </c>
      <c r="C98" s="16" t="s">
        <v>125</v>
      </c>
      <c r="D98" s="17">
        <f t="shared" ca="1" si="12"/>
        <v>0</v>
      </c>
      <c r="E98" s="17">
        <f t="shared" ca="1" si="13"/>
        <v>0</v>
      </c>
      <c r="F98" s="17" t="str">
        <f t="shared" ca="1" si="8"/>
        <v/>
      </c>
      <c r="G98" s="17" t="str">
        <f t="shared" ca="1" si="9"/>
        <v/>
      </c>
      <c r="H98" s="17" t="str">
        <f t="shared" ca="1" si="10"/>
        <v/>
      </c>
    </row>
    <row r="99" spans="1:8" ht="14.5">
      <c r="A99" s="8">
        <f t="shared" si="11"/>
        <v>26</v>
      </c>
      <c r="B99" s="15" t="s">
        <v>126</v>
      </c>
      <c r="C99" s="16" t="s">
        <v>127</v>
      </c>
      <c r="D99" s="17">
        <f t="shared" ca="1" si="12"/>
        <v>0</v>
      </c>
      <c r="E99" s="17">
        <f t="shared" ca="1" si="13"/>
        <v>0</v>
      </c>
      <c r="F99" s="17" t="str">
        <f t="shared" ca="1" si="8"/>
        <v/>
      </c>
      <c r="G99" s="17" t="str">
        <f t="shared" ca="1" si="9"/>
        <v/>
      </c>
      <c r="H99" s="17" t="str">
        <f t="shared" ca="1" si="10"/>
        <v/>
      </c>
    </row>
    <row r="100" spans="1:8" ht="14.5">
      <c r="A100" s="8">
        <f t="shared" si="11"/>
        <v>27</v>
      </c>
      <c r="B100" s="15" t="s">
        <v>128</v>
      </c>
      <c r="C100" s="16" t="s">
        <v>127</v>
      </c>
      <c r="D100" s="17">
        <f t="shared" ca="1" si="12"/>
        <v>0</v>
      </c>
      <c r="E100" s="17">
        <f t="shared" ca="1" si="13"/>
        <v>0</v>
      </c>
      <c r="F100" s="17" t="str">
        <f t="shared" ca="1" si="8"/>
        <v/>
      </c>
      <c r="G100" s="17" t="str">
        <f t="shared" ca="1" si="9"/>
        <v/>
      </c>
      <c r="H100" s="17" t="str">
        <f t="shared" ca="1" si="10"/>
        <v/>
      </c>
    </row>
    <row r="101" spans="1:8" ht="14.5">
      <c r="A101" s="8">
        <f t="shared" si="11"/>
        <v>28</v>
      </c>
      <c r="B101" s="15" t="s">
        <v>129</v>
      </c>
      <c r="C101" s="16" t="s">
        <v>127</v>
      </c>
      <c r="D101" s="17">
        <f t="shared" ca="1" si="12"/>
        <v>0</v>
      </c>
      <c r="E101" s="17">
        <f t="shared" ca="1" si="13"/>
        <v>0</v>
      </c>
      <c r="F101" s="17" t="str">
        <f t="shared" ca="1" si="8"/>
        <v/>
      </c>
      <c r="G101" s="17" t="str">
        <f t="shared" ca="1" si="9"/>
        <v/>
      </c>
      <c r="H101" s="17" t="str">
        <f t="shared" ca="1" si="10"/>
        <v/>
      </c>
    </row>
    <row r="102" spans="1:8" ht="14.5">
      <c r="A102" s="8">
        <f t="shared" si="11"/>
        <v>29</v>
      </c>
      <c r="B102" s="15" t="s">
        <v>130</v>
      </c>
      <c r="C102" s="16" t="s">
        <v>127</v>
      </c>
      <c r="D102" s="17">
        <f t="shared" ca="1" si="12"/>
        <v>0</v>
      </c>
      <c r="E102" s="17">
        <f t="shared" ca="1" si="13"/>
        <v>0</v>
      </c>
      <c r="F102" s="17" t="str">
        <f t="shared" ca="1" si="8"/>
        <v/>
      </c>
      <c r="G102" s="17" t="str">
        <f t="shared" ca="1" si="9"/>
        <v/>
      </c>
      <c r="H102" s="17" t="str">
        <f t="shared" ca="1" si="10"/>
        <v/>
      </c>
    </row>
    <row r="103" spans="1:8" ht="14.5">
      <c r="A103" s="8">
        <f t="shared" si="11"/>
        <v>30</v>
      </c>
      <c r="B103" s="15" t="s">
        <v>131</v>
      </c>
      <c r="C103" s="16" t="s">
        <v>112</v>
      </c>
      <c r="D103" s="17">
        <f ca="1">IFERROR(INDIRECT(CONCATENATE("'",C103,"'!B1")),0)</f>
        <v>0</v>
      </c>
      <c r="E103" s="17">
        <f ca="1">IFERROR(INDIRECT(CONCATENATE("'",C103,"'!B2")),0)</f>
        <v>0</v>
      </c>
      <c r="F103" s="17" t="str">
        <f t="shared" ca="1" si="8"/>
        <v/>
      </c>
      <c r="G103" s="17" t="str">
        <f t="shared" ca="1" si="9"/>
        <v/>
      </c>
      <c r="H103" s="17" t="str">
        <f t="shared" ca="1" si="10"/>
        <v/>
      </c>
    </row>
    <row r="104" spans="1:8" ht="14.5">
      <c r="A104" s="8">
        <f t="shared" si="11"/>
        <v>31</v>
      </c>
      <c r="B104" s="15" t="s">
        <v>132</v>
      </c>
      <c r="C104" s="16" t="s">
        <v>133</v>
      </c>
      <c r="D104" s="17">
        <f t="shared" ca="1" si="12"/>
        <v>0</v>
      </c>
      <c r="E104" s="17">
        <f t="shared" ref="E104:E124" ca="1" si="14">IFERROR(INDIRECT(CONCATENATE("'",C104,"'!B2")),0)</f>
        <v>0</v>
      </c>
      <c r="F104" s="17" t="str">
        <f t="shared" ca="1" si="8"/>
        <v/>
      </c>
      <c r="G104" s="17" t="str">
        <f t="shared" ca="1" si="9"/>
        <v/>
      </c>
      <c r="H104" s="17" t="str">
        <f t="shared" ca="1" si="10"/>
        <v/>
      </c>
    </row>
    <row r="105" spans="1:8" ht="14.5">
      <c r="A105" s="8">
        <f t="shared" si="11"/>
        <v>32</v>
      </c>
      <c r="B105" s="15" t="s">
        <v>134</v>
      </c>
      <c r="C105" s="16" t="s">
        <v>135</v>
      </c>
      <c r="D105" s="17">
        <f t="shared" ca="1" si="12"/>
        <v>0</v>
      </c>
      <c r="E105" s="17">
        <f t="shared" ca="1" si="14"/>
        <v>0</v>
      </c>
      <c r="F105" s="17" t="str">
        <f t="shared" ca="1" si="8"/>
        <v/>
      </c>
      <c r="G105" s="17" t="str">
        <f t="shared" ca="1" si="9"/>
        <v/>
      </c>
      <c r="H105" s="17" t="str">
        <f t="shared" ca="1" si="10"/>
        <v/>
      </c>
    </row>
    <row r="106" spans="1:8" ht="14.5">
      <c r="A106" s="8">
        <f t="shared" si="11"/>
        <v>33</v>
      </c>
      <c r="B106" s="15" t="s">
        <v>136</v>
      </c>
      <c r="C106" s="16" t="s">
        <v>133</v>
      </c>
      <c r="D106" s="17">
        <f t="shared" ca="1" si="12"/>
        <v>0</v>
      </c>
      <c r="E106" s="17">
        <f t="shared" ca="1" si="14"/>
        <v>0</v>
      </c>
      <c r="F106" s="17" t="str">
        <f t="shared" ca="1" si="8"/>
        <v/>
      </c>
      <c r="G106" s="17" t="str">
        <f t="shared" ca="1" si="9"/>
        <v/>
      </c>
      <c r="H106" s="17" t="str">
        <f t="shared" ca="1" si="10"/>
        <v/>
      </c>
    </row>
    <row r="107" spans="1:8" ht="14.5">
      <c r="A107" s="8">
        <f t="shared" si="11"/>
        <v>34</v>
      </c>
      <c r="B107" s="15" t="s">
        <v>137</v>
      </c>
      <c r="C107" s="16" t="s">
        <v>112</v>
      </c>
      <c r="D107" s="17">
        <f t="shared" ca="1" si="12"/>
        <v>0</v>
      </c>
      <c r="E107" s="17">
        <f t="shared" ca="1" si="14"/>
        <v>0</v>
      </c>
      <c r="F107" s="17" t="str">
        <f t="shared" ca="1" si="8"/>
        <v/>
      </c>
      <c r="G107" s="17" t="str">
        <f t="shared" ca="1" si="9"/>
        <v/>
      </c>
      <c r="H107" s="17" t="str">
        <f t="shared" ca="1" si="10"/>
        <v/>
      </c>
    </row>
    <row r="108" spans="1:8" ht="14.5">
      <c r="A108" s="8">
        <f t="shared" si="11"/>
        <v>35</v>
      </c>
      <c r="B108" s="15" t="s">
        <v>138</v>
      </c>
      <c r="C108" s="16" t="s">
        <v>133</v>
      </c>
      <c r="D108" s="17">
        <f t="shared" ca="1" si="12"/>
        <v>0</v>
      </c>
      <c r="E108" s="17">
        <f t="shared" ca="1" si="14"/>
        <v>0</v>
      </c>
      <c r="F108" s="17" t="str">
        <f t="shared" ca="1" si="8"/>
        <v/>
      </c>
      <c r="G108" s="17" t="str">
        <f t="shared" ca="1" si="9"/>
        <v/>
      </c>
      <c r="H108" s="17" t="str">
        <f t="shared" ca="1" si="10"/>
        <v/>
      </c>
    </row>
    <row r="109" spans="1:8" ht="14.5">
      <c r="A109" s="8">
        <f t="shared" si="11"/>
        <v>36</v>
      </c>
      <c r="B109" s="15" t="s">
        <v>139</v>
      </c>
      <c r="C109" s="16" t="s">
        <v>133</v>
      </c>
      <c r="D109" s="17">
        <f t="shared" ca="1" si="12"/>
        <v>0</v>
      </c>
      <c r="E109" s="17">
        <f t="shared" ca="1" si="14"/>
        <v>0</v>
      </c>
      <c r="F109" s="17" t="str">
        <f t="shared" ca="1" si="8"/>
        <v/>
      </c>
      <c r="G109" s="17" t="str">
        <f t="shared" ca="1" si="9"/>
        <v/>
      </c>
      <c r="H109" s="17" t="str">
        <f t="shared" ca="1" si="10"/>
        <v/>
      </c>
    </row>
    <row r="110" spans="1:8" ht="14.5">
      <c r="A110" s="8">
        <f t="shared" si="11"/>
        <v>37</v>
      </c>
      <c r="B110" s="15" t="s">
        <v>140</v>
      </c>
      <c r="C110" s="16" t="s">
        <v>141</v>
      </c>
      <c r="D110" s="17">
        <f t="shared" ca="1" si="12"/>
        <v>0</v>
      </c>
      <c r="E110" s="17">
        <f t="shared" ca="1" si="14"/>
        <v>0</v>
      </c>
      <c r="F110" s="17" t="str">
        <f t="shared" ca="1" si="8"/>
        <v/>
      </c>
      <c r="G110" s="17" t="str">
        <f t="shared" ca="1" si="9"/>
        <v/>
      </c>
      <c r="H110" s="17" t="str">
        <f t="shared" ca="1" si="10"/>
        <v/>
      </c>
    </row>
    <row r="111" spans="1:8" ht="14.5">
      <c r="A111" s="8">
        <f t="shared" si="11"/>
        <v>38</v>
      </c>
      <c r="B111" s="15" t="s">
        <v>142</v>
      </c>
      <c r="C111" s="16" t="s">
        <v>143</v>
      </c>
      <c r="D111" s="17">
        <f t="shared" ca="1" si="12"/>
        <v>0</v>
      </c>
      <c r="E111" s="17">
        <f t="shared" ca="1" si="14"/>
        <v>0</v>
      </c>
      <c r="F111" s="17" t="str">
        <f t="shared" ca="1" si="8"/>
        <v/>
      </c>
      <c r="G111" s="17" t="str">
        <f t="shared" ca="1" si="9"/>
        <v/>
      </c>
      <c r="H111" s="17" t="str">
        <f t="shared" ca="1" si="10"/>
        <v/>
      </c>
    </row>
    <row r="112" spans="1:8" ht="14.5">
      <c r="A112" s="8">
        <f t="shared" si="11"/>
        <v>39</v>
      </c>
      <c r="B112" s="15" t="s">
        <v>144</v>
      </c>
      <c r="C112" s="16" t="s">
        <v>145</v>
      </c>
      <c r="D112" s="17">
        <f t="shared" ca="1" si="12"/>
        <v>0</v>
      </c>
      <c r="E112" s="17">
        <f t="shared" ca="1" si="14"/>
        <v>0</v>
      </c>
      <c r="F112" s="17" t="str">
        <f t="shared" ca="1" si="8"/>
        <v/>
      </c>
      <c r="G112" s="17" t="str">
        <f t="shared" ca="1" si="9"/>
        <v/>
      </c>
      <c r="H112" s="17" t="str">
        <f t="shared" ca="1" si="10"/>
        <v/>
      </c>
    </row>
    <row r="113" spans="1:8" ht="14.5">
      <c r="A113" s="8">
        <f t="shared" si="11"/>
        <v>40</v>
      </c>
      <c r="B113" s="15" t="s">
        <v>146</v>
      </c>
      <c r="C113" s="16" t="s">
        <v>147</v>
      </c>
      <c r="D113" s="17">
        <f t="shared" ca="1" si="12"/>
        <v>0</v>
      </c>
      <c r="E113" s="17">
        <f t="shared" ca="1" si="14"/>
        <v>0</v>
      </c>
      <c r="F113" s="17" t="str">
        <f t="shared" ca="1" si="8"/>
        <v/>
      </c>
      <c r="G113" s="17" t="str">
        <f t="shared" ca="1" si="9"/>
        <v/>
      </c>
      <c r="H113" s="17" t="str">
        <f t="shared" ca="1" si="10"/>
        <v/>
      </c>
    </row>
    <row r="114" spans="1:8" ht="14.5">
      <c r="A114" s="8">
        <f t="shared" si="11"/>
        <v>41</v>
      </c>
      <c r="B114" s="15" t="s">
        <v>148</v>
      </c>
      <c r="C114" s="16" t="s">
        <v>147</v>
      </c>
      <c r="D114" s="17">
        <f t="shared" ca="1" si="12"/>
        <v>0</v>
      </c>
      <c r="E114" s="17">
        <f t="shared" ca="1" si="14"/>
        <v>0</v>
      </c>
      <c r="F114" s="17" t="str">
        <f t="shared" ca="1" si="8"/>
        <v/>
      </c>
      <c r="G114" s="17" t="str">
        <f t="shared" ca="1" si="9"/>
        <v/>
      </c>
      <c r="H114" s="17" t="str">
        <f t="shared" ca="1" si="10"/>
        <v/>
      </c>
    </row>
    <row r="115" spans="1:8" ht="14.5">
      <c r="A115" s="8">
        <f t="shared" si="11"/>
        <v>42</v>
      </c>
      <c r="B115" s="15" t="s">
        <v>149</v>
      </c>
      <c r="C115" s="16" t="s">
        <v>150</v>
      </c>
      <c r="D115" s="17">
        <f t="shared" ca="1" si="12"/>
        <v>0</v>
      </c>
      <c r="E115" s="17">
        <f t="shared" ca="1" si="14"/>
        <v>0</v>
      </c>
      <c r="F115" s="17" t="str">
        <f t="shared" ca="1" si="8"/>
        <v/>
      </c>
      <c r="G115" s="17" t="str">
        <f t="shared" ca="1" si="9"/>
        <v/>
      </c>
      <c r="H115" s="17" t="str">
        <f t="shared" ca="1" si="10"/>
        <v/>
      </c>
    </row>
    <row r="116" spans="1:8" ht="14.5">
      <c r="A116" s="8">
        <f t="shared" si="11"/>
        <v>43</v>
      </c>
      <c r="B116" s="15" t="s">
        <v>151</v>
      </c>
      <c r="C116" s="16" t="s">
        <v>152</v>
      </c>
      <c r="D116" s="17">
        <f t="shared" ca="1" si="12"/>
        <v>0</v>
      </c>
      <c r="E116" s="17">
        <f t="shared" ca="1" si="14"/>
        <v>0</v>
      </c>
      <c r="F116" s="17" t="str">
        <f t="shared" ca="1" si="8"/>
        <v/>
      </c>
      <c r="G116" s="17" t="str">
        <f t="shared" ca="1" si="9"/>
        <v/>
      </c>
      <c r="H116" s="17" t="str">
        <f t="shared" ca="1" si="10"/>
        <v/>
      </c>
    </row>
    <row r="117" spans="1:8" ht="14.5">
      <c r="A117" s="8">
        <f t="shared" si="11"/>
        <v>44</v>
      </c>
      <c r="B117" s="19" t="s">
        <v>153</v>
      </c>
      <c r="C117" s="16" t="s">
        <v>152</v>
      </c>
      <c r="D117" s="17">
        <f t="shared" ca="1" si="12"/>
        <v>0</v>
      </c>
      <c r="E117" s="17">
        <f t="shared" ca="1" si="14"/>
        <v>0</v>
      </c>
      <c r="F117" s="17" t="str">
        <f t="shared" ca="1" si="8"/>
        <v/>
      </c>
      <c r="G117" s="17" t="str">
        <f t="shared" ca="1" si="9"/>
        <v/>
      </c>
      <c r="H117" s="17" t="str">
        <f t="shared" ca="1" si="10"/>
        <v/>
      </c>
    </row>
    <row r="118" spans="1:8" ht="14.5">
      <c r="A118" s="8">
        <f t="shared" si="11"/>
        <v>45</v>
      </c>
      <c r="B118" s="15" t="s">
        <v>154</v>
      </c>
      <c r="C118" s="16" t="s">
        <v>155</v>
      </c>
      <c r="D118" s="17">
        <f t="shared" ca="1" si="12"/>
        <v>0</v>
      </c>
      <c r="E118" s="17">
        <f t="shared" ca="1" si="14"/>
        <v>0</v>
      </c>
      <c r="F118" s="17" t="str">
        <f t="shared" ca="1" si="8"/>
        <v/>
      </c>
      <c r="G118" s="17" t="str">
        <f t="shared" ca="1" si="9"/>
        <v/>
      </c>
      <c r="H118" s="17" t="str">
        <f t="shared" ca="1" si="10"/>
        <v/>
      </c>
    </row>
    <row r="119" spans="1:8" ht="14.5">
      <c r="A119" s="8">
        <f t="shared" si="11"/>
        <v>46</v>
      </c>
      <c r="B119" s="15" t="s">
        <v>156</v>
      </c>
      <c r="C119" s="16" t="s">
        <v>157</v>
      </c>
      <c r="D119" s="17">
        <f t="shared" ca="1" si="12"/>
        <v>0</v>
      </c>
      <c r="E119" s="17">
        <f t="shared" ca="1" si="14"/>
        <v>0</v>
      </c>
      <c r="F119" s="17" t="str">
        <f t="shared" ca="1" si="8"/>
        <v/>
      </c>
      <c r="G119" s="17" t="str">
        <f t="shared" ca="1" si="9"/>
        <v/>
      </c>
      <c r="H119" s="17" t="str">
        <f t="shared" ca="1" si="10"/>
        <v/>
      </c>
    </row>
    <row r="120" spans="1:8" ht="14.5">
      <c r="A120" s="8">
        <f t="shared" si="11"/>
        <v>47</v>
      </c>
      <c r="B120" s="15" t="s">
        <v>158</v>
      </c>
      <c r="C120" s="16" t="s">
        <v>157</v>
      </c>
      <c r="D120" s="17">
        <f t="shared" ca="1" si="12"/>
        <v>0</v>
      </c>
      <c r="E120" s="17">
        <f t="shared" ca="1" si="14"/>
        <v>0</v>
      </c>
      <c r="F120" s="17" t="str">
        <f t="shared" ca="1" si="8"/>
        <v/>
      </c>
      <c r="G120" s="17" t="str">
        <f t="shared" ca="1" si="9"/>
        <v/>
      </c>
      <c r="H120" s="17" t="str">
        <f t="shared" ca="1" si="10"/>
        <v/>
      </c>
    </row>
    <row r="121" spans="1:8" ht="14.5">
      <c r="A121" s="8">
        <f t="shared" si="11"/>
        <v>48</v>
      </c>
      <c r="B121" s="15" t="s">
        <v>159</v>
      </c>
      <c r="C121" s="16" t="s">
        <v>157</v>
      </c>
      <c r="D121" s="17">
        <f t="shared" ca="1" si="12"/>
        <v>0</v>
      </c>
      <c r="E121" s="17">
        <f t="shared" ca="1" si="14"/>
        <v>0</v>
      </c>
      <c r="F121" s="17" t="str">
        <f t="shared" ca="1" si="8"/>
        <v/>
      </c>
      <c r="G121" s="17" t="str">
        <f t="shared" ca="1" si="9"/>
        <v/>
      </c>
      <c r="H121" s="17" t="str">
        <f t="shared" ca="1" si="10"/>
        <v/>
      </c>
    </row>
    <row r="122" spans="1:8" ht="14.5">
      <c r="A122" s="8">
        <f t="shared" si="11"/>
        <v>49</v>
      </c>
      <c r="B122" s="15" t="s">
        <v>160</v>
      </c>
      <c r="C122" s="16" t="s">
        <v>157</v>
      </c>
      <c r="D122" s="17">
        <f t="shared" ca="1" si="12"/>
        <v>0</v>
      </c>
      <c r="E122" s="17">
        <f t="shared" ca="1" si="14"/>
        <v>0</v>
      </c>
      <c r="F122" s="17" t="str">
        <f t="shared" ca="1" si="8"/>
        <v/>
      </c>
      <c r="G122" s="17" t="str">
        <f t="shared" ca="1" si="9"/>
        <v/>
      </c>
      <c r="H122" s="17" t="str">
        <f t="shared" ca="1" si="10"/>
        <v/>
      </c>
    </row>
    <row r="123" spans="1:8" ht="14.5">
      <c r="A123" s="8">
        <f t="shared" si="11"/>
        <v>50</v>
      </c>
      <c r="B123" s="15" t="s">
        <v>161</v>
      </c>
      <c r="C123" s="16" t="s">
        <v>157</v>
      </c>
      <c r="D123" s="17">
        <f t="shared" ca="1" si="12"/>
        <v>0</v>
      </c>
      <c r="E123" s="17">
        <f t="shared" ca="1" si="14"/>
        <v>0</v>
      </c>
      <c r="F123" s="17" t="str">
        <f t="shared" ca="1" si="8"/>
        <v/>
      </c>
      <c r="G123" s="17" t="str">
        <f t="shared" ca="1" si="9"/>
        <v/>
      </c>
      <c r="H123" s="17" t="str">
        <f t="shared" ca="1" si="10"/>
        <v/>
      </c>
    </row>
    <row r="124" spans="1:8" ht="14.5">
      <c r="A124" s="8">
        <f t="shared" si="11"/>
        <v>51</v>
      </c>
      <c r="B124" s="20" t="s">
        <v>162</v>
      </c>
      <c r="C124" s="16" t="s">
        <v>157</v>
      </c>
      <c r="D124" s="17">
        <f t="shared" ca="1" si="12"/>
        <v>0</v>
      </c>
      <c r="E124" s="17">
        <f t="shared" ca="1" si="14"/>
        <v>0</v>
      </c>
      <c r="F124" s="17" t="str">
        <f t="shared" ca="1" si="8"/>
        <v/>
      </c>
      <c r="G124" s="17" t="str">
        <f t="shared" ca="1" si="9"/>
        <v/>
      </c>
      <c r="H124" s="17" t="str">
        <f t="shared" ca="1" si="10"/>
        <v/>
      </c>
    </row>
    <row r="125" spans="1:8" ht="14.5">
      <c r="A125" s="8">
        <f t="shared" si="11"/>
        <v>52</v>
      </c>
      <c r="B125" s="15" t="s">
        <v>163</v>
      </c>
      <c r="C125" s="16" t="s">
        <v>157</v>
      </c>
      <c r="D125" s="17">
        <f ca="1">IFERROR(INDIRECT(CONCATENATE("'",C125,"'!B1")),0)</f>
        <v>0</v>
      </c>
      <c r="E125" s="17">
        <f ca="1">IFERROR(INDIRECT(CONCATENATE("'",C125,"'!B2")),0)</f>
        <v>0</v>
      </c>
      <c r="F125" s="17" t="str">
        <f t="shared" ca="1" si="8"/>
        <v/>
      </c>
      <c r="G125" s="17" t="str">
        <f t="shared" ca="1" si="9"/>
        <v/>
      </c>
      <c r="H125" s="17" t="str">
        <f t="shared" ca="1" si="10"/>
        <v/>
      </c>
    </row>
    <row r="126" spans="1:8" ht="14.5">
      <c r="A126" s="8">
        <f t="shared" si="11"/>
        <v>53</v>
      </c>
      <c r="B126" s="15" t="s">
        <v>164</v>
      </c>
      <c r="C126" s="16" t="s">
        <v>157</v>
      </c>
      <c r="D126" s="17">
        <f t="shared" ca="1" si="12"/>
        <v>0</v>
      </c>
      <c r="E126" s="17">
        <f t="shared" ref="E126:E136" ca="1" si="15">IFERROR(INDIRECT(CONCATENATE("'",C126,"'!B2")),0)</f>
        <v>0</v>
      </c>
      <c r="F126" s="17" t="str">
        <f t="shared" ca="1" si="8"/>
        <v/>
      </c>
      <c r="G126" s="17" t="str">
        <f t="shared" ca="1" si="9"/>
        <v/>
      </c>
      <c r="H126" s="17" t="str">
        <f t="shared" ca="1" si="10"/>
        <v/>
      </c>
    </row>
    <row r="127" spans="1:8" ht="14.5">
      <c r="A127" s="8">
        <f t="shared" si="11"/>
        <v>54</v>
      </c>
      <c r="B127" s="15" t="s">
        <v>165</v>
      </c>
      <c r="C127" s="16" t="s">
        <v>157</v>
      </c>
      <c r="D127" s="17">
        <f t="shared" ca="1" si="12"/>
        <v>0</v>
      </c>
      <c r="E127" s="17">
        <f t="shared" ca="1" si="15"/>
        <v>0</v>
      </c>
      <c r="F127" s="17" t="str">
        <f t="shared" ca="1" si="8"/>
        <v/>
      </c>
      <c r="G127" s="17" t="str">
        <f t="shared" ca="1" si="9"/>
        <v/>
      </c>
      <c r="H127" s="17" t="str">
        <f t="shared" ca="1" si="10"/>
        <v/>
      </c>
    </row>
    <row r="128" spans="1:8" ht="14.5">
      <c r="A128" s="8">
        <f t="shared" si="11"/>
        <v>55</v>
      </c>
      <c r="B128" s="15" t="s">
        <v>166</v>
      </c>
      <c r="C128" s="16" t="s">
        <v>112</v>
      </c>
      <c r="D128" s="17">
        <f t="shared" ca="1" si="12"/>
        <v>0</v>
      </c>
      <c r="E128" s="17">
        <f t="shared" ca="1" si="15"/>
        <v>0</v>
      </c>
      <c r="F128" s="17" t="str">
        <f t="shared" ca="1" si="8"/>
        <v/>
      </c>
      <c r="G128" s="17" t="str">
        <f t="shared" ca="1" si="9"/>
        <v/>
      </c>
      <c r="H128" s="17" t="str">
        <f t="shared" ca="1" si="10"/>
        <v/>
      </c>
    </row>
    <row r="129" spans="1:8" ht="14.5">
      <c r="A129" s="8">
        <f t="shared" si="11"/>
        <v>56</v>
      </c>
      <c r="B129" s="15" t="s">
        <v>167</v>
      </c>
      <c r="C129" s="16" t="s">
        <v>112</v>
      </c>
      <c r="D129" s="17">
        <f t="shared" ca="1" si="12"/>
        <v>0</v>
      </c>
      <c r="E129" s="17">
        <f t="shared" ca="1" si="15"/>
        <v>0</v>
      </c>
      <c r="F129" s="17" t="str">
        <f t="shared" ca="1" si="8"/>
        <v/>
      </c>
      <c r="G129" s="17" t="str">
        <f t="shared" ca="1" si="9"/>
        <v/>
      </c>
      <c r="H129" s="17" t="str">
        <f t="shared" ca="1" si="10"/>
        <v/>
      </c>
    </row>
    <row r="130" spans="1:8" ht="14.5">
      <c r="A130" s="8">
        <f t="shared" si="11"/>
        <v>57</v>
      </c>
      <c r="B130" s="15" t="s">
        <v>168</v>
      </c>
      <c r="C130" s="16" t="s">
        <v>112</v>
      </c>
      <c r="D130" s="17">
        <f t="shared" ca="1" si="12"/>
        <v>0</v>
      </c>
      <c r="E130" s="17">
        <f t="shared" ca="1" si="15"/>
        <v>0</v>
      </c>
      <c r="F130" s="17" t="str">
        <f t="shared" ca="1" si="8"/>
        <v/>
      </c>
      <c r="G130" s="17" t="str">
        <f t="shared" ca="1" si="9"/>
        <v/>
      </c>
      <c r="H130" s="17" t="str">
        <f t="shared" ca="1" si="10"/>
        <v/>
      </c>
    </row>
    <row r="131" spans="1:8" ht="14.5">
      <c r="A131" s="8">
        <f t="shared" si="11"/>
        <v>58</v>
      </c>
      <c r="B131" s="15" t="s">
        <v>169</v>
      </c>
      <c r="C131" s="16" t="s">
        <v>112</v>
      </c>
      <c r="D131" s="17">
        <f t="shared" ca="1" si="12"/>
        <v>0</v>
      </c>
      <c r="E131" s="17">
        <f t="shared" ca="1" si="15"/>
        <v>0</v>
      </c>
      <c r="F131" s="17" t="str">
        <f t="shared" ca="1" si="8"/>
        <v/>
      </c>
      <c r="G131" s="17" t="str">
        <f t="shared" ca="1" si="9"/>
        <v/>
      </c>
      <c r="H131" s="17" t="str">
        <f t="shared" ca="1" si="10"/>
        <v/>
      </c>
    </row>
    <row r="132" spans="1:8" ht="14.5">
      <c r="A132" s="8">
        <f t="shared" si="11"/>
        <v>59</v>
      </c>
      <c r="B132" s="15" t="s">
        <v>170</v>
      </c>
      <c r="C132" s="16" t="s">
        <v>112</v>
      </c>
      <c r="D132" s="17">
        <f t="shared" ca="1" si="12"/>
        <v>0</v>
      </c>
      <c r="E132" s="17">
        <f t="shared" ca="1" si="15"/>
        <v>0</v>
      </c>
      <c r="F132" s="17" t="str">
        <f t="shared" ca="1" si="8"/>
        <v/>
      </c>
      <c r="G132" s="17" t="str">
        <f t="shared" ca="1" si="9"/>
        <v/>
      </c>
      <c r="H132" s="17" t="str">
        <f t="shared" ca="1" si="10"/>
        <v/>
      </c>
    </row>
    <row r="133" spans="1:8" ht="14.5">
      <c r="A133" s="8">
        <f t="shared" si="11"/>
        <v>60</v>
      </c>
      <c r="B133" s="15" t="s">
        <v>171</v>
      </c>
      <c r="C133" s="16" t="s">
        <v>172</v>
      </c>
      <c r="D133" s="17">
        <f t="shared" ca="1" si="12"/>
        <v>0</v>
      </c>
      <c r="E133" s="17">
        <f t="shared" ca="1" si="15"/>
        <v>0</v>
      </c>
      <c r="F133" s="17" t="str">
        <f t="shared" ref="F133:F196" ca="1" si="16">IF(D133=0,"",CONCATENATE("'",$C133,"'!",ADDRESS($D$1,1,1),":",ADDRESS($D133,1,1)))</f>
        <v/>
      </c>
      <c r="G133" s="17" t="str">
        <f t="shared" ref="G133:G196" ca="1" si="17">IF(D133=0,"",CONCATENATE("'",C133,"'!",ADDRESS(4,$E$1,1),":",ADDRESS(4,$E133,1)))</f>
        <v/>
      </c>
      <c r="H133" s="17" t="str">
        <f t="shared" ref="H133:H196" ca="1" si="18">IF(D133=0,"",CONCATENATE("'",C133,"'!",ADDRESS($D$1,$E$1,1),":",ADDRESS($D133,$E133,1)))</f>
        <v/>
      </c>
    </row>
    <row r="134" spans="1:8" ht="14.5">
      <c r="A134" s="8">
        <f t="shared" ref="A134:A153" si="19">A133+1</f>
        <v>61</v>
      </c>
      <c r="B134" s="15" t="s">
        <v>173</v>
      </c>
      <c r="C134" s="16" t="s">
        <v>174</v>
      </c>
      <c r="D134" s="17">
        <f t="shared" ca="1" si="12"/>
        <v>0</v>
      </c>
      <c r="E134" s="17">
        <f t="shared" ca="1" si="15"/>
        <v>0</v>
      </c>
      <c r="F134" s="17" t="str">
        <f t="shared" ca="1" si="16"/>
        <v/>
      </c>
      <c r="G134" s="17" t="str">
        <f t="shared" ca="1" si="17"/>
        <v/>
      </c>
      <c r="H134" s="17" t="str">
        <f t="shared" ca="1" si="18"/>
        <v/>
      </c>
    </row>
    <row r="135" spans="1:8" ht="14.5">
      <c r="A135" s="8">
        <f t="shared" si="19"/>
        <v>62</v>
      </c>
      <c r="B135" s="15" t="s">
        <v>175</v>
      </c>
      <c r="C135" s="16" t="s">
        <v>176</v>
      </c>
      <c r="D135" s="17">
        <f t="shared" ca="1" si="12"/>
        <v>0</v>
      </c>
      <c r="E135" s="17">
        <f t="shared" ca="1" si="15"/>
        <v>0</v>
      </c>
      <c r="F135" s="17" t="str">
        <f t="shared" ca="1" si="16"/>
        <v/>
      </c>
      <c r="G135" s="17" t="str">
        <f t="shared" ca="1" si="17"/>
        <v/>
      </c>
      <c r="H135" s="17" t="str">
        <f t="shared" ca="1" si="18"/>
        <v/>
      </c>
    </row>
    <row r="136" spans="1:8" ht="14.5">
      <c r="A136" s="8">
        <f t="shared" si="19"/>
        <v>63</v>
      </c>
      <c r="B136" s="15" t="s">
        <v>177</v>
      </c>
      <c r="C136" s="16" t="s">
        <v>176</v>
      </c>
      <c r="D136" s="17">
        <f t="shared" ca="1" si="12"/>
        <v>0</v>
      </c>
      <c r="E136" s="17">
        <f t="shared" ca="1" si="15"/>
        <v>0</v>
      </c>
      <c r="F136" s="17" t="str">
        <f t="shared" ca="1" si="16"/>
        <v/>
      </c>
      <c r="G136" s="17" t="str">
        <f t="shared" ca="1" si="17"/>
        <v/>
      </c>
      <c r="H136" s="17" t="str">
        <f t="shared" ca="1" si="18"/>
        <v/>
      </c>
    </row>
    <row r="137" spans="1:8" ht="14.5">
      <c r="A137" s="8">
        <f t="shared" si="19"/>
        <v>64</v>
      </c>
      <c r="B137" s="15" t="s">
        <v>178</v>
      </c>
      <c r="C137" s="16" t="s">
        <v>176</v>
      </c>
      <c r="D137" s="17">
        <f ca="1">IFERROR(INDIRECT(CONCATENATE("'",C137,"'!B1")),0)</f>
        <v>0</v>
      </c>
      <c r="E137" s="17">
        <f ca="1">IFERROR(INDIRECT(CONCATENATE("'",C137,"'!B2")),0)</f>
        <v>0</v>
      </c>
      <c r="F137" s="17" t="str">
        <f t="shared" ca="1" si="16"/>
        <v/>
      </c>
      <c r="G137" s="17" t="str">
        <f t="shared" ca="1" si="17"/>
        <v/>
      </c>
      <c r="H137" s="17" t="str">
        <f t="shared" ca="1" si="18"/>
        <v/>
      </c>
    </row>
    <row r="138" spans="1:8" ht="14.5">
      <c r="A138" s="8">
        <f t="shared" si="19"/>
        <v>65</v>
      </c>
      <c r="B138" s="15" t="s">
        <v>179</v>
      </c>
      <c r="C138" s="16" t="s">
        <v>176</v>
      </c>
      <c r="D138" s="17">
        <f t="shared" ca="1" si="12"/>
        <v>0</v>
      </c>
      <c r="E138" s="17">
        <f t="shared" ref="E138:E153" ca="1" si="20">IFERROR(INDIRECT(CONCATENATE("'",C138,"'!B2")),0)</f>
        <v>0</v>
      </c>
      <c r="F138" s="17" t="str">
        <f t="shared" ca="1" si="16"/>
        <v/>
      </c>
      <c r="G138" s="17" t="str">
        <f t="shared" ca="1" si="17"/>
        <v/>
      </c>
      <c r="H138" s="17" t="str">
        <f t="shared" ca="1" si="18"/>
        <v/>
      </c>
    </row>
    <row r="139" spans="1:8" ht="14.5">
      <c r="A139" s="8">
        <f t="shared" si="19"/>
        <v>66</v>
      </c>
      <c r="B139" s="15" t="s">
        <v>180</v>
      </c>
      <c r="C139" s="16" t="s">
        <v>181</v>
      </c>
      <c r="D139" s="17">
        <f t="shared" ref="D139:D153" ca="1" si="21">IFERROR(INDIRECT(CONCATENATE("'",C139,"'!B1")),0)</f>
        <v>0</v>
      </c>
      <c r="E139" s="17">
        <f t="shared" ca="1" si="20"/>
        <v>0</v>
      </c>
      <c r="F139" s="17" t="str">
        <f t="shared" ca="1" si="16"/>
        <v/>
      </c>
      <c r="G139" s="17" t="str">
        <f t="shared" ca="1" si="17"/>
        <v/>
      </c>
      <c r="H139" s="17" t="str">
        <f t="shared" ca="1" si="18"/>
        <v/>
      </c>
    </row>
    <row r="140" spans="1:8" ht="14.5">
      <c r="A140" s="8">
        <f t="shared" si="19"/>
        <v>67</v>
      </c>
      <c r="B140" s="15" t="s">
        <v>182</v>
      </c>
      <c r="C140" s="16" t="s">
        <v>181</v>
      </c>
      <c r="D140" s="17">
        <f t="shared" ca="1" si="21"/>
        <v>0</v>
      </c>
      <c r="E140" s="17">
        <f t="shared" ca="1" si="20"/>
        <v>0</v>
      </c>
      <c r="F140" s="17" t="str">
        <f t="shared" ca="1" si="16"/>
        <v/>
      </c>
      <c r="G140" s="17" t="str">
        <f t="shared" ca="1" si="17"/>
        <v/>
      </c>
      <c r="H140" s="17" t="str">
        <f t="shared" ca="1" si="18"/>
        <v/>
      </c>
    </row>
    <row r="141" spans="1:8" ht="14.5">
      <c r="A141" s="8">
        <f t="shared" si="19"/>
        <v>68</v>
      </c>
      <c r="B141" s="15" t="s">
        <v>183</v>
      </c>
      <c r="C141" s="16" t="s">
        <v>184</v>
      </c>
      <c r="D141" s="17">
        <f t="shared" ca="1" si="21"/>
        <v>0</v>
      </c>
      <c r="E141" s="17">
        <f t="shared" ca="1" si="20"/>
        <v>0</v>
      </c>
      <c r="F141" s="17" t="str">
        <f t="shared" ca="1" si="16"/>
        <v/>
      </c>
      <c r="G141" s="17" t="str">
        <f t="shared" ca="1" si="17"/>
        <v/>
      </c>
      <c r="H141" s="17" t="str">
        <f t="shared" ca="1" si="18"/>
        <v/>
      </c>
    </row>
    <row r="142" spans="1:8" ht="14.5">
      <c r="A142" s="8">
        <f t="shared" si="19"/>
        <v>69</v>
      </c>
      <c r="B142" s="15" t="s">
        <v>185</v>
      </c>
      <c r="C142" s="21" t="s">
        <v>186</v>
      </c>
      <c r="D142" s="17">
        <f t="shared" ca="1" si="21"/>
        <v>0</v>
      </c>
      <c r="E142" s="17">
        <f t="shared" ca="1" si="20"/>
        <v>0</v>
      </c>
      <c r="F142" s="17" t="str">
        <f t="shared" ca="1" si="16"/>
        <v/>
      </c>
      <c r="G142" s="17" t="str">
        <f t="shared" ca="1" si="17"/>
        <v/>
      </c>
      <c r="H142" s="17" t="str">
        <f t="shared" ca="1" si="18"/>
        <v/>
      </c>
    </row>
    <row r="143" spans="1:8" ht="14.5">
      <c r="A143" s="8">
        <f t="shared" si="19"/>
        <v>70</v>
      </c>
      <c r="B143" s="15" t="s">
        <v>187</v>
      </c>
      <c r="C143" s="21" t="s">
        <v>186</v>
      </c>
      <c r="D143" s="17">
        <f t="shared" ca="1" si="21"/>
        <v>0</v>
      </c>
      <c r="E143" s="17">
        <f t="shared" ca="1" si="20"/>
        <v>0</v>
      </c>
      <c r="F143" s="17" t="str">
        <f t="shared" ca="1" si="16"/>
        <v/>
      </c>
      <c r="G143" s="17" t="str">
        <f t="shared" ca="1" si="17"/>
        <v/>
      </c>
      <c r="H143" s="17" t="str">
        <f t="shared" ca="1" si="18"/>
        <v/>
      </c>
    </row>
    <row r="144" spans="1:8" ht="14.5">
      <c r="A144" s="8">
        <f t="shared" si="19"/>
        <v>71</v>
      </c>
      <c r="B144" s="15" t="s">
        <v>188</v>
      </c>
      <c r="C144" s="16" t="s">
        <v>112</v>
      </c>
      <c r="D144" s="17">
        <f t="shared" ca="1" si="21"/>
        <v>0</v>
      </c>
      <c r="E144" s="17">
        <f t="shared" ca="1" si="20"/>
        <v>0</v>
      </c>
      <c r="F144" s="17" t="str">
        <f t="shared" ca="1" si="16"/>
        <v/>
      </c>
      <c r="G144" s="17" t="str">
        <f t="shared" ca="1" si="17"/>
        <v/>
      </c>
      <c r="H144" s="17" t="str">
        <f t="shared" ca="1" si="18"/>
        <v/>
      </c>
    </row>
    <row r="145" spans="1:8" ht="14.5">
      <c r="A145" s="8">
        <f t="shared" si="19"/>
        <v>72</v>
      </c>
      <c r="B145" s="15" t="s">
        <v>189</v>
      </c>
      <c r="C145" s="21" t="s">
        <v>186</v>
      </c>
      <c r="D145" s="17">
        <f t="shared" ca="1" si="21"/>
        <v>0</v>
      </c>
      <c r="E145" s="17">
        <f t="shared" ca="1" si="20"/>
        <v>0</v>
      </c>
      <c r="F145" s="17" t="str">
        <f t="shared" ca="1" si="16"/>
        <v/>
      </c>
      <c r="G145" s="17" t="str">
        <f t="shared" ca="1" si="17"/>
        <v/>
      </c>
      <c r="H145" s="17" t="str">
        <f t="shared" ca="1" si="18"/>
        <v/>
      </c>
    </row>
    <row r="146" spans="1:8" ht="14.5">
      <c r="A146" s="8">
        <f t="shared" si="19"/>
        <v>73</v>
      </c>
      <c r="B146" s="15" t="s">
        <v>190</v>
      </c>
      <c r="C146" s="21" t="s">
        <v>186</v>
      </c>
      <c r="D146" s="17">
        <f t="shared" ca="1" si="21"/>
        <v>0</v>
      </c>
      <c r="E146" s="17">
        <f t="shared" ca="1" si="20"/>
        <v>0</v>
      </c>
      <c r="F146" s="17" t="str">
        <f t="shared" ca="1" si="16"/>
        <v/>
      </c>
      <c r="G146" s="17" t="str">
        <f t="shared" ca="1" si="17"/>
        <v/>
      </c>
      <c r="H146" s="17" t="str">
        <f t="shared" ca="1" si="18"/>
        <v/>
      </c>
    </row>
    <row r="147" spans="1:8" ht="14.5">
      <c r="A147" s="8">
        <f t="shared" si="19"/>
        <v>74</v>
      </c>
      <c r="B147" s="15" t="s">
        <v>191</v>
      </c>
      <c r="C147" s="22" t="s">
        <v>98</v>
      </c>
      <c r="D147" s="17">
        <f t="shared" ca="1" si="21"/>
        <v>0</v>
      </c>
      <c r="E147" s="17">
        <f t="shared" ca="1" si="20"/>
        <v>0</v>
      </c>
      <c r="F147" s="17" t="str">
        <f t="shared" ca="1" si="16"/>
        <v/>
      </c>
      <c r="G147" s="17" t="str">
        <f t="shared" ca="1" si="17"/>
        <v/>
      </c>
      <c r="H147" s="17" t="str">
        <f t="shared" ca="1" si="18"/>
        <v/>
      </c>
    </row>
    <row r="148" spans="1:8" ht="14.5">
      <c r="A148" s="8">
        <f t="shared" si="19"/>
        <v>75</v>
      </c>
      <c r="B148" s="15" t="s">
        <v>192</v>
      </c>
      <c r="C148" s="16" t="s">
        <v>157</v>
      </c>
      <c r="D148" s="17">
        <f t="shared" ca="1" si="21"/>
        <v>0</v>
      </c>
      <c r="E148" s="17">
        <f t="shared" ca="1" si="20"/>
        <v>0</v>
      </c>
      <c r="F148" s="17" t="str">
        <f t="shared" ca="1" si="16"/>
        <v/>
      </c>
      <c r="G148" s="17" t="str">
        <f t="shared" ca="1" si="17"/>
        <v/>
      </c>
      <c r="H148" s="17" t="str">
        <f t="shared" ca="1" si="18"/>
        <v/>
      </c>
    </row>
    <row r="149" spans="1:8" ht="14.5">
      <c r="A149" s="8">
        <f t="shared" si="19"/>
        <v>76</v>
      </c>
      <c r="B149" s="15"/>
      <c r="C149" s="16"/>
      <c r="D149" s="17">
        <f t="shared" ca="1" si="21"/>
        <v>0</v>
      </c>
      <c r="E149" s="17">
        <f t="shared" ca="1" si="20"/>
        <v>0</v>
      </c>
      <c r="F149" s="17" t="str">
        <f t="shared" ca="1" si="16"/>
        <v/>
      </c>
      <c r="G149" s="17" t="str">
        <f t="shared" ca="1" si="17"/>
        <v/>
      </c>
      <c r="H149" s="17" t="str">
        <f t="shared" ca="1" si="18"/>
        <v/>
      </c>
    </row>
    <row r="150" spans="1:8" ht="14.5">
      <c r="A150" s="8">
        <f t="shared" si="19"/>
        <v>77</v>
      </c>
      <c r="B150" s="15" t="s">
        <v>193</v>
      </c>
      <c r="C150" s="16" t="s">
        <v>98</v>
      </c>
      <c r="D150" s="17">
        <f t="shared" ca="1" si="21"/>
        <v>0</v>
      </c>
      <c r="E150" s="17">
        <f t="shared" ca="1" si="20"/>
        <v>0</v>
      </c>
      <c r="F150" s="17" t="str">
        <f t="shared" ca="1" si="16"/>
        <v/>
      </c>
      <c r="G150" s="17" t="str">
        <f t="shared" ca="1" si="17"/>
        <v/>
      </c>
      <c r="H150" s="17" t="str">
        <f t="shared" ca="1" si="18"/>
        <v/>
      </c>
    </row>
    <row r="151" spans="1:8" ht="14.5">
      <c r="A151" s="8">
        <f t="shared" si="19"/>
        <v>78</v>
      </c>
      <c r="B151" s="15" t="s">
        <v>194</v>
      </c>
      <c r="C151" s="16" t="s">
        <v>112</v>
      </c>
      <c r="D151" s="17">
        <f t="shared" ca="1" si="21"/>
        <v>0</v>
      </c>
      <c r="E151" s="17">
        <f t="shared" ca="1" si="20"/>
        <v>0</v>
      </c>
      <c r="F151" s="17" t="str">
        <f t="shared" ca="1" si="16"/>
        <v/>
      </c>
      <c r="G151" s="17" t="str">
        <f t="shared" ca="1" si="17"/>
        <v/>
      </c>
      <c r="H151" s="17" t="str">
        <f t="shared" ca="1" si="18"/>
        <v/>
      </c>
    </row>
    <row r="152" spans="1:8" ht="14.5">
      <c r="A152" s="8">
        <f t="shared" si="19"/>
        <v>79</v>
      </c>
      <c r="B152" s="15" t="s">
        <v>195</v>
      </c>
      <c r="C152" s="16" t="s">
        <v>112</v>
      </c>
      <c r="D152" s="17">
        <f t="shared" ca="1" si="21"/>
        <v>0</v>
      </c>
      <c r="E152" s="17">
        <f t="shared" ca="1" si="20"/>
        <v>0</v>
      </c>
      <c r="F152" s="17" t="str">
        <f t="shared" ca="1" si="16"/>
        <v/>
      </c>
      <c r="G152" s="17" t="str">
        <f t="shared" ca="1" si="17"/>
        <v/>
      </c>
      <c r="H152" s="17" t="str">
        <f t="shared" ca="1" si="18"/>
        <v/>
      </c>
    </row>
    <row r="153" spans="1:8" ht="14.5">
      <c r="A153" s="8">
        <f t="shared" si="19"/>
        <v>80</v>
      </c>
      <c r="B153" s="15" t="s">
        <v>196</v>
      </c>
      <c r="C153" s="16" t="s">
        <v>112</v>
      </c>
      <c r="D153" s="17">
        <f t="shared" ca="1" si="21"/>
        <v>0</v>
      </c>
      <c r="E153" s="17">
        <f t="shared" ca="1" si="20"/>
        <v>0</v>
      </c>
      <c r="F153" s="17" t="str">
        <f t="shared" ca="1" si="16"/>
        <v/>
      </c>
      <c r="G153" s="17" t="str">
        <f t="shared" ca="1" si="17"/>
        <v/>
      </c>
      <c r="H153" s="17" t="str">
        <f t="shared" ca="1" si="18"/>
        <v/>
      </c>
    </row>
    <row r="154" spans="1:8" ht="14.5">
      <c r="B154" s="23" t="s">
        <v>197</v>
      </c>
      <c r="C154" s="24" t="s">
        <v>198</v>
      </c>
      <c r="D154" s="25">
        <f ca="1">IFERROR(INDIRECT(CONCATENATE("'",C154,"'!B1")),0)</f>
        <v>0</v>
      </c>
      <c r="E154" s="25">
        <f ca="1">IFERROR(INDIRECT(CONCATENATE("'",C154,"'!B2")),0)</f>
        <v>0</v>
      </c>
      <c r="F154" s="25" t="str">
        <f ca="1">IF(D154=0,"",CONCATENATE("'",$C154,"'!",ADDRESS($D$1,1,1),":",ADDRESS($D154,1,1)))</f>
        <v/>
      </c>
      <c r="G154" s="25" t="str">
        <f ca="1">IF(D154=0,"",CONCATENATE("'",C154,"'!",ADDRESS(4,$E$1,1),":",ADDRESS(4,$E154,1)))</f>
        <v/>
      </c>
      <c r="H154" s="25" t="str">
        <f ca="1">IF(D154=0,"",CONCATENATE("'",C154,"'!",ADDRESS($D$1,$E$1,1),":",ADDRESS($D154,$E154,1)))</f>
        <v/>
      </c>
    </row>
    <row r="155" spans="1:8" ht="14.5">
      <c r="B155" s="23" t="s">
        <v>199</v>
      </c>
      <c r="C155" s="24" t="s">
        <v>198</v>
      </c>
      <c r="D155" s="25">
        <f ca="1">IFERROR(INDIRECT(CONCATENATE("'",C155,"'!B1")),0)</f>
        <v>0</v>
      </c>
      <c r="E155" s="25">
        <f ca="1">IFERROR(INDIRECT(CONCATENATE("'",C155,"'!B2")),0)</f>
        <v>0</v>
      </c>
      <c r="F155" s="25" t="str">
        <f ca="1">IF(D155=0,"",CONCATENATE("'",$C155,"'!",ADDRESS($D$1,1,1),":",ADDRESS($D155,1,1)))</f>
        <v/>
      </c>
      <c r="G155" s="25" t="str">
        <f ca="1">IF(D155=0,"",CONCATENATE("'",C155,"'!",ADDRESS(4,$E$1,1),":",ADDRESS(4,$E155,1)))</f>
        <v/>
      </c>
      <c r="H155" s="25" t="str">
        <f ca="1">IF(D155=0,"",CONCATENATE("'",C155,"'!",ADDRESS($D$1,$E$1,1),":",ADDRESS($D155,$E155,1)))</f>
        <v/>
      </c>
    </row>
    <row r="156" spans="1:8" ht="14.5"/>
    <row r="157" spans="1:8" ht="14.5">
      <c r="C157" s="1" t="s">
        <v>174</v>
      </c>
    </row>
    <row r="158" spans="1:8" ht="14.5">
      <c r="C158" s="1" t="s">
        <v>176</v>
      </c>
    </row>
    <row r="159" spans="1:8" ht="14.5">
      <c r="C159" s="1" t="s">
        <v>115</v>
      </c>
    </row>
    <row r="160" spans="1:8" ht="14.5">
      <c r="C160" s="26" t="s">
        <v>122</v>
      </c>
    </row>
    <row r="161" spans="3:3" ht="14.5">
      <c r="C161" s="1" t="s">
        <v>200</v>
      </c>
    </row>
    <row r="162" spans="3:3" ht="14.5">
      <c r="C162" s="1" t="s">
        <v>127</v>
      </c>
    </row>
    <row r="163" spans="3:3" ht="14.5">
      <c r="C163" s="1" t="s">
        <v>201</v>
      </c>
    </row>
    <row r="164" spans="3:3" ht="14.5">
      <c r="C164" s="1" t="s">
        <v>181</v>
      </c>
    </row>
    <row r="165" spans="3:3" ht="14.5">
      <c r="C165" s="1" t="s">
        <v>186</v>
      </c>
    </row>
    <row r="166" spans="3:3" ht="14.5">
      <c r="C166" s="1" t="s">
        <v>135</v>
      </c>
    </row>
    <row r="167" spans="3:3" ht="14.5">
      <c r="C167" s="26" t="s">
        <v>202</v>
      </c>
    </row>
    <row r="168" spans="3:3" ht="14.5">
      <c r="C168" s="1" t="s">
        <v>125</v>
      </c>
    </row>
    <row r="169" spans="3:3" ht="14.5">
      <c r="C169" s="1" t="s">
        <v>203</v>
      </c>
    </row>
    <row r="170" spans="3:3" ht="14.5">
      <c r="C170" s="1" t="s">
        <v>133</v>
      </c>
    </row>
    <row r="171" spans="3:3" ht="14.5">
      <c r="C171" s="1" t="s">
        <v>155</v>
      </c>
    </row>
    <row r="172" spans="3:3" ht="14.5">
      <c r="C172" s="1" t="s">
        <v>184</v>
      </c>
    </row>
    <row r="173" spans="3:3" ht="14.5">
      <c r="C173" s="1" t="s">
        <v>150</v>
      </c>
    </row>
    <row r="174" spans="3:3" ht="14.5">
      <c r="C174" s="26" t="s">
        <v>152</v>
      </c>
    </row>
    <row r="175" spans="3:3" ht="14.5">
      <c r="C175" s="1" t="s">
        <v>204</v>
      </c>
    </row>
    <row r="176" spans="3:3" ht="14.5">
      <c r="C176" s="1" t="s">
        <v>205</v>
      </c>
    </row>
    <row r="177" spans="3:3" ht="14.5">
      <c r="C177" s="1" t="s">
        <v>206</v>
      </c>
    </row>
    <row r="178" spans="3:3" ht="14.5">
      <c r="C178" s="1" t="s">
        <v>207</v>
      </c>
    </row>
    <row r="179" spans="3:3" ht="14.5">
      <c r="C179" s="1" t="s">
        <v>96</v>
      </c>
    </row>
    <row r="180" spans="3:3" ht="14.5">
      <c r="C180" s="1" t="s">
        <v>208</v>
      </c>
    </row>
    <row r="181" spans="3:3" ht="14.5">
      <c r="C181" s="1" t="s">
        <v>209</v>
      </c>
    </row>
    <row r="182" spans="3:3" ht="14.5">
      <c r="C182" s="1" t="s">
        <v>112</v>
      </c>
    </row>
    <row r="183" spans="3:3" ht="14.5">
      <c r="C183" s="1" t="s">
        <v>143</v>
      </c>
    </row>
    <row r="184" spans="3:3" ht="14.5">
      <c r="C184" s="1" t="s">
        <v>98</v>
      </c>
    </row>
    <row r="185" spans="3:3" ht="14.5">
      <c r="C185" s="26" t="s">
        <v>172</v>
      </c>
    </row>
    <row r="186" spans="3:3" ht="14.5">
      <c r="C186" s="1" t="s">
        <v>145</v>
      </c>
    </row>
    <row r="187" spans="3:3" ht="14.5">
      <c r="C187" s="1" t="s">
        <v>210</v>
      </c>
    </row>
    <row r="188" spans="3:3" ht="14.5">
      <c r="C188" s="26" t="s">
        <v>141</v>
      </c>
    </row>
    <row r="189" spans="3:3" ht="14.5">
      <c r="C189" s="1" t="s">
        <v>211</v>
      </c>
    </row>
    <row r="190" spans="3:3" ht="14.5">
      <c r="C190" s="1" t="s">
        <v>157</v>
      </c>
    </row>
    <row r="191" spans="3:3" ht="14.5">
      <c r="C191" s="1" t="s">
        <v>212</v>
      </c>
    </row>
    <row r="192" spans="3:3" ht="14.5">
      <c r="C192" s="1" t="s">
        <v>147</v>
      </c>
    </row>
    <row r="193" spans="2:3" ht="14.5"/>
    <row r="194" spans="2:3" ht="14.5">
      <c r="B194" s="27" t="s">
        <v>213</v>
      </c>
      <c r="C194" s="26" t="s">
        <v>214</v>
      </c>
    </row>
    <row r="195" spans="2:3" ht="14.5"/>
    <row r="196" spans="2:3" ht="14.5"/>
    <row r="197" spans="2:3" ht="14.5"/>
    <row r="198" spans="2:3" ht="14.5"/>
    <row r="199" spans="2:3" ht="14.5"/>
    <row r="200" spans="2:3" ht="14.5"/>
    <row r="201" spans="2:3" ht="14.5"/>
    <row r="202" spans="2:3" ht="14.5"/>
    <row r="203" spans="2:3" ht="14.5"/>
    <row r="204" spans="2:3" ht="14.5"/>
    <row r="205" spans="2:3" ht="14.5"/>
    <row r="206" spans="2:3" ht="14.5"/>
    <row r="207" spans="2:3" ht="14.5"/>
    <row r="208" spans="2:3" ht="14.5"/>
    <row r="209" ht="14.5"/>
    <row r="210" ht="14.5"/>
    <row r="211" ht="14.5"/>
    <row r="212" ht="14.5"/>
    <row r="213" ht="14.5"/>
    <row r="214" ht="14.5"/>
    <row r="215" ht="14.5"/>
    <row r="216" ht="14.5"/>
    <row r="217" ht="14.5"/>
    <row r="218" ht="14.5"/>
    <row r="219" ht="14.5"/>
    <row r="220" ht="14.5"/>
    <row r="221" ht="14.5"/>
    <row r="222" ht="14.5"/>
    <row r="223" ht="14.5"/>
    <row r="224" ht="14.5"/>
    <row r="225" ht="14.5"/>
    <row r="226" ht="14.5"/>
    <row r="227" ht="14.5"/>
    <row r="228" ht="14.5"/>
    <row r="229" ht="14.5"/>
  </sheetData>
  <dataValidations count="1">
    <dataValidation type="list" allowBlank="1" showInputMessage="1" showErrorMessage="1" sqref="C74:C153" xr:uid="{6BE6004B-EBFC-4D54-BCF9-01A6F6F9EDA3}">
      <formula1>___ServicesMasterList_SymbolTPS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D3F8-43AC-45E7-8C9B-5392EEF1D4E2}">
  <dimension ref="A1:AV4319"/>
  <sheetViews>
    <sheetView workbookViewId="0">
      <selection sqref="A1:XFD1048576"/>
    </sheetView>
  </sheetViews>
  <sheetFormatPr defaultColWidth="0" defaultRowHeight="0" zeroHeight="1" outlineLevelRow="1" outlineLevelCol="1"/>
  <cols>
    <col min="1" max="1" width="4.453125" style="28" bestFit="1" customWidth="1"/>
    <col min="2" max="2" width="32.1796875" style="32" customWidth="1"/>
    <col min="3" max="3" width="21.26953125" style="32" hidden="1" outlineLevel="1"/>
    <col min="4" max="4" width="14.1796875" style="31" hidden="1" outlineLevel="1"/>
    <col min="5" max="5" width="13" style="31" hidden="1" outlineLevel="1"/>
    <col min="6" max="6" width="12.26953125" style="31" customWidth="1" collapsed="1"/>
    <col min="7" max="7" width="11.7265625" style="32" customWidth="1" outlineLevel="1"/>
    <col min="8" max="8" width="13.81640625" style="32" customWidth="1" outlineLevel="1"/>
    <col min="9" max="10" width="2.7265625" style="32" customWidth="1"/>
    <col min="11" max="11" width="10.1796875" style="32" customWidth="1"/>
    <col min="12" max="12" width="6.7265625" style="32" customWidth="1"/>
    <col min="13" max="13" width="92.1796875" style="32" bestFit="1" customWidth="1"/>
    <col min="14" max="14" width="16.1796875" style="32" customWidth="1" outlineLevel="1"/>
    <col min="15" max="15" width="15.26953125" style="32" customWidth="1" outlineLevel="1"/>
    <col min="16" max="16" width="13" style="32" customWidth="1" outlineLevel="1"/>
    <col min="17" max="17" width="11" style="32" customWidth="1" outlineLevel="1"/>
    <col min="18" max="18" width="15.26953125" style="32" customWidth="1" outlineLevel="1"/>
    <col min="19" max="19" width="12.26953125" style="32" customWidth="1" outlineLevel="1"/>
    <col min="20" max="20" width="10.453125" style="32" customWidth="1" outlineLevel="1"/>
    <col min="21" max="21" width="12" style="32" customWidth="1"/>
    <col min="22" max="22" width="1.7265625" style="32" customWidth="1"/>
    <col min="23" max="23" width="12.7265625" style="32" customWidth="1"/>
    <col min="24" max="24" width="10.54296875" style="32" bestFit="1" customWidth="1"/>
    <col min="25" max="25" width="13.54296875" style="32" customWidth="1"/>
    <col min="26" max="26" width="13.453125" style="32" customWidth="1"/>
    <col min="27" max="27" width="10.1796875" style="32" customWidth="1"/>
    <col min="28" max="28" width="1.54296875" style="32" customWidth="1"/>
    <col min="29" max="29" width="9.7265625" style="32" customWidth="1"/>
    <col min="30" max="30" width="12" style="32" customWidth="1"/>
    <col min="31" max="31" width="38.453125" style="32" customWidth="1"/>
    <col min="32" max="32" width="14.26953125" style="32" bestFit="1" customWidth="1"/>
    <col min="33" max="33" width="9.1796875" style="32" customWidth="1"/>
    <col min="34" max="34" width="16.7265625" style="32" customWidth="1"/>
    <col min="35" max="35" width="9.1796875" style="32" hidden="1"/>
    <col min="36" max="36" width="10.54296875" style="32" hidden="1"/>
    <col min="37" max="37" width="9.1796875" style="32" hidden="1"/>
    <col min="38" max="38" width="10.1796875" style="32" hidden="1"/>
    <col min="39" max="48" width="0" style="32" hidden="1"/>
    <col min="49" max="16384" width="9.1796875" style="32" hidden="1"/>
  </cols>
  <sheetData>
    <row r="1" spans="1:34" ht="15">
      <c r="B1" s="29"/>
      <c r="C1" s="30"/>
    </row>
    <row r="2" spans="1:34" ht="14">
      <c r="B2" s="33" t="s">
        <v>215</v>
      </c>
      <c r="C2" s="34" t="s">
        <v>216</v>
      </c>
      <c r="K2" s="33" t="s">
        <v>217</v>
      </c>
      <c r="L2" s="35"/>
      <c r="M2" s="36" t="s">
        <v>218</v>
      </c>
      <c r="P2" s="37"/>
      <c r="Q2" s="37"/>
      <c r="R2" s="37"/>
    </row>
    <row r="3" spans="1:34" ht="14">
      <c r="B3" s="31"/>
      <c r="C3" s="31"/>
      <c r="K3" s="38"/>
      <c r="L3" s="39"/>
      <c r="M3" s="40"/>
      <c r="P3" s="37"/>
      <c r="Q3" s="37"/>
      <c r="R3" s="37"/>
    </row>
    <row r="4" spans="1:34" ht="14">
      <c r="B4" s="41" t="s">
        <v>219</v>
      </c>
      <c r="C4" s="41" t="s">
        <v>220</v>
      </c>
      <c r="D4" s="42"/>
      <c r="K4" s="43" t="str">
        <f>K420</f>
        <v>Option 1</v>
      </c>
      <c r="L4" s="44"/>
      <c r="M4" s="45" t="str">
        <f>M420</f>
        <v>CONTRACT/TENDER ID GOES DOWN ON EACH OPTION TO BE FILLED-IN (1)</v>
      </c>
      <c r="P4" s="37"/>
      <c r="Q4" s="37"/>
      <c r="R4" s="37"/>
    </row>
    <row r="5" spans="1:34" ht="14">
      <c r="A5" s="31"/>
      <c r="B5" s="46" t="s">
        <v>221</v>
      </c>
      <c r="C5" s="47" t="s">
        <v>222</v>
      </c>
      <c r="D5" s="48" t="s">
        <v>223</v>
      </c>
      <c r="K5" s="43" t="str">
        <f>K825</f>
        <v>Option 2</v>
      </c>
      <c r="L5" s="44"/>
      <c r="M5" s="45" t="str">
        <f>M825</f>
        <v>CONTRACT/TENDER ID GOES DOWN ON EACH OPTION TO BE FILLED-IN (2)</v>
      </c>
      <c r="P5" s="37"/>
      <c r="Q5" s="37"/>
      <c r="R5" s="37"/>
    </row>
    <row r="6" spans="1:34" ht="14">
      <c r="A6" s="31"/>
      <c r="B6" s="46" t="s">
        <v>224</v>
      </c>
      <c r="C6" s="47" t="s">
        <v>225</v>
      </c>
      <c r="D6" s="48" t="s">
        <v>226</v>
      </c>
      <c r="K6" s="49" t="str">
        <f>K1230</f>
        <v>Option 3</v>
      </c>
      <c r="L6" s="50"/>
      <c r="M6" s="51" t="str">
        <f>M1230</f>
        <v>CONTRACT/TENDER ID GOES DOWN ON EACH OPTION TO BE FILLED-IN (3)</v>
      </c>
      <c r="P6" s="37"/>
      <c r="Q6" s="37"/>
      <c r="R6" s="37"/>
    </row>
    <row r="7" spans="1:34" ht="14">
      <c r="A7" s="31"/>
      <c r="B7" s="46" t="s">
        <v>227</v>
      </c>
      <c r="C7" s="47" t="s">
        <v>228</v>
      </c>
      <c r="D7" s="48" t="str">
        <f>'[1]AFE Summary'!$U$11</f>
        <v>VolumeSLB</v>
      </c>
      <c r="E7" s="52" t="s">
        <v>229</v>
      </c>
      <c r="K7" s="53" t="s">
        <v>230</v>
      </c>
      <c r="L7" s="54">
        <v>3.46</v>
      </c>
      <c r="M7" s="55" t="s">
        <v>231</v>
      </c>
      <c r="P7" s="37"/>
      <c r="Q7" s="37"/>
      <c r="R7" s="37"/>
    </row>
    <row r="8" spans="1:34" ht="14">
      <c r="A8" s="31"/>
      <c r="B8" s="46" t="s">
        <v>232</v>
      </c>
      <c r="C8" s="47" t="s">
        <v>233</v>
      </c>
      <c r="D8" s="48" t="s">
        <v>8</v>
      </c>
      <c r="P8" s="37"/>
      <c r="Q8" s="37"/>
      <c r="R8" s="37"/>
    </row>
    <row r="9" spans="1:34" ht="14">
      <c r="A9" s="31"/>
      <c r="B9" s="46" t="s">
        <v>234</v>
      </c>
      <c r="C9" s="47" t="s">
        <v>235</v>
      </c>
      <c r="D9" s="56">
        <f t="array" ref="D9">_xlfn.IFS('[1]AFE Summary'!$T$11 = "ENI-607", 1, '[1]AFE Summary'!$T$11 = "ENI-768", 2, '[1]AFE Summary'!$T$11 = "ENI-814", 3)</f>
        <v>3</v>
      </c>
      <c r="E9" s="52" t="s">
        <v>236</v>
      </c>
      <c r="P9" s="37"/>
      <c r="Q9" s="37"/>
      <c r="R9" s="37"/>
    </row>
    <row r="10" spans="1:34" ht="14">
      <c r="A10" s="31"/>
      <c r="B10" s="31"/>
      <c r="C10" s="31"/>
      <c r="P10" s="37"/>
      <c r="Q10" s="37"/>
      <c r="R10" s="37"/>
    </row>
    <row r="11" spans="1:34" ht="14">
      <c r="A11" s="31"/>
      <c r="B11" s="4" t="s">
        <v>237</v>
      </c>
      <c r="C11" s="44" t="s">
        <v>238</v>
      </c>
      <c r="P11" s="37"/>
      <c r="Q11" s="37"/>
      <c r="R11" s="37"/>
    </row>
    <row r="12" spans="1:34" ht="12.5">
      <c r="A12" s="31"/>
      <c r="B12" s="31"/>
      <c r="C12" s="31"/>
    </row>
    <row r="13" spans="1:34" ht="15.75" customHeight="1">
      <c r="A13" s="31"/>
      <c r="B13" s="57" t="s">
        <v>239</v>
      </c>
      <c r="C13" s="58">
        <v>1</v>
      </c>
      <c r="K13" s="32">
        <v>1</v>
      </c>
      <c r="L13" s="32">
        <v>2</v>
      </c>
      <c r="M13" s="32">
        <v>3</v>
      </c>
      <c r="N13" s="32">
        <v>4</v>
      </c>
      <c r="O13" s="32">
        <v>5</v>
      </c>
      <c r="P13" s="32">
        <v>6</v>
      </c>
      <c r="Q13" s="32">
        <v>7</v>
      </c>
      <c r="R13" s="32">
        <v>8</v>
      </c>
      <c r="S13" s="32">
        <v>9</v>
      </c>
      <c r="T13" s="32">
        <v>10</v>
      </c>
      <c r="U13" s="32">
        <v>11</v>
      </c>
      <c r="V13" s="32">
        <v>12</v>
      </c>
      <c r="W13" s="32">
        <v>13</v>
      </c>
      <c r="X13" s="32">
        <v>14</v>
      </c>
      <c r="Y13" s="32">
        <v>15</v>
      </c>
      <c r="Z13" s="32">
        <v>16</v>
      </c>
      <c r="AA13" s="32">
        <v>17</v>
      </c>
    </row>
    <row r="14" spans="1:34" ht="15.75" customHeight="1">
      <c r="A14" s="31"/>
      <c r="B14" s="59" t="s">
        <v>240</v>
      </c>
      <c r="C14" s="58">
        <v>1.1499999999999999</v>
      </c>
      <c r="D14" s="60"/>
    </row>
    <row r="15" spans="1:34" s="61" customFormat="1" ht="12.5">
      <c r="A15" s="28"/>
      <c r="G15" s="32"/>
      <c r="H15" s="32"/>
      <c r="M15" s="32" t="str">
        <f ca="1">CONCATENATE("'",MID(CELL("filename",B1),FIND("]",CELL("filename",B1))+1,LEN(CELL("filename",B1))-FIND("]",CELL("filename",B1))),"'!",ADDRESS(ROW()+2,COLUMN()),":",ADDRESS(ROW()+SUMPRODUCT((M16:M417&lt;&gt;0)*(M16:M417&lt;&gt;0)),COLUMN()))</f>
        <v>'Sheet2'!$M$17:$M$261</v>
      </c>
      <c r="Y15" s="62" t="s">
        <v>241</v>
      </c>
      <c r="Z15" s="62" t="s">
        <v>242</v>
      </c>
      <c r="AC15" s="63" t="s">
        <v>243</v>
      </c>
      <c r="AD15" s="64"/>
      <c r="AE15" s="32"/>
      <c r="AF15" s="32"/>
      <c r="AG15" s="32"/>
      <c r="AH15" s="32"/>
    </row>
    <row r="16" spans="1:34" s="61" customFormat="1" ht="25.5" thickBot="1">
      <c r="A16" s="28"/>
      <c r="B16" s="65" t="s">
        <v>1</v>
      </c>
      <c r="C16" s="66" t="s">
        <v>244</v>
      </c>
      <c r="D16" s="6" t="s">
        <v>245</v>
      </c>
      <c r="E16" s="6" t="s">
        <v>246</v>
      </c>
      <c r="F16" s="65" t="s">
        <v>247</v>
      </c>
      <c r="G16" s="65" t="s">
        <v>248</v>
      </c>
      <c r="H16" s="32"/>
      <c r="I16" s="32"/>
      <c r="J16" s="32"/>
      <c r="K16" s="67" t="s">
        <v>249</v>
      </c>
      <c r="L16" s="67" t="s">
        <v>250</v>
      </c>
      <c r="M16" s="68" t="s">
        <v>251</v>
      </c>
      <c r="N16" s="69" t="s">
        <v>252</v>
      </c>
      <c r="O16" s="68" t="s">
        <v>253</v>
      </c>
      <c r="P16" s="68" t="s">
        <v>254</v>
      </c>
      <c r="Q16" s="68" t="s">
        <v>255</v>
      </c>
      <c r="R16" s="68" t="s">
        <v>256</v>
      </c>
      <c r="S16" s="68" t="s">
        <v>257</v>
      </c>
      <c r="T16" s="68" t="s">
        <v>105</v>
      </c>
      <c r="U16" s="70" t="s">
        <v>258</v>
      </c>
      <c r="V16" s="71"/>
      <c r="W16" s="72" t="s">
        <v>259</v>
      </c>
      <c r="X16" s="72" t="s">
        <v>260</v>
      </c>
      <c r="Y16" s="72" t="s">
        <v>261</v>
      </c>
      <c r="Z16" s="72" t="s">
        <v>262</v>
      </c>
      <c r="AA16" s="72" t="s">
        <v>263</v>
      </c>
      <c r="AB16" s="73"/>
      <c r="AC16" s="67" t="s">
        <v>264</v>
      </c>
      <c r="AD16" s="74" t="s">
        <v>265</v>
      </c>
      <c r="AE16" s="75" t="s">
        <v>251</v>
      </c>
      <c r="AF16" s="76" t="s">
        <v>266</v>
      </c>
      <c r="AG16" s="32"/>
      <c r="AH16" s="32"/>
    </row>
    <row r="17" spans="1:32" ht="12.5">
      <c r="A17" s="28">
        <v>1</v>
      </c>
      <c r="B17" s="77" t="s">
        <v>9</v>
      </c>
      <c r="C17" s="78" t="str">
        <f t="shared" ref="C17:C48" si="0">INDEX(___ServicesMasterList_Symbol,MATCH($B17,___ServicesMasterList,0),1)</f>
        <v>BL-IWC-PMG</v>
      </c>
      <c r="D17" s="79" t="s">
        <v>8</v>
      </c>
      <c r="E17" s="80" t="str">
        <f>IF(D17="lumpsum","Fixed Cost",IF(D17="per day","Variable Cost","None"))</f>
        <v>Fixed Cost</v>
      </c>
      <c r="F17" s="81">
        <f>IF(C17="PTP",$C$14,$C$13)*(1-G17)</f>
        <v>1</v>
      </c>
      <c r="G17" s="82"/>
      <c r="J17" s="83">
        <f t="shared" ref="J17:J80" si="1">INDEX(J$420:J$1632,MATCH($K17,$K$420:$K$1632,0)+MATCH("Option "&amp;$D$9,$K$420:$K$1230,0)-1,1)</f>
        <v>0</v>
      </c>
      <c r="K17" s="84">
        <v>1</v>
      </c>
      <c r="L17" s="85">
        <f t="shared" ref="L17:U32" si="2">INDEX(L$420:L$1632,MATCH($K17,$K$420:$K$1632,0)+MATCH("Option "&amp;$D$9,$K$420:$K$1230,0)-1,1)</f>
        <v>1</v>
      </c>
      <c r="M17" s="86" t="str">
        <f t="shared" si="2"/>
        <v>MV.1&gt;Well Site Services (refer to note 1 below)</v>
      </c>
      <c r="N17" s="86">
        <f t="shared" si="2"/>
        <v>0</v>
      </c>
      <c r="O17" s="86">
        <f t="shared" si="2"/>
        <v>0</v>
      </c>
      <c r="P17" s="86">
        <f t="shared" si="2"/>
        <v>0</v>
      </c>
      <c r="Q17" s="86">
        <f t="shared" si="2"/>
        <v>0</v>
      </c>
      <c r="R17" s="86">
        <f t="shared" si="2"/>
        <v>0</v>
      </c>
      <c r="S17" s="86">
        <f t="shared" si="2"/>
        <v>0</v>
      </c>
      <c r="T17" s="86">
        <f t="shared" si="2"/>
        <v>0</v>
      </c>
      <c r="U17" s="87">
        <f t="shared" si="2"/>
        <v>24.327449566768507</v>
      </c>
      <c r="V17" s="88"/>
      <c r="W17" s="89">
        <f t="shared" ref="W17:AA32" si="3">INDEX(W$420:W$1632,MATCH($K17,$K$420:$K$1632,0)+MATCH("Option "&amp;$D$9,$K$420:$K$1230,0)-1,1)</f>
        <v>0</v>
      </c>
      <c r="X17" s="89">
        <f t="shared" si="3"/>
        <v>0</v>
      </c>
      <c r="Y17" s="90">
        <f t="shared" si="3"/>
        <v>9</v>
      </c>
      <c r="Z17" s="89">
        <f t="shared" si="3"/>
        <v>9</v>
      </c>
      <c r="AA17" s="87" t="str">
        <f t="shared" si="3"/>
        <v>EA</v>
      </c>
      <c r="AB17" s="71"/>
      <c r="AC17" s="91">
        <v>1</v>
      </c>
      <c r="AD17" s="91">
        <v>1</v>
      </c>
      <c r="AE17" s="92" t="str">
        <f>$M17</f>
        <v>MV.1&gt;Well Site Services (refer to note 1 below)</v>
      </c>
      <c r="AF17" s="93">
        <f>INDEX(Y17:Z17,1,MATCH(_WellBasketSelection,$Y$15:$Z$15,0))*U17</f>
        <v>218.94704610091657</v>
      </c>
    </row>
    <row r="18" spans="1:32" ht="12.5">
      <c r="A18" s="28">
        <v>2</v>
      </c>
      <c r="B18" s="94" t="s">
        <v>12</v>
      </c>
      <c r="C18" s="95" t="str">
        <f t="shared" si="0"/>
        <v>BL-WCE-RIG</v>
      </c>
      <c r="D18" s="96" t="s">
        <v>11</v>
      </c>
      <c r="E18" s="95" t="str">
        <f t="shared" ref="E18:E81" si="4">IF(D18="lumpsum","Fixed Cost",IF(D18="per day","Variable Cost","None"))</f>
        <v>Variable Cost</v>
      </c>
      <c r="F18" s="97">
        <f t="shared" ref="F18:F81" si="5">IF(C18="PTP",$C$14,$C$13)*(1-G18)</f>
        <v>1</v>
      </c>
      <c r="G18" s="98"/>
      <c r="J18" s="83">
        <f t="shared" si="1"/>
        <v>0</v>
      </c>
      <c r="K18" s="99">
        <v>2</v>
      </c>
      <c r="L18" s="100">
        <f t="shared" si="2"/>
        <v>1</v>
      </c>
      <c r="M18" s="90" t="str">
        <f t="shared" si="2"/>
        <v xml:space="preserve">MV.2&gt;32” drilling phase with preinstalled Conductor Pipe (without fuel) </v>
      </c>
      <c r="N18" s="90">
        <f t="shared" si="2"/>
        <v>0</v>
      </c>
      <c r="O18" s="90">
        <f t="shared" si="2"/>
        <v>0</v>
      </c>
      <c r="P18" s="90">
        <f t="shared" si="2"/>
        <v>0</v>
      </c>
      <c r="Q18" s="90">
        <f t="shared" si="2"/>
        <v>0</v>
      </c>
      <c r="R18" s="90">
        <f t="shared" si="2"/>
        <v>0</v>
      </c>
      <c r="S18" s="90">
        <f t="shared" si="2"/>
        <v>0</v>
      </c>
      <c r="T18" s="90">
        <f t="shared" si="2"/>
        <v>0</v>
      </c>
      <c r="U18" s="101">
        <f t="shared" si="2"/>
        <v>0</v>
      </c>
      <c r="V18" s="71"/>
      <c r="W18" s="102">
        <f t="shared" si="3"/>
        <v>0</v>
      </c>
      <c r="X18" s="102">
        <f t="shared" si="3"/>
        <v>0</v>
      </c>
      <c r="Y18" s="90">
        <f t="shared" si="3"/>
        <v>495</v>
      </c>
      <c r="Z18" s="102">
        <f t="shared" si="3"/>
        <v>495</v>
      </c>
      <c r="AA18" s="101" t="str">
        <f t="shared" si="3"/>
        <v>EA</v>
      </c>
      <c r="AB18" s="71"/>
      <c r="AC18" s="91">
        <v>1</v>
      </c>
      <c r="AD18" s="91">
        <v>1</v>
      </c>
      <c r="AE18" s="92" t="str">
        <f t="shared" ref="AE18:AE105" si="6">$M18</f>
        <v xml:space="preserve">MV.2&gt;32” drilling phase with preinstalled Conductor Pipe (without fuel) </v>
      </c>
      <c r="AF18" s="93">
        <f>INDEX(Y18:Z18,1,MATCH(_WellBasketSelection,$Y$15:$Z$15,0))*U18</f>
        <v>0</v>
      </c>
    </row>
    <row r="19" spans="1:32" ht="12.5">
      <c r="A19" s="28">
        <v>3</v>
      </c>
      <c r="B19" s="94" t="s">
        <v>15</v>
      </c>
      <c r="C19" s="95" t="str">
        <f t="shared" si="0"/>
        <v>BL-WCE-RIG</v>
      </c>
      <c r="D19" s="96" t="s">
        <v>11</v>
      </c>
      <c r="E19" s="95" t="str">
        <f t="shared" si="4"/>
        <v>Variable Cost</v>
      </c>
      <c r="F19" s="97">
        <f t="shared" si="5"/>
        <v>1</v>
      </c>
      <c r="G19" s="98"/>
      <c r="J19" s="83">
        <f t="shared" si="1"/>
        <v>0</v>
      </c>
      <c r="K19" s="99">
        <v>3</v>
      </c>
      <c r="L19" s="100">
        <f t="shared" si="2"/>
        <v>1</v>
      </c>
      <c r="M19" s="90" t="str">
        <f t="shared" si="2"/>
        <v>MV.3&gt;23” drilling phase (without fuel)</v>
      </c>
      <c r="N19" s="90">
        <f t="shared" si="2"/>
        <v>0</v>
      </c>
      <c r="O19" s="90">
        <f t="shared" si="2"/>
        <v>0</v>
      </c>
      <c r="P19" s="90">
        <f t="shared" si="2"/>
        <v>0</v>
      </c>
      <c r="Q19" s="90">
        <f t="shared" si="2"/>
        <v>0</v>
      </c>
      <c r="R19" s="90">
        <f t="shared" si="2"/>
        <v>0</v>
      </c>
      <c r="S19" s="90">
        <f t="shared" si="2"/>
        <v>0</v>
      </c>
      <c r="T19" s="90">
        <f t="shared" si="2"/>
        <v>0</v>
      </c>
      <c r="U19" s="101">
        <f t="shared" si="2"/>
        <v>6.2483566890144072E-3</v>
      </c>
      <c r="V19" s="71"/>
      <c r="W19" s="102">
        <f t="shared" si="3"/>
        <v>0</v>
      </c>
      <c r="X19" s="102">
        <f t="shared" si="3"/>
        <v>0</v>
      </c>
      <c r="Y19" s="90">
        <f t="shared" si="3"/>
        <v>6075</v>
      </c>
      <c r="Z19" s="102">
        <f t="shared" si="3"/>
        <v>6075</v>
      </c>
      <c r="AA19" s="101" t="str">
        <f t="shared" si="3"/>
        <v>EA</v>
      </c>
      <c r="AB19" s="71"/>
      <c r="AC19" s="91">
        <v>1</v>
      </c>
      <c r="AD19" s="91">
        <v>1</v>
      </c>
      <c r="AE19" s="92" t="str">
        <f t="shared" si="6"/>
        <v>MV.3&gt;23” drilling phase (without fuel)</v>
      </c>
      <c r="AF19" s="93">
        <f>INDEX(Y19:Z19,1,MATCH(_WellBasketSelection,$Y$15:$Z$15,0))*U19</f>
        <v>37.958766885762522</v>
      </c>
    </row>
    <row r="20" spans="1:32" ht="12.5">
      <c r="A20" s="28">
        <v>4</v>
      </c>
      <c r="B20" s="94" t="s">
        <v>16</v>
      </c>
      <c r="C20" s="95" t="str">
        <f t="shared" si="0"/>
        <v>BL-WCE-RIG</v>
      </c>
      <c r="D20" s="96" t="s">
        <v>8</v>
      </c>
      <c r="E20" s="95" t="str">
        <f t="shared" si="4"/>
        <v>Fixed Cost</v>
      </c>
      <c r="F20" s="97">
        <f t="shared" si="5"/>
        <v>1</v>
      </c>
      <c r="G20" s="98"/>
      <c r="J20" s="83">
        <f t="shared" si="1"/>
        <v>0</v>
      </c>
      <c r="K20" s="99">
        <v>4</v>
      </c>
      <c r="L20" s="100">
        <f t="shared" si="2"/>
        <v>1</v>
      </c>
      <c r="M20" s="90" t="str">
        <f t="shared" si="2"/>
        <v>MV.4&gt;17 ½" drilling phase (without fuel)</v>
      </c>
      <c r="N20" s="90">
        <f t="shared" si="2"/>
        <v>0</v>
      </c>
      <c r="O20" s="90">
        <f t="shared" si="2"/>
        <v>0</v>
      </c>
      <c r="P20" s="90">
        <f t="shared" si="2"/>
        <v>0</v>
      </c>
      <c r="Q20" s="90">
        <f t="shared" si="2"/>
        <v>0</v>
      </c>
      <c r="R20" s="90">
        <f t="shared" si="2"/>
        <v>0</v>
      </c>
      <c r="S20" s="90">
        <f t="shared" si="2"/>
        <v>0</v>
      </c>
      <c r="T20" s="90">
        <f t="shared" si="2"/>
        <v>0</v>
      </c>
      <c r="U20" s="101">
        <f t="shared" si="2"/>
        <v>9.5929223721516552E-3</v>
      </c>
      <c r="V20" s="71"/>
      <c r="W20" s="102">
        <f t="shared" si="3"/>
        <v>0</v>
      </c>
      <c r="X20" s="102">
        <f t="shared" si="3"/>
        <v>0</v>
      </c>
      <c r="Y20" s="90">
        <f t="shared" si="3"/>
        <v>10890</v>
      </c>
      <c r="Z20" s="102">
        <f t="shared" si="3"/>
        <v>10890</v>
      </c>
      <c r="AA20" s="101" t="str">
        <f t="shared" si="3"/>
        <v>EA</v>
      </c>
      <c r="AB20" s="71"/>
      <c r="AC20" s="91">
        <v>1</v>
      </c>
      <c r="AD20" s="91">
        <v>1</v>
      </c>
      <c r="AE20" s="92" t="str">
        <f>$M20</f>
        <v>MV.4&gt;17 ½" drilling phase (without fuel)</v>
      </c>
      <c r="AF20" s="93">
        <f>INDEX(Y20:Z20,1,MATCH(_WellBasketSelection,$Y$15:$Z$15,0))*U20</f>
        <v>104.46692463273152</v>
      </c>
    </row>
    <row r="21" spans="1:32" ht="12.5">
      <c r="A21" s="28">
        <v>5</v>
      </c>
      <c r="B21" s="94" t="s">
        <v>17</v>
      </c>
      <c r="C21" s="95" t="str">
        <f t="shared" si="0"/>
        <v>BL-WCE-RIG</v>
      </c>
      <c r="D21" s="96" t="s">
        <v>8</v>
      </c>
      <c r="E21" s="95" t="str">
        <f t="shared" si="4"/>
        <v>Fixed Cost</v>
      </c>
      <c r="F21" s="97">
        <f t="shared" si="5"/>
        <v>1</v>
      </c>
      <c r="G21" s="98"/>
      <c r="J21" s="83">
        <f t="shared" si="1"/>
        <v>0</v>
      </c>
      <c r="K21" s="99">
        <v>5</v>
      </c>
      <c r="L21" s="100">
        <f t="shared" si="2"/>
        <v>1</v>
      </c>
      <c r="M21" s="90" t="str">
        <f t="shared" si="2"/>
        <v>MV.5&gt;12 ¼” drilling phase (without fuel)</v>
      </c>
      <c r="N21" s="90">
        <f t="shared" si="2"/>
        <v>0</v>
      </c>
      <c r="O21" s="90">
        <f t="shared" si="2"/>
        <v>0</v>
      </c>
      <c r="P21" s="90">
        <f t="shared" si="2"/>
        <v>0</v>
      </c>
      <c r="Q21" s="90">
        <f t="shared" si="2"/>
        <v>0</v>
      </c>
      <c r="R21" s="90">
        <f t="shared" si="2"/>
        <v>0</v>
      </c>
      <c r="S21" s="90">
        <f t="shared" si="2"/>
        <v>0</v>
      </c>
      <c r="T21" s="90">
        <f t="shared" si="2"/>
        <v>0</v>
      </c>
      <c r="U21" s="101">
        <f t="shared" si="2"/>
        <v>1.4948838391444964E-2</v>
      </c>
      <c r="V21" s="71"/>
      <c r="W21" s="102">
        <f t="shared" si="3"/>
        <v>0</v>
      </c>
      <c r="X21" s="102">
        <f t="shared" si="3"/>
        <v>0</v>
      </c>
      <c r="Y21" s="90">
        <f t="shared" si="3"/>
        <v>4860</v>
      </c>
      <c r="Z21" s="102">
        <f t="shared" si="3"/>
        <v>4860</v>
      </c>
      <c r="AA21" s="101" t="str">
        <f t="shared" si="3"/>
        <v>EA</v>
      </c>
      <c r="AB21" s="71"/>
      <c r="AC21" s="91">
        <v>1</v>
      </c>
      <c r="AD21" s="91">
        <v>1</v>
      </c>
      <c r="AE21" s="92" t="str">
        <f t="shared" si="6"/>
        <v>MV.5&gt;12 ¼” drilling phase (without fuel)</v>
      </c>
      <c r="AF21" s="93">
        <f t="shared" ref="AF21:AF48" si="7">INDEX(Y21:Z21,1,MATCH(_WellBasketSelection,$Y$15:$Z$15,0))*U21</f>
        <v>72.651354582422528</v>
      </c>
    </row>
    <row r="22" spans="1:32" ht="12.5">
      <c r="A22" s="28">
        <v>6</v>
      </c>
      <c r="B22" s="94" t="s">
        <v>18</v>
      </c>
      <c r="C22" s="95" t="str">
        <f t="shared" si="0"/>
        <v>BL-WCE-RIG</v>
      </c>
      <c r="D22" s="96" t="s">
        <v>8</v>
      </c>
      <c r="E22" s="95" t="str">
        <f t="shared" si="4"/>
        <v>Fixed Cost</v>
      </c>
      <c r="F22" s="97">
        <f>IF(C22="PTP",$C$14,$C$13)*(1-G22)</f>
        <v>1</v>
      </c>
      <c r="G22" s="98"/>
      <c r="J22" s="83">
        <f t="shared" si="1"/>
        <v>0</v>
      </c>
      <c r="K22" s="99">
        <v>6</v>
      </c>
      <c r="L22" s="100">
        <f t="shared" si="2"/>
        <v>1</v>
      </c>
      <c r="M22" s="90" t="str">
        <f t="shared" si="2"/>
        <v>MV.6&gt;8 ½" drilling phase (without fuel)</v>
      </c>
      <c r="N22" s="90">
        <f t="shared" si="2"/>
        <v>0</v>
      </c>
      <c r="O22" s="90">
        <f t="shared" si="2"/>
        <v>0</v>
      </c>
      <c r="P22" s="90">
        <f t="shared" si="2"/>
        <v>0</v>
      </c>
      <c r="Q22" s="90">
        <f t="shared" si="2"/>
        <v>0</v>
      </c>
      <c r="R22" s="90">
        <f t="shared" si="2"/>
        <v>0</v>
      </c>
      <c r="S22" s="90">
        <f t="shared" si="2"/>
        <v>0</v>
      </c>
      <c r="T22" s="90">
        <f t="shared" si="2"/>
        <v>0</v>
      </c>
      <c r="U22" s="101">
        <f t="shared" si="2"/>
        <v>0</v>
      </c>
      <c r="V22" s="71"/>
      <c r="W22" s="102">
        <f t="shared" si="3"/>
        <v>0</v>
      </c>
      <c r="X22" s="102">
        <f t="shared" si="3"/>
        <v>0</v>
      </c>
      <c r="Y22" s="90">
        <f t="shared" si="3"/>
        <v>0</v>
      </c>
      <c r="Z22" s="102">
        <f t="shared" si="3"/>
        <v>0</v>
      </c>
      <c r="AA22" s="101" t="str">
        <f t="shared" si="3"/>
        <v>EA</v>
      </c>
      <c r="AB22" s="71"/>
      <c r="AC22" s="91">
        <v>1</v>
      </c>
      <c r="AD22" s="91">
        <v>1</v>
      </c>
      <c r="AE22" s="92" t="str">
        <f t="shared" si="6"/>
        <v>MV.6&gt;8 ½" drilling phase (without fuel)</v>
      </c>
      <c r="AF22" s="93">
        <f t="shared" si="7"/>
        <v>0</v>
      </c>
    </row>
    <row r="23" spans="1:32" ht="12.5">
      <c r="A23" s="28">
        <v>7</v>
      </c>
      <c r="B23" s="94" t="s">
        <v>19</v>
      </c>
      <c r="C23" s="95" t="str">
        <f t="shared" si="0"/>
        <v>BL-WCE-RIG</v>
      </c>
      <c r="D23" s="96" t="s">
        <v>8</v>
      </c>
      <c r="E23" s="95" t="str">
        <f t="shared" si="4"/>
        <v>Fixed Cost</v>
      </c>
      <c r="F23" s="97">
        <f t="shared" si="5"/>
        <v>1</v>
      </c>
      <c r="G23" s="98"/>
      <c r="J23" s="83">
        <f t="shared" si="1"/>
        <v>0</v>
      </c>
      <c r="K23" s="99">
        <v>7</v>
      </c>
      <c r="L23" s="100">
        <f t="shared" si="2"/>
        <v>1</v>
      </c>
      <c r="M23" s="90" t="str">
        <f t="shared" si="2"/>
        <v>MV.7&gt;Running of kill string (without fuel)</v>
      </c>
      <c r="N23" s="90">
        <f t="shared" si="2"/>
        <v>0</v>
      </c>
      <c r="O23" s="90">
        <f t="shared" si="2"/>
        <v>0</v>
      </c>
      <c r="P23" s="90">
        <f t="shared" si="2"/>
        <v>0</v>
      </c>
      <c r="Q23" s="90">
        <f t="shared" si="2"/>
        <v>0</v>
      </c>
      <c r="R23" s="90">
        <f t="shared" si="2"/>
        <v>0</v>
      </c>
      <c r="S23" s="90">
        <f t="shared" si="2"/>
        <v>0</v>
      </c>
      <c r="T23" s="90">
        <f t="shared" si="2"/>
        <v>0</v>
      </c>
      <c r="U23" s="101">
        <f t="shared" si="2"/>
        <v>0.43</v>
      </c>
      <c r="V23" s="71"/>
      <c r="W23" s="102">
        <f t="shared" si="3"/>
        <v>0</v>
      </c>
      <c r="X23" s="102">
        <f t="shared" si="3"/>
        <v>0</v>
      </c>
      <c r="Y23" s="90">
        <f t="shared" si="3"/>
        <v>9</v>
      </c>
      <c r="Z23" s="102">
        <f t="shared" si="3"/>
        <v>9</v>
      </c>
      <c r="AA23" s="101" t="str">
        <f t="shared" si="3"/>
        <v>EA</v>
      </c>
      <c r="AB23" s="71"/>
      <c r="AC23" s="91">
        <v>1</v>
      </c>
      <c r="AD23" s="91">
        <v>1</v>
      </c>
      <c r="AE23" s="92" t="str">
        <f t="shared" si="6"/>
        <v>MV.7&gt;Running of kill string (without fuel)</v>
      </c>
      <c r="AF23" s="93">
        <f t="shared" si="7"/>
        <v>3.87</v>
      </c>
    </row>
    <row r="24" spans="1:32" ht="12.5">
      <c r="A24" s="28">
        <v>8</v>
      </c>
      <c r="B24" s="94" t="s">
        <v>20</v>
      </c>
      <c r="C24" s="95" t="str">
        <f t="shared" si="0"/>
        <v>BL-WCE-RIG</v>
      </c>
      <c r="D24" s="96" t="s">
        <v>8</v>
      </c>
      <c r="E24" s="95" t="str">
        <f t="shared" si="4"/>
        <v>Fixed Cost</v>
      </c>
      <c r="F24" s="97">
        <f t="shared" si="5"/>
        <v>1</v>
      </c>
      <c r="G24" s="98"/>
      <c r="J24" s="83">
        <f t="shared" si="1"/>
        <v>0</v>
      </c>
      <c r="K24" s="99">
        <v>8</v>
      </c>
      <c r="L24" s="100">
        <f t="shared" si="2"/>
        <v>1</v>
      </c>
      <c r="M24" s="90" t="str">
        <f t="shared" si="2"/>
        <v>MV.8&gt;Running of completion string (without fuel)</v>
      </c>
      <c r="N24" s="90">
        <f t="shared" si="2"/>
        <v>0</v>
      </c>
      <c r="O24" s="90">
        <f t="shared" si="2"/>
        <v>0</v>
      </c>
      <c r="P24" s="90">
        <f t="shared" si="2"/>
        <v>0</v>
      </c>
      <c r="Q24" s="90">
        <f t="shared" si="2"/>
        <v>0</v>
      </c>
      <c r="R24" s="90">
        <f t="shared" si="2"/>
        <v>0</v>
      </c>
      <c r="S24" s="90">
        <f t="shared" si="2"/>
        <v>0</v>
      </c>
      <c r="T24" s="90">
        <f t="shared" si="2"/>
        <v>0</v>
      </c>
      <c r="U24" s="101">
        <f t="shared" si="2"/>
        <v>3.1479999999999997</v>
      </c>
      <c r="V24" s="71"/>
      <c r="W24" s="102">
        <f t="shared" si="3"/>
        <v>0</v>
      </c>
      <c r="X24" s="102">
        <f t="shared" si="3"/>
        <v>0</v>
      </c>
      <c r="Y24" s="90">
        <f t="shared" si="3"/>
        <v>0</v>
      </c>
      <c r="Z24" s="102">
        <f t="shared" si="3"/>
        <v>0</v>
      </c>
      <c r="AA24" s="101" t="str">
        <f t="shared" si="3"/>
        <v>EA</v>
      </c>
      <c r="AB24" s="71"/>
      <c r="AC24" s="91">
        <v>1</v>
      </c>
      <c r="AD24" s="91">
        <v>1</v>
      </c>
      <c r="AE24" s="92" t="str">
        <f t="shared" si="6"/>
        <v>MV.8&gt;Running of completion string (without fuel)</v>
      </c>
      <c r="AF24" s="93">
        <f t="shared" si="7"/>
        <v>0</v>
      </c>
    </row>
    <row r="25" spans="1:32" ht="12.5">
      <c r="A25" s="28">
        <v>9</v>
      </c>
      <c r="B25" s="94" t="s">
        <v>21</v>
      </c>
      <c r="C25" s="95" t="str">
        <f t="shared" si="0"/>
        <v>BL-WCE-RIG</v>
      </c>
      <c r="D25" s="96" t="s">
        <v>8</v>
      </c>
      <c r="E25" s="95" t="str">
        <f t="shared" si="4"/>
        <v>Fixed Cost</v>
      </c>
      <c r="F25" s="97">
        <f t="shared" si="5"/>
        <v>1</v>
      </c>
      <c r="G25" s="98"/>
      <c r="I25" s="103"/>
      <c r="J25" s="83">
        <f t="shared" si="1"/>
        <v>0</v>
      </c>
      <c r="K25" s="99">
        <v>9</v>
      </c>
      <c r="L25" s="100">
        <f t="shared" si="2"/>
        <v>1</v>
      </c>
      <c r="M25" s="90" t="str">
        <f t="shared" si="2"/>
        <v>MV.9&gt;Wellhead and X-mas Tree installation service</v>
      </c>
      <c r="N25" s="90">
        <f t="shared" si="2"/>
        <v>0</v>
      </c>
      <c r="O25" s="90">
        <f t="shared" si="2"/>
        <v>0</v>
      </c>
      <c r="P25" s="90">
        <f t="shared" si="2"/>
        <v>0</v>
      </c>
      <c r="Q25" s="90">
        <f t="shared" si="2"/>
        <v>0</v>
      </c>
      <c r="R25" s="90">
        <f t="shared" si="2"/>
        <v>0</v>
      </c>
      <c r="S25" s="90">
        <f t="shared" si="2"/>
        <v>0</v>
      </c>
      <c r="T25" s="90">
        <f t="shared" si="2"/>
        <v>0</v>
      </c>
      <c r="U25" s="101">
        <f t="shared" si="2"/>
        <v>0</v>
      </c>
      <c r="V25" s="71"/>
      <c r="W25" s="102">
        <f t="shared" si="3"/>
        <v>0</v>
      </c>
      <c r="X25" s="102">
        <f t="shared" si="3"/>
        <v>0</v>
      </c>
      <c r="Y25" s="90">
        <f t="shared" si="3"/>
        <v>9</v>
      </c>
      <c r="Z25" s="102">
        <f t="shared" si="3"/>
        <v>9</v>
      </c>
      <c r="AA25" s="101" t="str">
        <f t="shared" si="3"/>
        <v>EA</v>
      </c>
      <c r="AB25" s="71"/>
      <c r="AC25" s="91">
        <v>1</v>
      </c>
      <c r="AD25" s="91">
        <v>1</v>
      </c>
      <c r="AE25" s="92" t="str">
        <f t="shared" si="6"/>
        <v>MV.9&gt;Wellhead and X-mas Tree installation service</v>
      </c>
      <c r="AF25" s="93">
        <f t="shared" si="7"/>
        <v>0</v>
      </c>
    </row>
    <row r="26" spans="1:32" ht="12.5">
      <c r="A26" s="28">
        <v>10</v>
      </c>
      <c r="B26" s="94" t="s">
        <v>22</v>
      </c>
      <c r="C26" s="95" t="str">
        <f t="shared" si="0"/>
        <v>BL-WCE-RIG</v>
      </c>
      <c r="D26" s="96" t="s">
        <v>8</v>
      </c>
      <c r="E26" s="95" t="str">
        <f t="shared" si="4"/>
        <v>Fixed Cost</v>
      </c>
      <c r="F26" s="97">
        <f t="shared" si="5"/>
        <v>1</v>
      </c>
      <c r="G26" s="98"/>
      <c r="J26" s="83">
        <f t="shared" si="1"/>
        <v>0</v>
      </c>
      <c r="K26" s="99">
        <v>10</v>
      </c>
      <c r="L26" s="100">
        <f t="shared" si="2"/>
        <v>1</v>
      </c>
      <c r="M26" s="90" t="str">
        <f t="shared" si="2"/>
        <v>MD.1&gt;Well Site Services (refer to note 1 below)</v>
      </c>
      <c r="N26" s="90">
        <f t="shared" si="2"/>
        <v>0</v>
      </c>
      <c r="O26" s="90">
        <f t="shared" si="2"/>
        <v>0</v>
      </c>
      <c r="P26" s="90">
        <f t="shared" si="2"/>
        <v>0</v>
      </c>
      <c r="Q26" s="90">
        <f t="shared" si="2"/>
        <v>0</v>
      </c>
      <c r="R26" s="90">
        <f t="shared" si="2"/>
        <v>0</v>
      </c>
      <c r="S26" s="90">
        <f t="shared" si="2"/>
        <v>0</v>
      </c>
      <c r="T26" s="90">
        <f t="shared" si="2"/>
        <v>0</v>
      </c>
      <c r="U26" s="101">
        <f t="shared" si="2"/>
        <v>26.84695048549122</v>
      </c>
      <c r="V26" s="71"/>
      <c r="W26" s="102">
        <f t="shared" si="3"/>
        <v>0</v>
      </c>
      <c r="X26" s="102">
        <f t="shared" si="3"/>
        <v>0</v>
      </c>
      <c r="Y26" s="90">
        <f t="shared" si="3"/>
        <v>13</v>
      </c>
      <c r="Z26" s="102">
        <f t="shared" si="3"/>
        <v>13</v>
      </c>
      <c r="AA26" s="101" t="str">
        <f t="shared" si="3"/>
        <v>EA</v>
      </c>
      <c r="AB26" s="71"/>
      <c r="AC26" s="91">
        <v>1</v>
      </c>
      <c r="AD26" s="91">
        <v>1</v>
      </c>
      <c r="AE26" s="92" t="str">
        <f t="shared" si="6"/>
        <v>MD.1&gt;Well Site Services (refer to note 1 below)</v>
      </c>
      <c r="AF26" s="93">
        <f t="shared" si="7"/>
        <v>349.01035631138586</v>
      </c>
    </row>
    <row r="27" spans="1:32" ht="12.5">
      <c r="A27" s="28">
        <v>11</v>
      </c>
      <c r="B27" s="94" t="s">
        <v>23</v>
      </c>
      <c r="C27" s="95" t="str">
        <f t="shared" si="0"/>
        <v>BL-WCE-RIG</v>
      </c>
      <c r="D27" s="96" t="s">
        <v>8</v>
      </c>
      <c r="E27" s="95" t="str">
        <f t="shared" si="4"/>
        <v>Fixed Cost</v>
      </c>
      <c r="F27" s="97">
        <f t="shared" si="5"/>
        <v>1</v>
      </c>
      <c r="G27" s="98"/>
      <c r="J27" s="83">
        <f t="shared" si="1"/>
        <v>0</v>
      </c>
      <c r="K27" s="99">
        <v>11</v>
      </c>
      <c r="L27" s="100">
        <f t="shared" si="2"/>
        <v>1</v>
      </c>
      <c r="M27" s="90" t="str">
        <f t="shared" si="2"/>
        <v xml:space="preserve">MD.2&gt;32” drilling phase with preinstalled Conductor Pipe (without fuel) </v>
      </c>
      <c r="N27" s="90">
        <f t="shared" si="2"/>
        <v>0</v>
      </c>
      <c r="O27" s="90">
        <f t="shared" si="2"/>
        <v>0</v>
      </c>
      <c r="P27" s="90">
        <f t="shared" si="2"/>
        <v>0</v>
      </c>
      <c r="Q27" s="90">
        <f t="shared" si="2"/>
        <v>0</v>
      </c>
      <c r="R27" s="90">
        <f t="shared" si="2"/>
        <v>0</v>
      </c>
      <c r="S27" s="90">
        <f t="shared" si="2"/>
        <v>0</v>
      </c>
      <c r="T27" s="90">
        <f t="shared" si="2"/>
        <v>0</v>
      </c>
      <c r="U27" s="101">
        <f t="shared" si="2"/>
        <v>0</v>
      </c>
      <c r="V27" s="71"/>
      <c r="W27" s="102">
        <f t="shared" si="3"/>
        <v>0</v>
      </c>
      <c r="X27" s="102">
        <f t="shared" si="3"/>
        <v>0</v>
      </c>
      <c r="Y27" s="90">
        <f t="shared" si="3"/>
        <v>715</v>
      </c>
      <c r="Z27" s="102">
        <f t="shared" si="3"/>
        <v>715</v>
      </c>
      <c r="AA27" s="101" t="str">
        <f t="shared" si="3"/>
        <v>EA</v>
      </c>
      <c r="AB27" s="71"/>
      <c r="AC27" s="91">
        <v>1</v>
      </c>
      <c r="AD27" s="91">
        <v>1</v>
      </c>
      <c r="AE27" s="92" t="str">
        <f t="shared" si="6"/>
        <v xml:space="preserve">MD.2&gt;32” drilling phase with preinstalled Conductor Pipe (without fuel) </v>
      </c>
      <c r="AF27" s="93">
        <f t="shared" si="7"/>
        <v>0</v>
      </c>
    </row>
    <row r="28" spans="1:32" ht="12.5">
      <c r="A28" s="28">
        <v>12</v>
      </c>
      <c r="B28" s="94" t="s">
        <v>24</v>
      </c>
      <c r="C28" s="95" t="str">
        <f t="shared" si="0"/>
        <v>BL-WCE-RIG</v>
      </c>
      <c r="D28" s="96" t="s">
        <v>8</v>
      </c>
      <c r="E28" s="95" t="str">
        <f t="shared" si="4"/>
        <v>Fixed Cost</v>
      </c>
      <c r="F28" s="97">
        <f t="shared" si="5"/>
        <v>1</v>
      </c>
      <c r="G28" s="98"/>
      <c r="J28" s="83">
        <f t="shared" si="1"/>
        <v>0</v>
      </c>
      <c r="K28" s="99">
        <v>12</v>
      </c>
      <c r="L28" s="100">
        <f t="shared" si="2"/>
        <v>1</v>
      </c>
      <c r="M28" s="90" t="str">
        <f t="shared" si="2"/>
        <v>MD.3&gt;23” drilling phase (without fuel)</v>
      </c>
      <c r="N28" s="90">
        <f t="shared" si="2"/>
        <v>0</v>
      </c>
      <c r="O28" s="90">
        <f t="shared" si="2"/>
        <v>0</v>
      </c>
      <c r="P28" s="90">
        <f t="shared" si="2"/>
        <v>0</v>
      </c>
      <c r="Q28" s="90">
        <f t="shared" si="2"/>
        <v>0</v>
      </c>
      <c r="R28" s="90">
        <f t="shared" si="2"/>
        <v>0</v>
      </c>
      <c r="S28" s="90">
        <f t="shared" si="2"/>
        <v>0</v>
      </c>
      <c r="T28" s="90">
        <f t="shared" si="2"/>
        <v>0</v>
      </c>
      <c r="U28" s="101">
        <f t="shared" si="2"/>
        <v>6.2483566890144072E-3</v>
      </c>
      <c r="V28" s="71"/>
      <c r="W28" s="102">
        <f t="shared" si="3"/>
        <v>0</v>
      </c>
      <c r="X28" s="102">
        <f t="shared" si="3"/>
        <v>0</v>
      </c>
      <c r="Y28" s="90">
        <f t="shared" si="3"/>
        <v>8775</v>
      </c>
      <c r="Z28" s="102">
        <f t="shared" si="3"/>
        <v>8775</v>
      </c>
      <c r="AA28" s="101" t="str">
        <f t="shared" si="3"/>
        <v>EA</v>
      </c>
      <c r="AB28" s="71"/>
      <c r="AC28" s="91">
        <v>1</v>
      </c>
      <c r="AD28" s="91">
        <v>1</v>
      </c>
      <c r="AE28" s="92" t="str">
        <f t="shared" si="6"/>
        <v>MD.3&gt;23” drilling phase (without fuel)</v>
      </c>
      <c r="AF28" s="93">
        <f t="shared" si="7"/>
        <v>54.829329946101424</v>
      </c>
    </row>
    <row r="29" spans="1:32" ht="12.5">
      <c r="A29" s="28">
        <v>13</v>
      </c>
      <c r="B29" s="94" t="s">
        <v>25</v>
      </c>
      <c r="C29" s="95" t="str">
        <f t="shared" si="0"/>
        <v>BL-WCE-RIG</v>
      </c>
      <c r="D29" s="96" t="s">
        <v>8</v>
      </c>
      <c r="E29" s="95" t="str">
        <f t="shared" si="4"/>
        <v>Fixed Cost</v>
      </c>
      <c r="F29" s="97">
        <f t="shared" si="5"/>
        <v>1</v>
      </c>
      <c r="G29" s="98"/>
      <c r="J29" s="83">
        <f t="shared" si="1"/>
        <v>0</v>
      </c>
      <c r="K29" s="99">
        <v>13</v>
      </c>
      <c r="L29" s="100">
        <f t="shared" si="2"/>
        <v>1</v>
      </c>
      <c r="M29" s="90" t="str">
        <f t="shared" si="2"/>
        <v>MD.4&gt;17 ½" drilling phase (without fuel)</v>
      </c>
      <c r="N29" s="90">
        <f t="shared" si="2"/>
        <v>0</v>
      </c>
      <c r="O29" s="90">
        <f t="shared" si="2"/>
        <v>0</v>
      </c>
      <c r="P29" s="90">
        <f t="shared" si="2"/>
        <v>0</v>
      </c>
      <c r="Q29" s="90">
        <f t="shared" si="2"/>
        <v>0</v>
      </c>
      <c r="R29" s="90">
        <f t="shared" si="2"/>
        <v>0</v>
      </c>
      <c r="S29" s="90">
        <f t="shared" si="2"/>
        <v>0</v>
      </c>
      <c r="T29" s="90">
        <f t="shared" si="2"/>
        <v>0</v>
      </c>
      <c r="U29" s="101">
        <f t="shared" si="2"/>
        <v>1.008338889557926E-2</v>
      </c>
      <c r="V29" s="71"/>
      <c r="W29" s="102">
        <f t="shared" si="3"/>
        <v>0</v>
      </c>
      <c r="X29" s="102">
        <f t="shared" si="3"/>
        <v>0</v>
      </c>
      <c r="Y29" s="90">
        <f t="shared" si="3"/>
        <v>17160</v>
      </c>
      <c r="Z29" s="102">
        <f t="shared" si="3"/>
        <v>17160</v>
      </c>
      <c r="AA29" s="101" t="str">
        <f t="shared" si="3"/>
        <v>EA</v>
      </c>
      <c r="AB29" s="71"/>
      <c r="AC29" s="91">
        <v>1</v>
      </c>
      <c r="AD29" s="91">
        <v>1</v>
      </c>
      <c r="AE29" s="92" t="str">
        <f t="shared" si="6"/>
        <v>MD.4&gt;17 ½" drilling phase (without fuel)</v>
      </c>
      <c r="AF29" s="93">
        <f t="shared" si="7"/>
        <v>173.03095344814011</v>
      </c>
    </row>
    <row r="30" spans="1:32" ht="12.5">
      <c r="A30" s="28">
        <v>14</v>
      </c>
      <c r="B30" s="94" t="s">
        <v>26</v>
      </c>
      <c r="C30" s="95" t="str">
        <f t="shared" si="0"/>
        <v>BL-WCE-RIG</v>
      </c>
      <c r="D30" s="96" t="s">
        <v>8</v>
      </c>
      <c r="E30" s="95" t="str">
        <f t="shared" si="4"/>
        <v>Fixed Cost</v>
      </c>
      <c r="F30" s="97">
        <f t="shared" si="5"/>
        <v>1</v>
      </c>
      <c r="G30" s="98"/>
      <c r="J30" s="83">
        <f t="shared" si="1"/>
        <v>0</v>
      </c>
      <c r="K30" s="99">
        <v>14</v>
      </c>
      <c r="L30" s="100">
        <f t="shared" si="2"/>
        <v>1</v>
      </c>
      <c r="M30" s="90" t="str">
        <f t="shared" si="2"/>
        <v>MD.5&gt;12 ¼” drilling phase (without fuel)</v>
      </c>
      <c r="N30" s="90">
        <f t="shared" si="2"/>
        <v>0</v>
      </c>
      <c r="O30" s="90">
        <f t="shared" si="2"/>
        <v>0</v>
      </c>
      <c r="P30" s="90">
        <f t="shared" si="2"/>
        <v>0</v>
      </c>
      <c r="Q30" s="90">
        <f t="shared" si="2"/>
        <v>0</v>
      </c>
      <c r="R30" s="90">
        <f t="shared" si="2"/>
        <v>0</v>
      </c>
      <c r="S30" s="90">
        <f t="shared" si="2"/>
        <v>0</v>
      </c>
      <c r="T30" s="90">
        <f t="shared" si="2"/>
        <v>0</v>
      </c>
      <c r="U30" s="101">
        <f t="shared" si="2"/>
        <v>1.3675748274218264E-2</v>
      </c>
      <c r="V30" s="71"/>
      <c r="W30" s="102">
        <f t="shared" si="3"/>
        <v>0</v>
      </c>
      <c r="X30" s="102">
        <f t="shared" si="3"/>
        <v>0</v>
      </c>
      <c r="Y30" s="90">
        <f t="shared" si="3"/>
        <v>8450</v>
      </c>
      <c r="Z30" s="102">
        <f t="shared" si="3"/>
        <v>8450</v>
      </c>
      <c r="AA30" s="101" t="str">
        <f t="shared" si="3"/>
        <v>EA</v>
      </c>
      <c r="AB30" s="71"/>
      <c r="AC30" s="91">
        <v>1</v>
      </c>
      <c r="AD30" s="91">
        <v>1</v>
      </c>
      <c r="AE30" s="92" t="str">
        <f t="shared" si="6"/>
        <v>MD.5&gt;12 ¼” drilling phase (without fuel)</v>
      </c>
      <c r="AF30" s="93">
        <f t="shared" si="7"/>
        <v>115.56007291714434</v>
      </c>
    </row>
    <row r="31" spans="1:32" ht="12.5">
      <c r="A31" s="28">
        <v>15</v>
      </c>
      <c r="B31" s="94" t="s">
        <v>27</v>
      </c>
      <c r="C31" s="95" t="str">
        <f t="shared" si="0"/>
        <v>BL-WCE-RIG</v>
      </c>
      <c r="D31" s="96" t="s">
        <v>8</v>
      </c>
      <c r="E31" s="95" t="str">
        <f t="shared" si="4"/>
        <v>Fixed Cost</v>
      </c>
      <c r="F31" s="97">
        <f t="shared" si="5"/>
        <v>1</v>
      </c>
      <c r="G31" s="98"/>
      <c r="J31" s="83">
        <f t="shared" si="1"/>
        <v>0</v>
      </c>
      <c r="K31" s="99">
        <v>15</v>
      </c>
      <c r="L31" s="100">
        <f t="shared" si="2"/>
        <v>1</v>
      </c>
      <c r="M31" s="90" t="str">
        <f t="shared" si="2"/>
        <v>MD.6&gt;8 ½" drilling phase (without fuel)</v>
      </c>
      <c r="N31" s="90">
        <f t="shared" si="2"/>
        <v>0</v>
      </c>
      <c r="O31" s="90">
        <f t="shared" si="2"/>
        <v>0</v>
      </c>
      <c r="P31" s="90">
        <f t="shared" si="2"/>
        <v>0</v>
      </c>
      <c r="Q31" s="90">
        <f t="shared" si="2"/>
        <v>0</v>
      </c>
      <c r="R31" s="90">
        <f t="shared" si="2"/>
        <v>0</v>
      </c>
      <c r="S31" s="90">
        <f t="shared" si="2"/>
        <v>0</v>
      </c>
      <c r="T31" s="90">
        <f t="shared" si="2"/>
        <v>0</v>
      </c>
      <c r="U31" s="101">
        <f t="shared" si="2"/>
        <v>0</v>
      </c>
      <c r="V31" s="71"/>
      <c r="W31" s="102">
        <f t="shared" si="3"/>
        <v>0</v>
      </c>
      <c r="X31" s="102">
        <f t="shared" si="3"/>
        <v>0</v>
      </c>
      <c r="Y31" s="90">
        <f t="shared" si="3"/>
        <v>0</v>
      </c>
      <c r="Z31" s="102">
        <f t="shared" si="3"/>
        <v>0</v>
      </c>
      <c r="AA31" s="101" t="str">
        <f t="shared" si="3"/>
        <v>EA</v>
      </c>
      <c r="AB31" s="71"/>
      <c r="AC31" s="91">
        <v>1</v>
      </c>
      <c r="AD31" s="91">
        <v>1</v>
      </c>
      <c r="AE31" s="92" t="str">
        <f t="shared" si="6"/>
        <v>MD.6&gt;8 ½" drilling phase (without fuel)</v>
      </c>
      <c r="AF31" s="93">
        <f t="shared" si="7"/>
        <v>0</v>
      </c>
    </row>
    <row r="32" spans="1:32" ht="12.5">
      <c r="A32" s="28">
        <v>16</v>
      </c>
      <c r="B32" s="94" t="s">
        <v>28</v>
      </c>
      <c r="C32" s="95" t="str">
        <f t="shared" si="0"/>
        <v>BL-WCD-BDT</v>
      </c>
      <c r="D32" s="96" t="s">
        <v>8</v>
      </c>
      <c r="E32" s="95" t="str">
        <f t="shared" si="4"/>
        <v>Fixed Cost</v>
      </c>
      <c r="F32" s="97">
        <f t="shared" si="5"/>
        <v>1</v>
      </c>
      <c r="G32" s="98"/>
      <c r="J32" s="83">
        <f t="shared" si="1"/>
        <v>0</v>
      </c>
      <c r="K32" s="99">
        <v>16</v>
      </c>
      <c r="L32" s="100">
        <f t="shared" si="2"/>
        <v>1</v>
      </c>
      <c r="M32" s="90" t="str">
        <f t="shared" si="2"/>
        <v>MD.7&gt;Running of kill string (without fuel)</v>
      </c>
      <c r="N32" s="90">
        <f t="shared" si="2"/>
        <v>0</v>
      </c>
      <c r="O32" s="90">
        <f t="shared" si="2"/>
        <v>0</v>
      </c>
      <c r="P32" s="90">
        <f t="shared" si="2"/>
        <v>0</v>
      </c>
      <c r="Q32" s="90">
        <f t="shared" si="2"/>
        <v>0</v>
      </c>
      <c r="R32" s="90">
        <f t="shared" si="2"/>
        <v>0</v>
      </c>
      <c r="S32" s="90">
        <f t="shared" si="2"/>
        <v>0</v>
      </c>
      <c r="T32" s="90">
        <f t="shared" si="2"/>
        <v>0</v>
      </c>
      <c r="U32" s="101">
        <f t="shared" si="2"/>
        <v>0.43</v>
      </c>
      <c r="V32" s="71"/>
      <c r="W32" s="102">
        <f t="shared" si="3"/>
        <v>0</v>
      </c>
      <c r="X32" s="102">
        <f t="shared" si="3"/>
        <v>0</v>
      </c>
      <c r="Y32" s="90">
        <f t="shared" si="3"/>
        <v>13</v>
      </c>
      <c r="Z32" s="102">
        <f t="shared" si="3"/>
        <v>13</v>
      </c>
      <c r="AA32" s="101" t="str">
        <f t="shared" si="3"/>
        <v>EA</v>
      </c>
      <c r="AB32" s="71"/>
      <c r="AC32" s="91">
        <v>1</v>
      </c>
      <c r="AD32" s="91">
        <v>1</v>
      </c>
      <c r="AE32" s="92" t="str">
        <f t="shared" si="6"/>
        <v>MD.7&gt;Running of kill string (without fuel)</v>
      </c>
      <c r="AF32" s="93">
        <f t="shared" si="7"/>
        <v>5.59</v>
      </c>
    </row>
    <row r="33" spans="1:32" ht="12.5">
      <c r="A33" s="28">
        <v>17</v>
      </c>
      <c r="B33" s="94" t="s">
        <v>30</v>
      </c>
      <c r="C33" s="95" t="str">
        <f t="shared" si="0"/>
        <v>BL-WCD-BDT</v>
      </c>
      <c r="D33" s="96" t="s">
        <v>8</v>
      </c>
      <c r="E33" s="95" t="str">
        <f t="shared" si="4"/>
        <v>Fixed Cost</v>
      </c>
      <c r="F33" s="97">
        <f t="shared" si="5"/>
        <v>1</v>
      </c>
      <c r="G33" s="98"/>
      <c r="J33" s="83">
        <f t="shared" si="1"/>
        <v>0</v>
      </c>
      <c r="K33" s="99">
        <v>17</v>
      </c>
      <c r="L33" s="100">
        <f t="shared" ref="L33:U48" si="8">INDEX(L$420:L$1632,MATCH($K33,$K$420:$K$1632,0)+MATCH("Option "&amp;$D$9,$K$420:$K$1230,0)-1,1)</f>
        <v>1</v>
      </c>
      <c r="M33" s="90" t="str">
        <f t="shared" si="8"/>
        <v>MD.8&gt;Running of completion string (without fuel)</v>
      </c>
      <c r="N33" s="90">
        <f t="shared" si="8"/>
        <v>0</v>
      </c>
      <c r="O33" s="90">
        <f t="shared" si="8"/>
        <v>0</v>
      </c>
      <c r="P33" s="90">
        <f t="shared" si="8"/>
        <v>0</v>
      </c>
      <c r="Q33" s="90">
        <f t="shared" si="8"/>
        <v>0</v>
      </c>
      <c r="R33" s="90">
        <f t="shared" si="8"/>
        <v>0</v>
      </c>
      <c r="S33" s="90">
        <f t="shared" si="8"/>
        <v>0</v>
      </c>
      <c r="T33" s="90">
        <f t="shared" si="8"/>
        <v>0</v>
      </c>
      <c r="U33" s="101">
        <f t="shared" si="8"/>
        <v>3.2439999999999998</v>
      </c>
      <c r="V33" s="71"/>
      <c r="W33" s="102">
        <f t="shared" ref="W33:AA48" si="9">INDEX(W$420:W$1632,MATCH($K33,$K$420:$K$1632,0)+MATCH("Option "&amp;$D$9,$K$420:$K$1230,0)-1,1)</f>
        <v>0</v>
      </c>
      <c r="X33" s="102">
        <f t="shared" si="9"/>
        <v>0</v>
      </c>
      <c r="Y33" s="90">
        <f t="shared" si="9"/>
        <v>0</v>
      </c>
      <c r="Z33" s="102">
        <f t="shared" si="9"/>
        <v>0</v>
      </c>
      <c r="AA33" s="101" t="str">
        <f t="shared" si="9"/>
        <v>EA</v>
      </c>
      <c r="AB33" s="71"/>
      <c r="AC33" s="91">
        <v>1</v>
      </c>
      <c r="AD33" s="91">
        <v>1</v>
      </c>
      <c r="AE33" s="92" t="str">
        <f t="shared" si="6"/>
        <v>MD.8&gt;Running of completion string (without fuel)</v>
      </c>
      <c r="AF33" s="93">
        <f t="shared" si="7"/>
        <v>0</v>
      </c>
    </row>
    <row r="34" spans="1:32" ht="12.5">
      <c r="A34" s="28">
        <v>18</v>
      </c>
      <c r="B34" s="94" t="s">
        <v>31</v>
      </c>
      <c r="C34" s="95" t="str">
        <f t="shared" si="0"/>
        <v>BL-WCD-BDT</v>
      </c>
      <c r="D34" s="96" t="s">
        <v>8</v>
      </c>
      <c r="E34" s="95" t="str">
        <f t="shared" si="4"/>
        <v>Fixed Cost</v>
      </c>
      <c r="F34" s="97">
        <f t="shared" si="5"/>
        <v>1</v>
      </c>
      <c r="G34" s="98"/>
      <c r="J34" s="83">
        <f t="shared" si="1"/>
        <v>0</v>
      </c>
      <c r="K34" s="99">
        <v>18</v>
      </c>
      <c r="L34" s="100">
        <f t="shared" si="8"/>
        <v>1</v>
      </c>
      <c r="M34" s="90" t="str">
        <f t="shared" si="8"/>
        <v>MD.9&gt;Wellhead and X-mas Tree installation service</v>
      </c>
      <c r="N34" s="90">
        <f t="shared" si="8"/>
        <v>0</v>
      </c>
      <c r="O34" s="90">
        <f t="shared" si="8"/>
        <v>0</v>
      </c>
      <c r="P34" s="90">
        <f t="shared" si="8"/>
        <v>0</v>
      </c>
      <c r="Q34" s="90">
        <f t="shared" si="8"/>
        <v>0</v>
      </c>
      <c r="R34" s="90">
        <f t="shared" si="8"/>
        <v>0</v>
      </c>
      <c r="S34" s="90">
        <f t="shared" si="8"/>
        <v>0</v>
      </c>
      <c r="T34" s="90">
        <f t="shared" si="8"/>
        <v>0</v>
      </c>
      <c r="U34" s="101">
        <f t="shared" si="8"/>
        <v>0</v>
      </c>
      <c r="V34" s="71"/>
      <c r="W34" s="102">
        <f t="shared" si="9"/>
        <v>0</v>
      </c>
      <c r="X34" s="102">
        <f t="shared" si="9"/>
        <v>0</v>
      </c>
      <c r="Y34" s="90">
        <f t="shared" si="9"/>
        <v>13</v>
      </c>
      <c r="Z34" s="102">
        <f t="shared" si="9"/>
        <v>13</v>
      </c>
      <c r="AA34" s="101" t="str">
        <f t="shared" si="9"/>
        <v>EA</v>
      </c>
      <c r="AB34" s="71"/>
      <c r="AC34" s="91">
        <v>1</v>
      </c>
      <c r="AD34" s="91">
        <v>1</v>
      </c>
      <c r="AE34" s="92" t="str">
        <f t="shared" si="6"/>
        <v>MD.9&gt;Wellhead and X-mas Tree installation service</v>
      </c>
      <c r="AF34" s="93">
        <f t="shared" si="7"/>
        <v>0</v>
      </c>
    </row>
    <row r="35" spans="1:32" ht="12.5">
      <c r="A35" s="28">
        <v>19</v>
      </c>
      <c r="B35" s="94" t="s">
        <v>32</v>
      </c>
      <c r="C35" s="95" t="str">
        <f t="shared" si="0"/>
        <v>BL-WCD-BDT</v>
      </c>
      <c r="D35" s="96" t="s">
        <v>8</v>
      </c>
      <c r="E35" s="95" t="str">
        <f t="shared" si="4"/>
        <v>Fixed Cost</v>
      </c>
      <c r="F35" s="97">
        <f t="shared" si="5"/>
        <v>1</v>
      </c>
      <c r="G35" s="98"/>
      <c r="J35" s="83">
        <f t="shared" si="1"/>
        <v>0</v>
      </c>
      <c r="K35" s="99">
        <v>19</v>
      </c>
      <c r="L35" s="100">
        <f t="shared" si="8"/>
        <v>1</v>
      </c>
      <c r="M35" s="90">
        <f t="shared" si="8"/>
        <v>0</v>
      </c>
      <c r="N35" s="90">
        <f t="shared" si="8"/>
        <v>0</v>
      </c>
      <c r="O35" s="90">
        <f t="shared" si="8"/>
        <v>0</v>
      </c>
      <c r="P35" s="90">
        <f t="shared" si="8"/>
        <v>0</v>
      </c>
      <c r="Q35" s="90">
        <f t="shared" si="8"/>
        <v>0</v>
      </c>
      <c r="R35" s="90">
        <f t="shared" si="8"/>
        <v>0</v>
      </c>
      <c r="S35" s="90">
        <f t="shared" si="8"/>
        <v>0</v>
      </c>
      <c r="T35" s="90">
        <f t="shared" si="8"/>
        <v>0</v>
      </c>
      <c r="U35" s="101">
        <f t="shared" si="8"/>
        <v>0</v>
      </c>
      <c r="V35" s="71"/>
      <c r="W35" s="102">
        <f t="shared" si="9"/>
        <v>0</v>
      </c>
      <c r="X35" s="102">
        <f t="shared" si="9"/>
        <v>0</v>
      </c>
      <c r="Y35" s="90">
        <f t="shared" si="9"/>
        <v>0</v>
      </c>
      <c r="Z35" s="102">
        <f t="shared" si="9"/>
        <v>0</v>
      </c>
      <c r="AA35" s="101">
        <f t="shared" si="9"/>
        <v>0</v>
      </c>
      <c r="AB35" s="71"/>
      <c r="AC35" s="91">
        <v>1</v>
      </c>
      <c r="AD35" s="91">
        <v>1</v>
      </c>
      <c r="AE35" s="92">
        <f t="shared" si="6"/>
        <v>0</v>
      </c>
      <c r="AF35" s="93">
        <f t="shared" si="7"/>
        <v>0</v>
      </c>
    </row>
    <row r="36" spans="1:32" ht="12.5">
      <c r="A36" s="28">
        <v>20</v>
      </c>
      <c r="B36" s="94" t="s">
        <v>33</v>
      </c>
      <c r="C36" s="95" t="str">
        <f t="shared" si="0"/>
        <v>BL-WCM-DM</v>
      </c>
      <c r="D36" s="96" t="s">
        <v>8</v>
      </c>
      <c r="E36" s="95" t="str">
        <f t="shared" si="4"/>
        <v>Fixed Cost</v>
      </c>
      <c r="F36" s="97">
        <f t="shared" si="5"/>
        <v>1</v>
      </c>
      <c r="G36" s="98"/>
      <c r="J36" s="83">
        <f t="shared" si="1"/>
        <v>0</v>
      </c>
      <c r="K36" s="99">
        <v>20</v>
      </c>
      <c r="L36" s="100">
        <f t="shared" si="8"/>
        <v>1</v>
      </c>
      <c r="M36" s="90">
        <f t="shared" si="8"/>
        <v>0</v>
      </c>
      <c r="N36" s="90">
        <f t="shared" si="8"/>
        <v>0</v>
      </c>
      <c r="O36" s="90">
        <f t="shared" si="8"/>
        <v>0</v>
      </c>
      <c r="P36" s="90">
        <f t="shared" si="8"/>
        <v>0</v>
      </c>
      <c r="Q36" s="90">
        <f t="shared" si="8"/>
        <v>0</v>
      </c>
      <c r="R36" s="90">
        <f t="shared" si="8"/>
        <v>0</v>
      </c>
      <c r="S36" s="90">
        <f t="shared" si="8"/>
        <v>0</v>
      </c>
      <c r="T36" s="90">
        <f t="shared" si="8"/>
        <v>0</v>
      </c>
      <c r="U36" s="101">
        <f t="shared" si="8"/>
        <v>0</v>
      </c>
      <c r="V36" s="71"/>
      <c r="W36" s="102">
        <f t="shared" si="9"/>
        <v>0</v>
      </c>
      <c r="X36" s="102">
        <f t="shared" si="9"/>
        <v>0</v>
      </c>
      <c r="Y36" s="90">
        <f t="shared" si="9"/>
        <v>0</v>
      </c>
      <c r="Z36" s="102">
        <f t="shared" si="9"/>
        <v>0</v>
      </c>
      <c r="AA36" s="101">
        <f t="shared" si="9"/>
        <v>0</v>
      </c>
      <c r="AB36" s="71"/>
      <c r="AC36" s="91">
        <v>1</v>
      </c>
      <c r="AD36" s="91">
        <v>1</v>
      </c>
      <c r="AE36" s="92">
        <f t="shared" si="6"/>
        <v>0</v>
      </c>
      <c r="AF36" s="93">
        <f t="shared" si="7"/>
        <v>0</v>
      </c>
    </row>
    <row r="37" spans="1:32" ht="12.5">
      <c r="A37" s="28">
        <v>21</v>
      </c>
      <c r="B37" s="94" t="s">
        <v>35</v>
      </c>
      <c r="C37" s="95" t="str">
        <f t="shared" si="0"/>
        <v>BL-WCM-DM</v>
      </c>
      <c r="D37" s="96" t="s">
        <v>8</v>
      </c>
      <c r="E37" s="95" t="str">
        <f t="shared" si="4"/>
        <v>Fixed Cost</v>
      </c>
      <c r="F37" s="97">
        <f t="shared" si="5"/>
        <v>1</v>
      </c>
      <c r="G37" s="98"/>
      <c r="J37" s="83">
        <f t="shared" si="1"/>
        <v>0</v>
      </c>
      <c r="K37" s="99">
        <v>21</v>
      </c>
      <c r="L37" s="100">
        <f t="shared" si="8"/>
        <v>1</v>
      </c>
      <c r="M37" s="90">
        <f t="shared" si="8"/>
        <v>0</v>
      </c>
      <c r="N37" s="90">
        <f t="shared" si="8"/>
        <v>0</v>
      </c>
      <c r="O37" s="90">
        <f t="shared" si="8"/>
        <v>0</v>
      </c>
      <c r="P37" s="90">
        <f t="shared" si="8"/>
        <v>0</v>
      </c>
      <c r="Q37" s="90">
        <f t="shared" si="8"/>
        <v>0</v>
      </c>
      <c r="R37" s="90">
        <f t="shared" si="8"/>
        <v>0</v>
      </c>
      <c r="S37" s="90">
        <f t="shared" si="8"/>
        <v>0</v>
      </c>
      <c r="T37" s="90">
        <f t="shared" si="8"/>
        <v>0</v>
      </c>
      <c r="U37" s="101">
        <f t="shared" si="8"/>
        <v>0</v>
      </c>
      <c r="V37" s="71"/>
      <c r="W37" s="102">
        <f t="shared" si="9"/>
        <v>0</v>
      </c>
      <c r="X37" s="102">
        <f t="shared" si="9"/>
        <v>0</v>
      </c>
      <c r="Y37" s="90">
        <f t="shared" si="9"/>
        <v>0</v>
      </c>
      <c r="Z37" s="102">
        <f t="shared" si="9"/>
        <v>0</v>
      </c>
      <c r="AA37" s="101">
        <f t="shared" si="9"/>
        <v>0</v>
      </c>
      <c r="AB37" s="71"/>
      <c r="AC37" s="91">
        <v>1</v>
      </c>
      <c r="AD37" s="91">
        <v>1</v>
      </c>
      <c r="AE37" s="92">
        <f t="shared" si="6"/>
        <v>0</v>
      </c>
      <c r="AF37" s="93">
        <f t="shared" si="7"/>
        <v>0</v>
      </c>
    </row>
    <row r="38" spans="1:32" ht="12.5">
      <c r="A38" s="28">
        <v>22</v>
      </c>
      <c r="B38" s="94" t="s">
        <v>36</v>
      </c>
      <c r="C38" s="95" t="str">
        <f t="shared" si="0"/>
        <v>BL-WCM-DM</v>
      </c>
      <c r="D38" s="96" t="s">
        <v>8</v>
      </c>
      <c r="E38" s="95" t="str">
        <f t="shared" si="4"/>
        <v>Fixed Cost</v>
      </c>
      <c r="F38" s="97">
        <f t="shared" si="5"/>
        <v>1</v>
      </c>
      <c r="G38" s="98"/>
      <c r="J38" s="83">
        <f t="shared" si="1"/>
        <v>0</v>
      </c>
      <c r="K38" s="99">
        <v>22</v>
      </c>
      <c r="L38" s="100">
        <f t="shared" si="8"/>
        <v>1</v>
      </c>
      <c r="M38" s="90">
        <f t="shared" si="8"/>
        <v>0</v>
      </c>
      <c r="N38" s="90">
        <f t="shared" si="8"/>
        <v>0</v>
      </c>
      <c r="O38" s="90">
        <f t="shared" si="8"/>
        <v>0</v>
      </c>
      <c r="P38" s="90">
        <f t="shared" si="8"/>
        <v>0</v>
      </c>
      <c r="Q38" s="90">
        <f t="shared" si="8"/>
        <v>0</v>
      </c>
      <c r="R38" s="90">
        <f t="shared" si="8"/>
        <v>0</v>
      </c>
      <c r="S38" s="90">
        <f t="shared" si="8"/>
        <v>0</v>
      </c>
      <c r="T38" s="90">
        <f t="shared" si="8"/>
        <v>0</v>
      </c>
      <c r="U38" s="101">
        <f t="shared" si="8"/>
        <v>0</v>
      </c>
      <c r="V38" s="71"/>
      <c r="W38" s="102">
        <f t="shared" si="9"/>
        <v>0</v>
      </c>
      <c r="X38" s="102">
        <f t="shared" si="9"/>
        <v>0</v>
      </c>
      <c r="Y38" s="90">
        <f t="shared" si="9"/>
        <v>0</v>
      </c>
      <c r="Z38" s="102">
        <f t="shared" si="9"/>
        <v>0</v>
      </c>
      <c r="AA38" s="101">
        <f t="shared" si="9"/>
        <v>0</v>
      </c>
      <c r="AB38" s="71"/>
      <c r="AC38" s="91">
        <v>1</v>
      </c>
      <c r="AD38" s="91">
        <v>1</v>
      </c>
      <c r="AE38" s="92">
        <f t="shared" si="6"/>
        <v>0</v>
      </c>
      <c r="AF38" s="93">
        <f t="shared" si="7"/>
        <v>0</v>
      </c>
    </row>
    <row r="39" spans="1:32" ht="12.5">
      <c r="A39" s="28">
        <v>23</v>
      </c>
      <c r="B39" s="94" t="s">
        <v>37</v>
      </c>
      <c r="C39" s="95" t="str">
        <f t="shared" si="0"/>
        <v>BL-WCM-DM</v>
      </c>
      <c r="D39" s="96" t="s">
        <v>8</v>
      </c>
      <c r="E39" s="95" t="str">
        <f t="shared" si="4"/>
        <v>Fixed Cost</v>
      </c>
      <c r="F39" s="97">
        <f t="shared" si="5"/>
        <v>1</v>
      </c>
      <c r="G39" s="98"/>
      <c r="J39" s="83">
        <f t="shared" si="1"/>
        <v>0</v>
      </c>
      <c r="K39" s="99">
        <v>23</v>
      </c>
      <c r="L39" s="100">
        <f t="shared" si="8"/>
        <v>1</v>
      </c>
      <c r="M39" s="90">
        <f t="shared" si="8"/>
        <v>0</v>
      </c>
      <c r="N39" s="90">
        <f t="shared" si="8"/>
        <v>0</v>
      </c>
      <c r="O39" s="90">
        <f t="shared" si="8"/>
        <v>0</v>
      </c>
      <c r="P39" s="90">
        <f t="shared" si="8"/>
        <v>0</v>
      </c>
      <c r="Q39" s="90">
        <f t="shared" si="8"/>
        <v>0</v>
      </c>
      <c r="R39" s="90">
        <f t="shared" si="8"/>
        <v>0</v>
      </c>
      <c r="S39" s="90">
        <f t="shared" si="8"/>
        <v>0</v>
      </c>
      <c r="T39" s="90">
        <f t="shared" si="8"/>
        <v>0</v>
      </c>
      <c r="U39" s="101">
        <f t="shared" si="8"/>
        <v>0</v>
      </c>
      <c r="V39" s="71"/>
      <c r="W39" s="102">
        <f t="shared" si="9"/>
        <v>0</v>
      </c>
      <c r="X39" s="102">
        <f t="shared" si="9"/>
        <v>0</v>
      </c>
      <c r="Y39" s="90">
        <f t="shared" si="9"/>
        <v>0</v>
      </c>
      <c r="Z39" s="102">
        <f t="shared" si="9"/>
        <v>0</v>
      </c>
      <c r="AA39" s="101">
        <f t="shared" si="9"/>
        <v>0</v>
      </c>
      <c r="AB39" s="71"/>
      <c r="AC39" s="91">
        <v>1</v>
      </c>
      <c r="AD39" s="91">
        <v>1</v>
      </c>
      <c r="AE39" s="92">
        <f t="shared" si="6"/>
        <v>0</v>
      </c>
      <c r="AF39" s="93">
        <f t="shared" si="7"/>
        <v>0</v>
      </c>
    </row>
    <row r="40" spans="1:32" ht="12.5">
      <c r="A40" s="28">
        <v>24</v>
      </c>
      <c r="B40" s="94" t="s">
        <v>38</v>
      </c>
      <c r="C40" s="95" t="str">
        <f t="shared" si="0"/>
        <v>BL-WCM-GSS</v>
      </c>
      <c r="D40" s="96" t="s">
        <v>8</v>
      </c>
      <c r="E40" s="95" t="str">
        <f t="shared" si="4"/>
        <v>Fixed Cost</v>
      </c>
      <c r="F40" s="97">
        <f t="shared" si="5"/>
        <v>1</v>
      </c>
      <c r="G40" s="98"/>
      <c r="J40" s="83">
        <f t="shared" si="1"/>
        <v>0</v>
      </c>
      <c r="K40" s="99">
        <v>24</v>
      </c>
      <c r="L40" s="100">
        <f t="shared" si="8"/>
        <v>1</v>
      </c>
      <c r="M40" s="90">
        <f t="shared" si="8"/>
        <v>0</v>
      </c>
      <c r="N40" s="90">
        <f t="shared" si="8"/>
        <v>0</v>
      </c>
      <c r="O40" s="90">
        <f t="shared" si="8"/>
        <v>0</v>
      </c>
      <c r="P40" s="90">
        <f t="shared" si="8"/>
        <v>0</v>
      </c>
      <c r="Q40" s="90">
        <f t="shared" si="8"/>
        <v>0</v>
      </c>
      <c r="R40" s="90">
        <f t="shared" si="8"/>
        <v>0</v>
      </c>
      <c r="S40" s="90">
        <f t="shared" si="8"/>
        <v>0</v>
      </c>
      <c r="T40" s="90">
        <f t="shared" si="8"/>
        <v>0</v>
      </c>
      <c r="U40" s="101">
        <f t="shared" si="8"/>
        <v>0</v>
      </c>
      <c r="V40" s="71"/>
      <c r="W40" s="102">
        <f t="shared" si="9"/>
        <v>0</v>
      </c>
      <c r="X40" s="102">
        <f t="shared" si="9"/>
        <v>0</v>
      </c>
      <c r="Y40" s="90">
        <f t="shared" si="9"/>
        <v>0</v>
      </c>
      <c r="Z40" s="102">
        <f t="shared" si="9"/>
        <v>0</v>
      </c>
      <c r="AA40" s="101">
        <f t="shared" si="9"/>
        <v>0</v>
      </c>
      <c r="AB40" s="71"/>
      <c r="AC40" s="91">
        <v>1</v>
      </c>
      <c r="AD40" s="91">
        <v>1</v>
      </c>
      <c r="AE40" s="92">
        <f t="shared" si="6"/>
        <v>0</v>
      </c>
      <c r="AF40" s="93">
        <f t="shared" si="7"/>
        <v>0</v>
      </c>
    </row>
    <row r="41" spans="1:32" ht="12.5">
      <c r="A41" s="28">
        <v>25</v>
      </c>
      <c r="B41" s="94" t="s">
        <v>40</v>
      </c>
      <c r="C41" s="95" t="str">
        <f t="shared" si="0"/>
        <v>BL-WCF-MI</v>
      </c>
      <c r="D41" s="96" t="s">
        <v>8</v>
      </c>
      <c r="E41" s="95" t="str">
        <f t="shared" si="4"/>
        <v>Fixed Cost</v>
      </c>
      <c r="F41" s="97">
        <f t="shared" si="5"/>
        <v>1</v>
      </c>
      <c r="G41" s="98"/>
      <c r="J41" s="83">
        <f t="shared" si="1"/>
        <v>0</v>
      </c>
      <c r="K41" s="99">
        <v>25</v>
      </c>
      <c r="L41" s="100">
        <f t="shared" si="8"/>
        <v>1</v>
      </c>
      <c r="M41" s="90">
        <f t="shared" si="8"/>
        <v>0</v>
      </c>
      <c r="N41" s="90">
        <f t="shared" si="8"/>
        <v>0</v>
      </c>
      <c r="O41" s="90">
        <f t="shared" si="8"/>
        <v>0</v>
      </c>
      <c r="P41" s="90">
        <f t="shared" si="8"/>
        <v>0</v>
      </c>
      <c r="Q41" s="90">
        <f t="shared" si="8"/>
        <v>0</v>
      </c>
      <c r="R41" s="90">
        <f t="shared" si="8"/>
        <v>0</v>
      </c>
      <c r="S41" s="90">
        <f t="shared" si="8"/>
        <v>0</v>
      </c>
      <c r="T41" s="90">
        <f t="shared" si="8"/>
        <v>0</v>
      </c>
      <c r="U41" s="101">
        <f t="shared" si="8"/>
        <v>0</v>
      </c>
      <c r="V41" s="71"/>
      <c r="W41" s="102">
        <f t="shared" si="9"/>
        <v>0</v>
      </c>
      <c r="X41" s="102">
        <f t="shared" si="9"/>
        <v>0</v>
      </c>
      <c r="Y41" s="90">
        <f t="shared" si="9"/>
        <v>0</v>
      </c>
      <c r="Z41" s="102">
        <f t="shared" si="9"/>
        <v>0</v>
      </c>
      <c r="AA41" s="101">
        <f t="shared" si="9"/>
        <v>0</v>
      </c>
      <c r="AB41" s="71"/>
      <c r="AC41" s="91">
        <v>1</v>
      </c>
      <c r="AD41" s="91">
        <v>1</v>
      </c>
      <c r="AE41" s="92">
        <f t="shared" si="6"/>
        <v>0</v>
      </c>
      <c r="AF41" s="93">
        <f t="shared" si="7"/>
        <v>0</v>
      </c>
    </row>
    <row r="42" spans="1:32" ht="12.5">
      <c r="A42" s="28">
        <v>26</v>
      </c>
      <c r="B42" s="94" t="s">
        <v>42</v>
      </c>
      <c r="C42" s="95" t="str">
        <f t="shared" si="0"/>
        <v>BL-WCF-MI</v>
      </c>
      <c r="D42" s="96" t="s">
        <v>8</v>
      </c>
      <c r="E42" s="95" t="str">
        <f t="shared" si="4"/>
        <v>Fixed Cost</v>
      </c>
      <c r="F42" s="97">
        <f t="shared" si="5"/>
        <v>1</v>
      </c>
      <c r="G42" s="98"/>
      <c r="J42" s="83">
        <f t="shared" si="1"/>
        <v>0</v>
      </c>
      <c r="K42" s="99">
        <v>26</v>
      </c>
      <c r="L42" s="100">
        <f t="shared" si="8"/>
        <v>1</v>
      </c>
      <c r="M42" s="90">
        <f t="shared" si="8"/>
        <v>0</v>
      </c>
      <c r="N42" s="90">
        <f t="shared" si="8"/>
        <v>0</v>
      </c>
      <c r="O42" s="90">
        <f t="shared" si="8"/>
        <v>0</v>
      </c>
      <c r="P42" s="90">
        <f t="shared" si="8"/>
        <v>0</v>
      </c>
      <c r="Q42" s="90">
        <f t="shared" si="8"/>
        <v>0</v>
      </c>
      <c r="R42" s="90">
        <f t="shared" si="8"/>
        <v>0</v>
      </c>
      <c r="S42" s="90">
        <f t="shared" si="8"/>
        <v>0</v>
      </c>
      <c r="T42" s="90">
        <f t="shared" si="8"/>
        <v>0</v>
      </c>
      <c r="U42" s="101">
        <f t="shared" si="8"/>
        <v>0</v>
      </c>
      <c r="V42" s="71"/>
      <c r="W42" s="102">
        <f t="shared" si="9"/>
        <v>0</v>
      </c>
      <c r="X42" s="102">
        <f t="shared" si="9"/>
        <v>0</v>
      </c>
      <c r="Y42" s="90">
        <f t="shared" si="9"/>
        <v>0</v>
      </c>
      <c r="Z42" s="102">
        <f t="shared" si="9"/>
        <v>0</v>
      </c>
      <c r="AA42" s="101">
        <f t="shared" si="9"/>
        <v>0</v>
      </c>
      <c r="AB42" s="71"/>
      <c r="AC42" s="91">
        <v>1</v>
      </c>
      <c r="AD42" s="91">
        <v>1</v>
      </c>
      <c r="AE42" s="92">
        <f t="shared" si="6"/>
        <v>0</v>
      </c>
      <c r="AF42" s="93">
        <f t="shared" si="7"/>
        <v>0</v>
      </c>
    </row>
    <row r="43" spans="1:32" ht="12.5">
      <c r="A43" s="28">
        <v>27</v>
      </c>
      <c r="B43" s="94" t="s">
        <v>45</v>
      </c>
      <c r="C43" s="95" t="str">
        <f t="shared" si="0"/>
        <v>BL-WCF-MI</v>
      </c>
      <c r="D43" s="96" t="s">
        <v>8</v>
      </c>
      <c r="E43" s="95" t="str">
        <f t="shared" si="4"/>
        <v>Fixed Cost</v>
      </c>
      <c r="F43" s="97">
        <f t="shared" si="5"/>
        <v>1</v>
      </c>
      <c r="G43" s="98"/>
      <c r="J43" s="83">
        <f t="shared" si="1"/>
        <v>0</v>
      </c>
      <c r="K43" s="99">
        <v>27</v>
      </c>
      <c r="L43" s="100">
        <f t="shared" si="8"/>
        <v>1</v>
      </c>
      <c r="M43" s="90">
        <f t="shared" si="8"/>
        <v>0</v>
      </c>
      <c r="N43" s="90">
        <f t="shared" si="8"/>
        <v>0</v>
      </c>
      <c r="O43" s="90">
        <f t="shared" si="8"/>
        <v>0</v>
      </c>
      <c r="P43" s="90">
        <f t="shared" si="8"/>
        <v>0</v>
      </c>
      <c r="Q43" s="90">
        <f t="shared" si="8"/>
        <v>0</v>
      </c>
      <c r="R43" s="90">
        <f t="shared" si="8"/>
        <v>0</v>
      </c>
      <c r="S43" s="90">
        <f t="shared" si="8"/>
        <v>0</v>
      </c>
      <c r="T43" s="90">
        <f t="shared" si="8"/>
        <v>0</v>
      </c>
      <c r="U43" s="101">
        <f t="shared" si="8"/>
        <v>0</v>
      </c>
      <c r="V43" s="71"/>
      <c r="W43" s="102">
        <f t="shared" si="9"/>
        <v>0</v>
      </c>
      <c r="X43" s="102">
        <f t="shared" si="9"/>
        <v>0</v>
      </c>
      <c r="Y43" s="90">
        <f t="shared" si="9"/>
        <v>0</v>
      </c>
      <c r="Z43" s="102">
        <f t="shared" si="9"/>
        <v>0</v>
      </c>
      <c r="AA43" s="101">
        <f t="shared" si="9"/>
        <v>0</v>
      </c>
      <c r="AB43" s="71"/>
      <c r="AC43" s="91">
        <v>1</v>
      </c>
      <c r="AD43" s="91">
        <v>1</v>
      </c>
      <c r="AE43" s="92">
        <f t="shared" si="6"/>
        <v>0</v>
      </c>
      <c r="AF43" s="93">
        <f t="shared" si="7"/>
        <v>0</v>
      </c>
    </row>
    <row r="44" spans="1:32" ht="12.5">
      <c r="A44" s="28">
        <v>28</v>
      </c>
      <c r="B44" s="94" t="s">
        <v>44</v>
      </c>
      <c r="C44" s="95" t="str">
        <f t="shared" si="0"/>
        <v>BL-WCF-MI</v>
      </c>
      <c r="D44" s="96" t="s">
        <v>8</v>
      </c>
      <c r="E44" s="95" t="str">
        <f t="shared" si="4"/>
        <v>Fixed Cost</v>
      </c>
      <c r="F44" s="97">
        <f t="shared" si="5"/>
        <v>1</v>
      </c>
      <c r="G44" s="98"/>
      <c r="J44" s="83">
        <f t="shared" si="1"/>
        <v>0</v>
      </c>
      <c r="K44" s="99">
        <v>28</v>
      </c>
      <c r="L44" s="100">
        <f t="shared" si="8"/>
        <v>1</v>
      </c>
      <c r="M44" s="90">
        <f t="shared" si="8"/>
        <v>0</v>
      </c>
      <c r="N44" s="90">
        <f t="shared" si="8"/>
        <v>0</v>
      </c>
      <c r="O44" s="90">
        <f t="shared" si="8"/>
        <v>0</v>
      </c>
      <c r="P44" s="90">
        <f t="shared" si="8"/>
        <v>0</v>
      </c>
      <c r="Q44" s="90">
        <f t="shared" si="8"/>
        <v>0</v>
      </c>
      <c r="R44" s="90">
        <f t="shared" si="8"/>
        <v>0</v>
      </c>
      <c r="S44" s="90">
        <f t="shared" si="8"/>
        <v>0</v>
      </c>
      <c r="T44" s="90">
        <f t="shared" si="8"/>
        <v>0</v>
      </c>
      <c r="U44" s="101">
        <f t="shared" si="8"/>
        <v>0</v>
      </c>
      <c r="V44" s="71"/>
      <c r="W44" s="102">
        <f t="shared" si="9"/>
        <v>0</v>
      </c>
      <c r="X44" s="102">
        <f t="shared" si="9"/>
        <v>0</v>
      </c>
      <c r="Y44" s="90">
        <f t="shared" si="9"/>
        <v>0</v>
      </c>
      <c r="Z44" s="102">
        <f t="shared" si="9"/>
        <v>0</v>
      </c>
      <c r="AA44" s="101">
        <f t="shared" si="9"/>
        <v>0</v>
      </c>
      <c r="AB44" s="71"/>
      <c r="AC44" s="91">
        <v>1</v>
      </c>
      <c r="AD44" s="91">
        <v>1</v>
      </c>
      <c r="AE44" s="92">
        <f t="shared" si="6"/>
        <v>0</v>
      </c>
      <c r="AF44" s="93">
        <f t="shared" si="7"/>
        <v>0</v>
      </c>
    </row>
    <row r="45" spans="1:32" ht="12.5">
      <c r="A45" s="28">
        <v>29</v>
      </c>
      <c r="B45" s="104" t="s">
        <v>43</v>
      </c>
      <c r="C45" s="95" t="str">
        <f t="shared" si="0"/>
        <v>BL-WCF-MI</v>
      </c>
      <c r="D45" s="105" t="s">
        <v>8</v>
      </c>
      <c r="E45" s="95" t="str">
        <f t="shared" si="4"/>
        <v>Fixed Cost</v>
      </c>
      <c r="F45" s="97">
        <f t="shared" si="5"/>
        <v>1</v>
      </c>
      <c r="G45" s="98"/>
      <c r="J45" s="83">
        <f t="shared" si="1"/>
        <v>0</v>
      </c>
      <c r="K45" s="99">
        <v>29</v>
      </c>
      <c r="L45" s="100">
        <f t="shared" si="8"/>
        <v>1</v>
      </c>
      <c r="M45" s="90">
        <f t="shared" si="8"/>
        <v>0</v>
      </c>
      <c r="N45" s="90">
        <f t="shared" si="8"/>
        <v>0</v>
      </c>
      <c r="O45" s="90">
        <f t="shared" si="8"/>
        <v>0</v>
      </c>
      <c r="P45" s="90">
        <f t="shared" si="8"/>
        <v>0</v>
      </c>
      <c r="Q45" s="90">
        <f t="shared" si="8"/>
        <v>0</v>
      </c>
      <c r="R45" s="90">
        <f t="shared" si="8"/>
        <v>0</v>
      </c>
      <c r="S45" s="90">
        <f t="shared" si="8"/>
        <v>0</v>
      </c>
      <c r="T45" s="90">
        <f t="shared" si="8"/>
        <v>0</v>
      </c>
      <c r="U45" s="101">
        <f t="shared" si="8"/>
        <v>0</v>
      </c>
      <c r="V45" s="71"/>
      <c r="W45" s="102">
        <f t="shared" si="9"/>
        <v>0</v>
      </c>
      <c r="X45" s="102">
        <f t="shared" si="9"/>
        <v>0</v>
      </c>
      <c r="Y45" s="90">
        <f t="shared" si="9"/>
        <v>0</v>
      </c>
      <c r="Z45" s="102">
        <f t="shared" si="9"/>
        <v>0</v>
      </c>
      <c r="AA45" s="101">
        <f t="shared" si="9"/>
        <v>0</v>
      </c>
      <c r="AB45" s="71"/>
      <c r="AC45" s="91">
        <v>1</v>
      </c>
      <c r="AD45" s="91">
        <v>1</v>
      </c>
      <c r="AE45" s="92">
        <f t="shared" si="6"/>
        <v>0</v>
      </c>
      <c r="AF45" s="93">
        <f t="shared" si="7"/>
        <v>0</v>
      </c>
    </row>
    <row r="46" spans="1:32" ht="12.5">
      <c r="A46" s="28">
        <v>30</v>
      </c>
      <c r="B46" s="104" t="s">
        <v>46</v>
      </c>
      <c r="C46" s="95" t="str">
        <f t="shared" si="0"/>
        <v>BL-WCF-MI</v>
      </c>
      <c r="D46" s="105" t="s">
        <v>8</v>
      </c>
      <c r="E46" s="95" t="str">
        <f t="shared" si="4"/>
        <v>Fixed Cost</v>
      </c>
      <c r="F46" s="97">
        <f t="shared" si="5"/>
        <v>1</v>
      </c>
      <c r="G46" s="98"/>
      <c r="J46" s="83">
        <f t="shared" si="1"/>
        <v>0</v>
      </c>
      <c r="K46" s="99">
        <v>30</v>
      </c>
      <c r="L46" s="100">
        <f t="shared" si="8"/>
        <v>1</v>
      </c>
      <c r="M46" s="90">
        <f t="shared" si="8"/>
        <v>0</v>
      </c>
      <c r="N46" s="90">
        <f t="shared" si="8"/>
        <v>0</v>
      </c>
      <c r="O46" s="90">
        <f t="shared" si="8"/>
        <v>0</v>
      </c>
      <c r="P46" s="90">
        <f t="shared" si="8"/>
        <v>0</v>
      </c>
      <c r="Q46" s="90">
        <f t="shared" si="8"/>
        <v>0</v>
      </c>
      <c r="R46" s="90">
        <f t="shared" si="8"/>
        <v>0</v>
      </c>
      <c r="S46" s="90">
        <f t="shared" si="8"/>
        <v>0</v>
      </c>
      <c r="T46" s="90">
        <f t="shared" si="8"/>
        <v>0</v>
      </c>
      <c r="U46" s="101">
        <f t="shared" si="8"/>
        <v>0</v>
      </c>
      <c r="V46" s="71"/>
      <c r="W46" s="102">
        <f t="shared" si="9"/>
        <v>0</v>
      </c>
      <c r="X46" s="102">
        <f t="shared" si="9"/>
        <v>0</v>
      </c>
      <c r="Y46" s="90">
        <f t="shared" si="9"/>
        <v>0</v>
      </c>
      <c r="Z46" s="102">
        <f t="shared" si="9"/>
        <v>0</v>
      </c>
      <c r="AA46" s="101">
        <f t="shared" si="9"/>
        <v>0</v>
      </c>
      <c r="AB46" s="71"/>
      <c r="AC46" s="91">
        <v>1</v>
      </c>
      <c r="AD46" s="91">
        <v>1</v>
      </c>
      <c r="AE46" s="92">
        <f t="shared" si="6"/>
        <v>0</v>
      </c>
      <c r="AF46" s="93">
        <f t="shared" si="7"/>
        <v>0</v>
      </c>
    </row>
    <row r="47" spans="1:32" ht="12.5">
      <c r="A47" s="28">
        <v>31</v>
      </c>
      <c r="B47" s="104" t="s">
        <v>47</v>
      </c>
      <c r="C47" s="95" t="str">
        <f t="shared" si="0"/>
        <v>BL-WCF-MI</v>
      </c>
      <c r="D47" s="105" t="s">
        <v>8</v>
      </c>
      <c r="E47" s="95" t="str">
        <f t="shared" si="4"/>
        <v>Fixed Cost</v>
      </c>
      <c r="F47" s="97">
        <f t="shared" si="5"/>
        <v>1</v>
      </c>
      <c r="G47" s="98"/>
      <c r="J47" s="83">
        <f t="shared" si="1"/>
        <v>0</v>
      </c>
      <c r="K47" s="99">
        <v>31</v>
      </c>
      <c r="L47" s="100">
        <f t="shared" si="8"/>
        <v>1</v>
      </c>
      <c r="M47" s="90">
        <f t="shared" si="8"/>
        <v>0</v>
      </c>
      <c r="N47" s="90">
        <f t="shared" si="8"/>
        <v>0</v>
      </c>
      <c r="O47" s="90">
        <f t="shared" si="8"/>
        <v>0</v>
      </c>
      <c r="P47" s="90">
        <f t="shared" si="8"/>
        <v>0</v>
      </c>
      <c r="Q47" s="90">
        <f t="shared" si="8"/>
        <v>0</v>
      </c>
      <c r="R47" s="90">
        <f t="shared" si="8"/>
        <v>0</v>
      </c>
      <c r="S47" s="90">
        <f t="shared" si="8"/>
        <v>0</v>
      </c>
      <c r="T47" s="90">
        <f t="shared" si="8"/>
        <v>0</v>
      </c>
      <c r="U47" s="101">
        <f t="shared" si="8"/>
        <v>0</v>
      </c>
      <c r="V47" s="71"/>
      <c r="W47" s="102">
        <f t="shared" si="9"/>
        <v>0</v>
      </c>
      <c r="X47" s="102">
        <f t="shared" si="9"/>
        <v>0</v>
      </c>
      <c r="Y47" s="90">
        <f t="shared" si="9"/>
        <v>0</v>
      </c>
      <c r="Z47" s="102">
        <f t="shared" si="9"/>
        <v>0</v>
      </c>
      <c r="AA47" s="101">
        <f t="shared" si="9"/>
        <v>0</v>
      </c>
      <c r="AB47" s="71"/>
      <c r="AC47" s="91">
        <v>1</v>
      </c>
      <c r="AD47" s="91">
        <v>1</v>
      </c>
      <c r="AE47" s="92">
        <f t="shared" si="6"/>
        <v>0</v>
      </c>
      <c r="AF47" s="93">
        <f t="shared" si="7"/>
        <v>0</v>
      </c>
    </row>
    <row r="48" spans="1:32" ht="12.5">
      <c r="A48" s="28">
        <v>32</v>
      </c>
      <c r="B48" s="104" t="s">
        <v>48</v>
      </c>
      <c r="C48" s="95" t="str">
        <f t="shared" si="0"/>
        <v>BL-WCF-MI</v>
      </c>
      <c r="D48" s="105" t="s">
        <v>8</v>
      </c>
      <c r="E48" s="95" t="str">
        <f t="shared" si="4"/>
        <v>Fixed Cost</v>
      </c>
      <c r="F48" s="97">
        <f t="shared" si="5"/>
        <v>1</v>
      </c>
      <c r="G48" s="98"/>
      <c r="J48" s="83">
        <f t="shared" si="1"/>
        <v>0</v>
      </c>
      <c r="K48" s="99">
        <v>32</v>
      </c>
      <c r="L48" s="100">
        <f t="shared" si="8"/>
        <v>1</v>
      </c>
      <c r="M48" s="90">
        <f t="shared" si="8"/>
        <v>0</v>
      </c>
      <c r="N48" s="90">
        <f t="shared" si="8"/>
        <v>0</v>
      </c>
      <c r="O48" s="90">
        <f t="shared" si="8"/>
        <v>0</v>
      </c>
      <c r="P48" s="90">
        <f t="shared" si="8"/>
        <v>0</v>
      </c>
      <c r="Q48" s="90">
        <f t="shared" si="8"/>
        <v>0</v>
      </c>
      <c r="R48" s="90">
        <f t="shared" si="8"/>
        <v>0</v>
      </c>
      <c r="S48" s="90">
        <f t="shared" si="8"/>
        <v>0</v>
      </c>
      <c r="T48" s="90">
        <f t="shared" si="8"/>
        <v>0</v>
      </c>
      <c r="U48" s="101">
        <f t="shared" si="8"/>
        <v>0</v>
      </c>
      <c r="V48" s="71"/>
      <c r="W48" s="102">
        <f t="shared" si="9"/>
        <v>0</v>
      </c>
      <c r="X48" s="102">
        <f t="shared" si="9"/>
        <v>0</v>
      </c>
      <c r="Y48" s="90">
        <f t="shared" si="9"/>
        <v>0</v>
      </c>
      <c r="Z48" s="102">
        <f t="shared" si="9"/>
        <v>0</v>
      </c>
      <c r="AA48" s="101">
        <f t="shared" si="9"/>
        <v>0</v>
      </c>
      <c r="AB48" s="71"/>
      <c r="AC48" s="91">
        <v>1</v>
      </c>
      <c r="AD48" s="91">
        <v>1</v>
      </c>
      <c r="AE48" s="92">
        <f t="shared" si="6"/>
        <v>0</v>
      </c>
      <c r="AF48" s="93">
        <f t="shared" si="7"/>
        <v>0</v>
      </c>
    </row>
    <row r="49" spans="1:32" ht="12.5">
      <c r="A49" s="28">
        <v>33</v>
      </c>
      <c r="B49" s="104" t="s">
        <v>49</v>
      </c>
      <c r="C49" s="95" t="str">
        <f t="shared" ref="C49:C80" si="10">INDEX(___ServicesMasterList_Symbol,MATCH($B49,___ServicesMasterList,0),1)</f>
        <v>BL-WCF-MI</v>
      </c>
      <c r="D49" s="105" t="s">
        <v>8</v>
      </c>
      <c r="E49" s="95" t="str">
        <f t="shared" si="4"/>
        <v>Fixed Cost</v>
      </c>
      <c r="F49" s="97">
        <f t="shared" si="5"/>
        <v>1</v>
      </c>
      <c r="G49" s="98"/>
      <c r="J49" s="83">
        <f t="shared" si="1"/>
        <v>0</v>
      </c>
      <c r="K49" s="99">
        <v>33</v>
      </c>
      <c r="L49" s="100">
        <f t="shared" ref="L49:U64" si="11">INDEX(L$420:L$1632,MATCH($K49,$K$420:$K$1632,0)+MATCH("Option "&amp;$D$9,$K$420:$K$1230,0)-1,1)</f>
        <v>1</v>
      </c>
      <c r="M49" s="90">
        <f t="shared" si="11"/>
        <v>0</v>
      </c>
      <c r="N49" s="90">
        <f t="shared" si="11"/>
        <v>0</v>
      </c>
      <c r="O49" s="90">
        <f t="shared" si="11"/>
        <v>0</v>
      </c>
      <c r="P49" s="90">
        <f t="shared" si="11"/>
        <v>0</v>
      </c>
      <c r="Q49" s="90">
        <f t="shared" si="11"/>
        <v>0</v>
      </c>
      <c r="R49" s="90">
        <f t="shared" si="11"/>
        <v>0</v>
      </c>
      <c r="S49" s="90">
        <f t="shared" si="11"/>
        <v>0</v>
      </c>
      <c r="T49" s="90">
        <f t="shared" si="11"/>
        <v>0</v>
      </c>
      <c r="U49" s="101">
        <f t="shared" si="11"/>
        <v>0</v>
      </c>
      <c r="V49" s="71"/>
      <c r="W49" s="102">
        <f t="shared" ref="W49:AA64" si="12">INDEX(W$420:W$1632,MATCH($K49,$K$420:$K$1632,0)+MATCH("Option "&amp;$D$9,$K$420:$K$1230,0)-1,1)</f>
        <v>0</v>
      </c>
      <c r="X49" s="102">
        <f t="shared" si="12"/>
        <v>0</v>
      </c>
      <c r="Y49" s="90">
        <f t="shared" si="12"/>
        <v>0</v>
      </c>
      <c r="Z49" s="102">
        <f t="shared" si="12"/>
        <v>0</v>
      </c>
      <c r="AA49" s="101">
        <f t="shared" si="12"/>
        <v>0</v>
      </c>
      <c r="AB49" s="71"/>
      <c r="AC49" s="91">
        <v>1</v>
      </c>
      <c r="AD49" s="91">
        <v>1</v>
      </c>
      <c r="AE49" s="92">
        <f t="shared" si="6"/>
        <v>0</v>
      </c>
      <c r="AF49" s="93">
        <f t="shared" ref="AF49:AF62" si="13">INDEX(Y49:Z49,1,MATCH(_WellBasketSelection,$Y$15:$Z$15,0))*U49</f>
        <v>0</v>
      </c>
    </row>
    <row r="50" spans="1:32" ht="12.5">
      <c r="A50" s="28">
        <v>34</v>
      </c>
      <c r="B50" s="104" t="s">
        <v>50</v>
      </c>
      <c r="C50" s="95" t="str">
        <f t="shared" si="10"/>
        <v>BL-WCF-CEM</v>
      </c>
      <c r="D50" s="105" t="s">
        <v>8</v>
      </c>
      <c r="E50" s="95" t="str">
        <f t="shared" si="4"/>
        <v>Fixed Cost</v>
      </c>
      <c r="F50" s="97">
        <f t="shared" si="5"/>
        <v>1</v>
      </c>
      <c r="G50" s="98"/>
      <c r="J50" s="83">
        <f t="shared" si="1"/>
        <v>0</v>
      </c>
      <c r="K50" s="99">
        <v>34</v>
      </c>
      <c r="L50" s="100">
        <f t="shared" si="11"/>
        <v>1</v>
      </c>
      <c r="M50" s="90">
        <f t="shared" si="11"/>
        <v>0</v>
      </c>
      <c r="N50" s="90">
        <f t="shared" si="11"/>
        <v>0</v>
      </c>
      <c r="O50" s="90">
        <f t="shared" si="11"/>
        <v>0</v>
      </c>
      <c r="P50" s="90">
        <f t="shared" si="11"/>
        <v>0</v>
      </c>
      <c r="Q50" s="90">
        <f t="shared" si="11"/>
        <v>0</v>
      </c>
      <c r="R50" s="90">
        <f t="shared" si="11"/>
        <v>0</v>
      </c>
      <c r="S50" s="90">
        <f t="shared" si="11"/>
        <v>0</v>
      </c>
      <c r="T50" s="90">
        <f t="shared" si="11"/>
        <v>0</v>
      </c>
      <c r="U50" s="101">
        <f t="shared" si="11"/>
        <v>0</v>
      </c>
      <c r="V50" s="71"/>
      <c r="W50" s="102">
        <f t="shared" si="12"/>
        <v>0</v>
      </c>
      <c r="X50" s="102">
        <f t="shared" si="12"/>
        <v>0</v>
      </c>
      <c r="Y50" s="90">
        <f t="shared" si="12"/>
        <v>0</v>
      </c>
      <c r="Z50" s="102">
        <f t="shared" si="12"/>
        <v>0</v>
      </c>
      <c r="AA50" s="101">
        <f t="shared" si="12"/>
        <v>0</v>
      </c>
      <c r="AB50" s="71"/>
      <c r="AC50" s="91">
        <v>1</v>
      </c>
      <c r="AD50" s="91">
        <v>1</v>
      </c>
      <c r="AE50" s="92">
        <f t="shared" si="6"/>
        <v>0</v>
      </c>
      <c r="AF50" s="93">
        <f t="shared" si="13"/>
        <v>0</v>
      </c>
    </row>
    <row r="51" spans="1:32" ht="12.5">
      <c r="A51" s="28">
        <v>35</v>
      </c>
      <c r="B51" s="104" t="s">
        <v>52</v>
      </c>
      <c r="C51" s="95" t="str">
        <f t="shared" si="10"/>
        <v>BL-WCF-CEM</v>
      </c>
      <c r="D51" s="105" t="s">
        <v>8</v>
      </c>
      <c r="E51" s="95" t="str">
        <f t="shared" si="4"/>
        <v>Fixed Cost</v>
      </c>
      <c r="F51" s="97">
        <f t="shared" si="5"/>
        <v>1</v>
      </c>
      <c r="G51" s="98"/>
      <c r="J51" s="83">
        <f t="shared" si="1"/>
        <v>0</v>
      </c>
      <c r="K51" s="99">
        <v>35</v>
      </c>
      <c r="L51" s="100">
        <f t="shared" si="11"/>
        <v>1</v>
      </c>
      <c r="M51" s="90">
        <f t="shared" si="11"/>
        <v>0</v>
      </c>
      <c r="N51" s="90">
        <f t="shared" si="11"/>
        <v>0</v>
      </c>
      <c r="O51" s="90">
        <f t="shared" si="11"/>
        <v>0</v>
      </c>
      <c r="P51" s="90">
        <f t="shared" si="11"/>
        <v>0</v>
      </c>
      <c r="Q51" s="90">
        <f t="shared" si="11"/>
        <v>0</v>
      </c>
      <c r="R51" s="90">
        <f t="shared" si="11"/>
        <v>0</v>
      </c>
      <c r="S51" s="90">
        <f t="shared" si="11"/>
        <v>0</v>
      </c>
      <c r="T51" s="90">
        <f t="shared" si="11"/>
        <v>0</v>
      </c>
      <c r="U51" s="101">
        <f t="shared" si="11"/>
        <v>0</v>
      </c>
      <c r="V51" s="71"/>
      <c r="W51" s="102">
        <f t="shared" si="12"/>
        <v>0</v>
      </c>
      <c r="X51" s="102">
        <f t="shared" si="12"/>
        <v>0</v>
      </c>
      <c r="Y51" s="90">
        <f t="shared" si="12"/>
        <v>0</v>
      </c>
      <c r="Z51" s="102">
        <f t="shared" si="12"/>
        <v>0</v>
      </c>
      <c r="AA51" s="101">
        <f t="shared" si="12"/>
        <v>0</v>
      </c>
      <c r="AB51" s="71"/>
      <c r="AC51" s="91">
        <v>1</v>
      </c>
      <c r="AD51" s="91">
        <v>1</v>
      </c>
      <c r="AE51" s="92">
        <f t="shared" si="6"/>
        <v>0</v>
      </c>
      <c r="AF51" s="93">
        <f t="shared" si="13"/>
        <v>0</v>
      </c>
    </row>
    <row r="52" spans="1:32" ht="12.5">
      <c r="A52" s="28">
        <v>36</v>
      </c>
      <c r="B52" s="104" t="s">
        <v>53</v>
      </c>
      <c r="C52" s="95" t="str">
        <f t="shared" si="10"/>
        <v>BL-RPE-CT</v>
      </c>
      <c r="D52" s="105" t="s">
        <v>8</v>
      </c>
      <c r="E52" s="95" t="str">
        <f t="shared" si="4"/>
        <v>Fixed Cost</v>
      </c>
      <c r="F52" s="97">
        <f t="shared" si="5"/>
        <v>1</v>
      </c>
      <c r="G52" s="98"/>
      <c r="J52" s="83">
        <f t="shared" si="1"/>
        <v>0</v>
      </c>
      <c r="K52" s="99">
        <v>36</v>
      </c>
      <c r="L52" s="100">
        <f t="shared" si="11"/>
        <v>1</v>
      </c>
      <c r="M52" s="90">
        <f t="shared" si="11"/>
        <v>0</v>
      </c>
      <c r="N52" s="90">
        <f t="shared" si="11"/>
        <v>0</v>
      </c>
      <c r="O52" s="90">
        <f t="shared" si="11"/>
        <v>0</v>
      </c>
      <c r="P52" s="90">
        <f t="shared" si="11"/>
        <v>0</v>
      </c>
      <c r="Q52" s="90">
        <f t="shared" si="11"/>
        <v>0</v>
      </c>
      <c r="R52" s="90">
        <f t="shared" si="11"/>
        <v>0</v>
      </c>
      <c r="S52" s="90">
        <f t="shared" si="11"/>
        <v>0</v>
      </c>
      <c r="T52" s="90">
        <f t="shared" si="11"/>
        <v>0</v>
      </c>
      <c r="U52" s="101">
        <f t="shared" si="11"/>
        <v>0</v>
      </c>
      <c r="V52" s="71"/>
      <c r="W52" s="102">
        <f t="shared" si="12"/>
        <v>0</v>
      </c>
      <c r="X52" s="102">
        <f t="shared" si="12"/>
        <v>0</v>
      </c>
      <c r="Y52" s="90">
        <f t="shared" si="12"/>
        <v>0</v>
      </c>
      <c r="Z52" s="102">
        <f t="shared" si="12"/>
        <v>0</v>
      </c>
      <c r="AA52" s="101">
        <f t="shared" si="12"/>
        <v>0</v>
      </c>
      <c r="AB52" s="71"/>
      <c r="AC52" s="91">
        <v>1</v>
      </c>
      <c r="AD52" s="91">
        <v>1</v>
      </c>
      <c r="AE52" s="92">
        <f t="shared" si="6"/>
        <v>0</v>
      </c>
      <c r="AF52" s="93">
        <f t="shared" si="13"/>
        <v>0</v>
      </c>
    </row>
    <row r="53" spans="1:32" ht="12.5">
      <c r="A53" s="28">
        <v>37</v>
      </c>
      <c r="B53" s="104" t="s">
        <v>55</v>
      </c>
      <c r="C53" s="95" t="str">
        <f t="shared" si="10"/>
        <v>BL-RPE-CT</v>
      </c>
      <c r="D53" s="105" t="s">
        <v>8</v>
      </c>
      <c r="E53" s="95" t="str">
        <f t="shared" si="4"/>
        <v>Fixed Cost</v>
      </c>
      <c r="F53" s="97">
        <f t="shared" si="5"/>
        <v>1</v>
      </c>
      <c r="G53" s="98"/>
      <c r="J53" s="83">
        <f t="shared" si="1"/>
        <v>0</v>
      </c>
      <c r="K53" s="99">
        <v>37</v>
      </c>
      <c r="L53" s="100">
        <f t="shared" si="11"/>
        <v>1</v>
      </c>
      <c r="M53" s="90">
        <f t="shared" si="11"/>
        <v>0</v>
      </c>
      <c r="N53" s="90">
        <f t="shared" si="11"/>
        <v>0</v>
      </c>
      <c r="O53" s="90">
        <f t="shared" si="11"/>
        <v>0</v>
      </c>
      <c r="P53" s="90">
        <f t="shared" si="11"/>
        <v>0</v>
      </c>
      <c r="Q53" s="90">
        <f t="shared" si="11"/>
        <v>0</v>
      </c>
      <c r="R53" s="90">
        <f t="shared" si="11"/>
        <v>0</v>
      </c>
      <c r="S53" s="90">
        <f t="shared" si="11"/>
        <v>0</v>
      </c>
      <c r="T53" s="90">
        <f t="shared" si="11"/>
        <v>0</v>
      </c>
      <c r="U53" s="101">
        <f t="shared" si="11"/>
        <v>0</v>
      </c>
      <c r="V53" s="71"/>
      <c r="W53" s="102">
        <f t="shared" si="12"/>
        <v>0</v>
      </c>
      <c r="X53" s="102">
        <f t="shared" si="12"/>
        <v>0</v>
      </c>
      <c r="Y53" s="90">
        <f t="shared" si="12"/>
        <v>0</v>
      </c>
      <c r="Z53" s="102">
        <f t="shared" si="12"/>
        <v>0</v>
      </c>
      <c r="AA53" s="101">
        <f t="shared" si="12"/>
        <v>0</v>
      </c>
      <c r="AB53" s="71"/>
      <c r="AC53" s="91">
        <v>1</v>
      </c>
      <c r="AD53" s="91">
        <v>1</v>
      </c>
      <c r="AE53" s="92">
        <f t="shared" si="6"/>
        <v>0</v>
      </c>
      <c r="AF53" s="93">
        <f t="shared" si="13"/>
        <v>0</v>
      </c>
    </row>
    <row r="54" spans="1:32" ht="12.5">
      <c r="A54" s="28">
        <v>38</v>
      </c>
      <c r="B54" s="104" t="s">
        <v>56</v>
      </c>
      <c r="C54" s="95" t="str">
        <f t="shared" si="10"/>
        <v>BL-RP-STIM</v>
      </c>
      <c r="D54" s="105" t="s">
        <v>8</v>
      </c>
      <c r="E54" s="95" t="str">
        <f t="shared" si="4"/>
        <v>Fixed Cost</v>
      </c>
      <c r="F54" s="97">
        <f t="shared" si="5"/>
        <v>1</v>
      </c>
      <c r="G54" s="98"/>
      <c r="J54" s="83">
        <f t="shared" si="1"/>
        <v>0</v>
      </c>
      <c r="K54" s="99">
        <v>38</v>
      </c>
      <c r="L54" s="100">
        <f t="shared" si="11"/>
        <v>1</v>
      </c>
      <c r="M54" s="90">
        <f t="shared" si="11"/>
        <v>0</v>
      </c>
      <c r="N54" s="90">
        <f t="shared" si="11"/>
        <v>0</v>
      </c>
      <c r="O54" s="90">
        <f t="shared" si="11"/>
        <v>0</v>
      </c>
      <c r="P54" s="90">
        <f t="shared" si="11"/>
        <v>0</v>
      </c>
      <c r="Q54" s="90">
        <f t="shared" si="11"/>
        <v>0</v>
      </c>
      <c r="R54" s="90">
        <f t="shared" si="11"/>
        <v>0</v>
      </c>
      <c r="S54" s="90">
        <f t="shared" si="11"/>
        <v>0</v>
      </c>
      <c r="T54" s="90">
        <f t="shared" si="11"/>
        <v>0</v>
      </c>
      <c r="U54" s="101">
        <f t="shared" si="11"/>
        <v>0</v>
      </c>
      <c r="V54" s="71"/>
      <c r="W54" s="102">
        <f t="shared" si="12"/>
        <v>0</v>
      </c>
      <c r="X54" s="102">
        <f t="shared" si="12"/>
        <v>0</v>
      </c>
      <c r="Y54" s="90">
        <f t="shared" si="12"/>
        <v>0</v>
      </c>
      <c r="Z54" s="102">
        <f t="shared" si="12"/>
        <v>0</v>
      </c>
      <c r="AA54" s="101">
        <f t="shared" si="12"/>
        <v>0</v>
      </c>
      <c r="AB54" s="71"/>
      <c r="AC54" s="91">
        <v>1</v>
      </c>
      <c r="AD54" s="91">
        <v>1</v>
      </c>
      <c r="AE54" s="92">
        <f t="shared" si="6"/>
        <v>0</v>
      </c>
      <c r="AF54" s="93">
        <f t="shared" si="13"/>
        <v>0</v>
      </c>
    </row>
    <row r="55" spans="1:32" ht="12.5">
      <c r="A55" s="28">
        <v>39</v>
      </c>
      <c r="B55" s="104" t="s">
        <v>58</v>
      </c>
      <c r="C55" s="95" t="str">
        <f t="shared" si="10"/>
        <v>BL-RP-STIM</v>
      </c>
      <c r="D55" s="105" t="s">
        <v>8</v>
      </c>
      <c r="E55" s="95" t="str">
        <f t="shared" si="4"/>
        <v>Fixed Cost</v>
      </c>
      <c r="F55" s="97">
        <f t="shared" si="5"/>
        <v>1</v>
      </c>
      <c r="G55" s="98"/>
      <c r="J55" s="83">
        <f t="shared" si="1"/>
        <v>0</v>
      </c>
      <c r="K55" s="99">
        <v>39</v>
      </c>
      <c r="L55" s="100">
        <f t="shared" si="11"/>
        <v>1</v>
      </c>
      <c r="M55" s="90">
        <f t="shared" si="11"/>
        <v>0</v>
      </c>
      <c r="N55" s="90">
        <f t="shared" si="11"/>
        <v>0</v>
      </c>
      <c r="O55" s="90">
        <f t="shared" si="11"/>
        <v>0</v>
      </c>
      <c r="P55" s="90">
        <f t="shared" si="11"/>
        <v>0</v>
      </c>
      <c r="Q55" s="90">
        <f t="shared" si="11"/>
        <v>0</v>
      </c>
      <c r="R55" s="90">
        <f t="shared" si="11"/>
        <v>0</v>
      </c>
      <c r="S55" s="90">
        <f t="shared" si="11"/>
        <v>0</v>
      </c>
      <c r="T55" s="90">
        <f t="shared" si="11"/>
        <v>0</v>
      </c>
      <c r="U55" s="101">
        <f t="shared" si="11"/>
        <v>0</v>
      </c>
      <c r="V55" s="71"/>
      <c r="W55" s="102">
        <f t="shared" si="12"/>
        <v>0</v>
      </c>
      <c r="X55" s="102">
        <f t="shared" si="12"/>
        <v>0</v>
      </c>
      <c r="Y55" s="90">
        <f t="shared" si="12"/>
        <v>0</v>
      </c>
      <c r="Z55" s="102">
        <f t="shared" si="12"/>
        <v>0</v>
      </c>
      <c r="AA55" s="101">
        <f t="shared" si="12"/>
        <v>0</v>
      </c>
      <c r="AB55" s="71"/>
      <c r="AC55" s="91">
        <v>1</v>
      </c>
      <c r="AD55" s="91">
        <v>1</v>
      </c>
      <c r="AE55" s="92">
        <f t="shared" si="6"/>
        <v>0</v>
      </c>
      <c r="AF55" s="93">
        <f t="shared" si="13"/>
        <v>0</v>
      </c>
    </row>
    <row r="56" spans="1:32" ht="12.5">
      <c r="A56" s="28">
        <v>40</v>
      </c>
      <c r="B56" s="104" t="s">
        <v>59</v>
      </c>
      <c r="C56" s="95" t="str">
        <f t="shared" si="10"/>
        <v>BL-RP-STIM</v>
      </c>
      <c r="D56" s="105" t="s">
        <v>8</v>
      </c>
      <c r="E56" s="95" t="str">
        <f t="shared" si="4"/>
        <v>Fixed Cost</v>
      </c>
      <c r="F56" s="97">
        <f t="shared" si="5"/>
        <v>1</v>
      </c>
      <c r="G56" s="98"/>
      <c r="J56" s="83">
        <f t="shared" si="1"/>
        <v>0</v>
      </c>
      <c r="K56" s="99">
        <v>40</v>
      </c>
      <c r="L56" s="100">
        <f t="shared" si="11"/>
        <v>1</v>
      </c>
      <c r="M56" s="90" t="str">
        <f t="shared" si="11"/>
        <v>NUV.1&gt;Well Site Services (refer to note 1 below)</v>
      </c>
      <c r="N56" s="90">
        <f t="shared" si="11"/>
        <v>0</v>
      </c>
      <c r="O56" s="90">
        <f t="shared" si="11"/>
        <v>0</v>
      </c>
      <c r="P56" s="90">
        <f t="shared" si="11"/>
        <v>0</v>
      </c>
      <c r="Q56" s="90">
        <f t="shared" si="11"/>
        <v>0</v>
      </c>
      <c r="R56" s="90">
        <f t="shared" si="11"/>
        <v>0</v>
      </c>
      <c r="S56" s="90">
        <f t="shared" si="11"/>
        <v>0</v>
      </c>
      <c r="T56" s="90">
        <f t="shared" si="11"/>
        <v>0</v>
      </c>
      <c r="U56" s="101">
        <f t="shared" si="11"/>
        <v>27.714613439555443</v>
      </c>
      <c r="V56" s="71"/>
      <c r="W56" s="102">
        <f t="shared" si="12"/>
        <v>0</v>
      </c>
      <c r="X56" s="102">
        <f t="shared" si="12"/>
        <v>0</v>
      </c>
      <c r="Y56" s="90">
        <f t="shared" si="12"/>
        <v>0</v>
      </c>
      <c r="Z56" s="102">
        <f t="shared" si="12"/>
        <v>0</v>
      </c>
      <c r="AA56" s="101" t="str">
        <f t="shared" si="12"/>
        <v>EA</v>
      </c>
      <c r="AB56" s="71"/>
      <c r="AC56" s="91">
        <v>1</v>
      </c>
      <c r="AD56" s="91">
        <v>1</v>
      </c>
      <c r="AE56" s="92" t="str">
        <f t="shared" si="6"/>
        <v>NUV.1&gt;Well Site Services (refer to note 1 below)</v>
      </c>
      <c r="AF56" s="93">
        <f t="shared" si="13"/>
        <v>0</v>
      </c>
    </row>
    <row r="57" spans="1:32" ht="12.5">
      <c r="A57" s="28">
        <v>41</v>
      </c>
      <c r="B57" s="104" t="s">
        <v>60</v>
      </c>
      <c r="C57" s="95" t="str">
        <f t="shared" si="10"/>
        <v>BL-WPS-CPL</v>
      </c>
      <c r="D57" s="105" t="s">
        <v>8</v>
      </c>
      <c r="E57" s="95" t="str">
        <f t="shared" si="4"/>
        <v>Fixed Cost</v>
      </c>
      <c r="F57" s="97">
        <f t="shared" si="5"/>
        <v>1</v>
      </c>
      <c r="G57" s="98"/>
      <c r="J57" s="83">
        <f t="shared" si="1"/>
        <v>0</v>
      </c>
      <c r="K57" s="99">
        <v>41</v>
      </c>
      <c r="L57" s="100">
        <f t="shared" si="11"/>
        <v>1</v>
      </c>
      <c r="M57" s="90" t="str">
        <f t="shared" si="11"/>
        <v xml:space="preserve">NUV.2&gt;32” drilling phase with preinstalled Conductor Pipe (without fuel) </v>
      </c>
      <c r="N57" s="90">
        <f t="shared" si="11"/>
        <v>0</v>
      </c>
      <c r="O57" s="90">
        <f t="shared" si="11"/>
        <v>0</v>
      </c>
      <c r="P57" s="90">
        <f t="shared" si="11"/>
        <v>0</v>
      </c>
      <c r="Q57" s="90">
        <f t="shared" si="11"/>
        <v>0</v>
      </c>
      <c r="R57" s="90">
        <f t="shared" si="11"/>
        <v>0</v>
      </c>
      <c r="S57" s="90">
        <f t="shared" si="11"/>
        <v>0</v>
      </c>
      <c r="T57" s="90">
        <f t="shared" si="11"/>
        <v>0</v>
      </c>
      <c r="U57" s="101">
        <f t="shared" si="11"/>
        <v>0</v>
      </c>
      <c r="V57" s="71"/>
      <c r="W57" s="102">
        <f t="shared" si="12"/>
        <v>0</v>
      </c>
      <c r="X57" s="102">
        <f t="shared" si="12"/>
        <v>0</v>
      </c>
      <c r="Y57" s="90">
        <f t="shared" si="12"/>
        <v>0</v>
      </c>
      <c r="Z57" s="102">
        <f t="shared" si="12"/>
        <v>0</v>
      </c>
      <c r="AA57" s="101" t="str">
        <f t="shared" si="12"/>
        <v>EA</v>
      </c>
      <c r="AB57" s="71"/>
      <c r="AC57" s="91">
        <v>1</v>
      </c>
      <c r="AD57" s="91">
        <v>1</v>
      </c>
      <c r="AE57" s="92" t="str">
        <f t="shared" si="6"/>
        <v xml:space="preserve">NUV.2&gt;32” drilling phase with preinstalled Conductor Pipe (without fuel) </v>
      </c>
      <c r="AF57" s="93">
        <f t="shared" si="13"/>
        <v>0</v>
      </c>
    </row>
    <row r="58" spans="1:32" ht="12.5">
      <c r="A58" s="28">
        <v>42</v>
      </c>
      <c r="B58" s="104" t="s">
        <v>62</v>
      </c>
      <c r="C58" s="95" t="str">
        <f t="shared" si="10"/>
        <v>BL-WPS-CPL</v>
      </c>
      <c r="D58" s="105" t="s">
        <v>8</v>
      </c>
      <c r="E58" s="95" t="str">
        <f t="shared" si="4"/>
        <v>Fixed Cost</v>
      </c>
      <c r="F58" s="97">
        <f t="shared" si="5"/>
        <v>1</v>
      </c>
      <c r="G58" s="98"/>
      <c r="J58" s="83">
        <f t="shared" si="1"/>
        <v>0</v>
      </c>
      <c r="K58" s="99">
        <v>42</v>
      </c>
      <c r="L58" s="100">
        <f t="shared" si="11"/>
        <v>1</v>
      </c>
      <c r="M58" s="90" t="str">
        <f t="shared" si="11"/>
        <v>NUV.3&gt;23” drilling phase (without fuel)</v>
      </c>
      <c r="N58" s="90">
        <f t="shared" si="11"/>
        <v>0</v>
      </c>
      <c r="O58" s="90">
        <f t="shared" si="11"/>
        <v>0</v>
      </c>
      <c r="P58" s="90">
        <f t="shared" si="11"/>
        <v>0</v>
      </c>
      <c r="Q58" s="90">
        <f t="shared" si="11"/>
        <v>0</v>
      </c>
      <c r="R58" s="90">
        <f t="shared" si="11"/>
        <v>0</v>
      </c>
      <c r="S58" s="90">
        <f t="shared" si="11"/>
        <v>0</v>
      </c>
      <c r="T58" s="90">
        <f t="shared" si="11"/>
        <v>0</v>
      </c>
      <c r="U58" s="101">
        <f t="shared" si="11"/>
        <v>6.2483566890144072E-3</v>
      </c>
      <c r="V58" s="71"/>
      <c r="W58" s="102">
        <f t="shared" si="12"/>
        <v>0</v>
      </c>
      <c r="X58" s="102">
        <f t="shared" si="12"/>
        <v>0</v>
      </c>
      <c r="Y58" s="90">
        <f t="shared" si="12"/>
        <v>0</v>
      </c>
      <c r="Z58" s="102">
        <f t="shared" si="12"/>
        <v>0</v>
      </c>
      <c r="AA58" s="101" t="str">
        <f t="shared" si="12"/>
        <v>EA</v>
      </c>
      <c r="AB58" s="71"/>
      <c r="AC58" s="91">
        <v>1</v>
      </c>
      <c r="AD58" s="91">
        <v>1</v>
      </c>
      <c r="AE58" s="92" t="str">
        <f t="shared" si="6"/>
        <v>NUV.3&gt;23” drilling phase (without fuel)</v>
      </c>
      <c r="AF58" s="93">
        <f t="shared" si="13"/>
        <v>0</v>
      </c>
    </row>
    <row r="59" spans="1:32" ht="12.5">
      <c r="A59" s="28">
        <v>43</v>
      </c>
      <c r="B59" s="104" t="s">
        <v>63</v>
      </c>
      <c r="C59" s="95" t="str">
        <f t="shared" si="10"/>
        <v>BL-WPS-CPL</v>
      </c>
      <c r="D59" s="105" t="s">
        <v>8</v>
      </c>
      <c r="E59" s="95" t="str">
        <f t="shared" si="4"/>
        <v>Fixed Cost</v>
      </c>
      <c r="F59" s="97">
        <f t="shared" si="5"/>
        <v>1</v>
      </c>
      <c r="G59" s="98"/>
      <c r="J59" s="83">
        <f t="shared" si="1"/>
        <v>0</v>
      </c>
      <c r="K59" s="99">
        <v>43</v>
      </c>
      <c r="L59" s="100">
        <f t="shared" si="11"/>
        <v>1</v>
      </c>
      <c r="M59" s="90" t="str">
        <f t="shared" si="11"/>
        <v>NUV.4&gt;17 ½" drilling phase (without fuel)</v>
      </c>
      <c r="N59" s="90">
        <f t="shared" si="11"/>
        <v>0</v>
      </c>
      <c r="O59" s="90">
        <f t="shared" si="11"/>
        <v>0</v>
      </c>
      <c r="P59" s="90">
        <f t="shared" si="11"/>
        <v>0</v>
      </c>
      <c r="Q59" s="90">
        <f t="shared" si="11"/>
        <v>0</v>
      </c>
      <c r="R59" s="90">
        <f t="shared" si="11"/>
        <v>0</v>
      </c>
      <c r="S59" s="90">
        <f t="shared" si="11"/>
        <v>0</v>
      </c>
      <c r="T59" s="90">
        <f t="shared" si="11"/>
        <v>0</v>
      </c>
      <c r="U59" s="101">
        <f t="shared" si="11"/>
        <v>9.632727029297513E-3</v>
      </c>
      <c r="V59" s="71"/>
      <c r="W59" s="102">
        <f t="shared" si="12"/>
        <v>0</v>
      </c>
      <c r="X59" s="102">
        <f t="shared" si="12"/>
        <v>0</v>
      </c>
      <c r="Y59" s="90">
        <f t="shared" si="12"/>
        <v>0</v>
      </c>
      <c r="Z59" s="102">
        <f t="shared" si="12"/>
        <v>0</v>
      </c>
      <c r="AA59" s="101" t="str">
        <f t="shared" si="12"/>
        <v>EA</v>
      </c>
      <c r="AB59" s="71"/>
      <c r="AC59" s="91">
        <v>1</v>
      </c>
      <c r="AD59" s="91">
        <v>1</v>
      </c>
      <c r="AE59" s="92" t="str">
        <f t="shared" si="6"/>
        <v>NUV.4&gt;17 ½" drilling phase (without fuel)</v>
      </c>
      <c r="AF59" s="93">
        <f t="shared" si="13"/>
        <v>0</v>
      </c>
    </row>
    <row r="60" spans="1:32" ht="12.5">
      <c r="A60" s="28">
        <v>44</v>
      </c>
      <c r="B60" s="104" t="s">
        <v>64</v>
      </c>
      <c r="C60" s="95" t="str">
        <f t="shared" si="10"/>
        <v>BL-WPS-CPL</v>
      </c>
      <c r="D60" s="105" t="s">
        <v>8</v>
      </c>
      <c r="E60" s="95" t="str">
        <f t="shared" si="4"/>
        <v>Fixed Cost</v>
      </c>
      <c r="F60" s="97">
        <f t="shared" si="5"/>
        <v>1</v>
      </c>
      <c r="G60" s="98"/>
      <c r="J60" s="83">
        <f t="shared" si="1"/>
        <v>0</v>
      </c>
      <c r="K60" s="99">
        <v>44</v>
      </c>
      <c r="L60" s="100">
        <f t="shared" si="11"/>
        <v>1</v>
      </c>
      <c r="M60" s="90" t="str">
        <f t="shared" si="11"/>
        <v>NUV.5&gt;12 ¼” drilling phase (without fuel)</v>
      </c>
      <c r="N60" s="90">
        <f t="shared" si="11"/>
        <v>0</v>
      </c>
      <c r="O60" s="90">
        <f t="shared" si="11"/>
        <v>0</v>
      </c>
      <c r="P60" s="90">
        <f t="shared" si="11"/>
        <v>0</v>
      </c>
      <c r="Q60" s="90">
        <f t="shared" si="11"/>
        <v>0</v>
      </c>
      <c r="R60" s="90">
        <f t="shared" si="11"/>
        <v>0</v>
      </c>
      <c r="S60" s="90">
        <f t="shared" si="11"/>
        <v>0</v>
      </c>
      <c r="T60" s="90">
        <f t="shared" si="11"/>
        <v>0</v>
      </c>
      <c r="U60" s="101">
        <f t="shared" si="11"/>
        <v>9.1676292833337732E-3</v>
      </c>
      <c r="V60" s="71"/>
      <c r="W60" s="102">
        <f t="shared" si="12"/>
        <v>0</v>
      </c>
      <c r="X60" s="102">
        <f t="shared" si="12"/>
        <v>0</v>
      </c>
      <c r="Y60" s="90">
        <f t="shared" si="12"/>
        <v>0</v>
      </c>
      <c r="Z60" s="102">
        <f t="shared" si="12"/>
        <v>0</v>
      </c>
      <c r="AA60" s="101" t="str">
        <f t="shared" si="12"/>
        <v>EA</v>
      </c>
      <c r="AB60" s="71"/>
      <c r="AC60" s="91">
        <v>1</v>
      </c>
      <c r="AD60" s="91">
        <v>1</v>
      </c>
      <c r="AE60" s="92" t="str">
        <f t="shared" si="6"/>
        <v>NUV.5&gt;12 ¼” drilling phase (without fuel)</v>
      </c>
      <c r="AF60" s="93">
        <f t="shared" si="13"/>
        <v>0</v>
      </c>
    </row>
    <row r="61" spans="1:32" ht="12.5">
      <c r="A61" s="28">
        <v>45</v>
      </c>
      <c r="B61" s="104" t="s">
        <v>65</v>
      </c>
      <c r="C61" s="95" t="str">
        <f t="shared" si="10"/>
        <v>BL-WPS-CPL</v>
      </c>
      <c r="D61" s="105" t="s">
        <v>8</v>
      </c>
      <c r="E61" s="95" t="str">
        <f t="shared" si="4"/>
        <v>Fixed Cost</v>
      </c>
      <c r="F61" s="97">
        <f t="shared" si="5"/>
        <v>1</v>
      </c>
      <c r="G61" s="98"/>
      <c r="J61" s="83">
        <f t="shared" si="1"/>
        <v>0</v>
      </c>
      <c r="K61" s="99">
        <v>45</v>
      </c>
      <c r="L61" s="100">
        <f t="shared" si="11"/>
        <v>1</v>
      </c>
      <c r="M61" s="90" t="str">
        <f t="shared" si="11"/>
        <v>NUV.6&gt;8 ½" drilling phase (without fuel)</v>
      </c>
      <c r="N61" s="90">
        <f t="shared" si="11"/>
        <v>0</v>
      </c>
      <c r="O61" s="90">
        <f t="shared" si="11"/>
        <v>0</v>
      </c>
      <c r="P61" s="90">
        <f t="shared" si="11"/>
        <v>0</v>
      </c>
      <c r="Q61" s="90">
        <f t="shared" si="11"/>
        <v>0</v>
      </c>
      <c r="R61" s="90">
        <f t="shared" si="11"/>
        <v>0</v>
      </c>
      <c r="S61" s="90">
        <f t="shared" si="11"/>
        <v>0</v>
      </c>
      <c r="T61" s="90">
        <f t="shared" si="11"/>
        <v>0</v>
      </c>
      <c r="U61" s="101">
        <f t="shared" si="11"/>
        <v>0</v>
      </c>
      <c r="V61" s="71"/>
      <c r="W61" s="102">
        <f t="shared" si="12"/>
        <v>0</v>
      </c>
      <c r="X61" s="102">
        <f t="shared" si="12"/>
        <v>0</v>
      </c>
      <c r="Y61" s="90">
        <f t="shared" si="12"/>
        <v>0</v>
      </c>
      <c r="Z61" s="102">
        <f t="shared" si="12"/>
        <v>0</v>
      </c>
      <c r="AA61" s="101" t="str">
        <f t="shared" si="12"/>
        <v>EA</v>
      </c>
      <c r="AB61" s="71"/>
      <c r="AC61" s="91">
        <v>1</v>
      </c>
      <c r="AD61" s="91">
        <v>1</v>
      </c>
      <c r="AE61" s="92" t="str">
        <f t="shared" si="6"/>
        <v>NUV.6&gt;8 ½" drilling phase (without fuel)</v>
      </c>
      <c r="AF61" s="93">
        <f t="shared" si="13"/>
        <v>0</v>
      </c>
    </row>
    <row r="62" spans="1:32" ht="12.5">
      <c r="A62" s="28">
        <v>46</v>
      </c>
      <c r="B62" s="104" t="s">
        <v>66</v>
      </c>
      <c r="C62" s="95" t="str">
        <f t="shared" si="10"/>
        <v>BL-WPS-CPL</v>
      </c>
      <c r="D62" s="105" t="s">
        <v>8</v>
      </c>
      <c r="E62" s="95" t="str">
        <f t="shared" si="4"/>
        <v>Fixed Cost</v>
      </c>
      <c r="F62" s="97">
        <f t="shared" si="5"/>
        <v>1</v>
      </c>
      <c r="G62" s="98"/>
      <c r="J62" s="83">
        <f t="shared" si="1"/>
        <v>0</v>
      </c>
      <c r="K62" s="99">
        <v>46</v>
      </c>
      <c r="L62" s="100">
        <f t="shared" si="11"/>
        <v>1</v>
      </c>
      <c r="M62" s="90" t="str">
        <f t="shared" si="11"/>
        <v>NUV.7&gt;Running of kill string (without fuel)</v>
      </c>
      <c r="N62" s="90">
        <f t="shared" si="11"/>
        <v>0</v>
      </c>
      <c r="O62" s="90">
        <f t="shared" si="11"/>
        <v>0</v>
      </c>
      <c r="P62" s="90">
        <f t="shared" si="11"/>
        <v>0</v>
      </c>
      <c r="Q62" s="90">
        <f t="shared" si="11"/>
        <v>0</v>
      </c>
      <c r="R62" s="90">
        <f t="shared" si="11"/>
        <v>0</v>
      </c>
      <c r="S62" s="90">
        <f t="shared" si="11"/>
        <v>0</v>
      </c>
      <c r="T62" s="90">
        <f t="shared" si="11"/>
        <v>0</v>
      </c>
      <c r="U62" s="101">
        <f t="shared" si="11"/>
        <v>0.43</v>
      </c>
      <c r="V62" s="71"/>
      <c r="W62" s="102">
        <f t="shared" si="12"/>
        <v>0</v>
      </c>
      <c r="X62" s="102">
        <f t="shared" si="12"/>
        <v>0</v>
      </c>
      <c r="Y62" s="90">
        <f t="shared" si="12"/>
        <v>0</v>
      </c>
      <c r="Z62" s="102">
        <f t="shared" si="12"/>
        <v>0</v>
      </c>
      <c r="AA62" s="101" t="str">
        <f t="shared" si="12"/>
        <v>EA</v>
      </c>
      <c r="AB62" s="71"/>
      <c r="AC62" s="91">
        <v>1</v>
      </c>
      <c r="AD62" s="91">
        <v>1</v>
      </c>
      <c r="AE62" s="92" t="str">
        <f t="shared" si="6"/>
        <v>NUV.7&gt;Running of kill string (without fuel)</v>
      </c>
      <c r="AF62" s="93">
        <f t="shared" si="13"/>
        <v>0</v>
      </c>
    </row>
    <row r="63" spans="1:32" ht="12.5">
      <c r="A63" s="28">
        <v>47</v>
      </c>
      <c r="B63" s="104" t="s">
        <v>67</v>
      </c>
      <c r="C63" s="95" t="str">
        <f t="shared" si="10"/>
        <v>BL-WPS-CPL</v>
      </c>
      <c r="D63" s="105" t="s">
        <v>8</v>
      </c>
      <c r="E63" s="95" t="str">
        <f t="shared" si="4"/>
        <v>Fixed Cost</v>
      </c>
      <c r="F63" s="97">
        <f t="shared" si="5"/>
        <v>1</v>
      </c>
      <c r="G63" s="98"/>
      <c r="J63" s="83">
        <f t="shared" si="1"/>
        <v>0</v>
      </c>
      <c r="K63" s="99">
        <v>47</v>
      </c>
      <c r="L63" s="100">
        <f t="shared" si="11"/>
        <v>1</v>
      </c>
      <c r="M63" s="90" t="str">
        <f t="shared" si="11"/>
        <v>NUV.8&gt;Running of completion string (without fuel)</v>
      </c>
      <c r="N63" s="90">
        <f t="shared" si="11"/>
        <v>0</v>
      </c>
      <c r="O63" s="90">
        <f t="shared" si="11"/>
        <v>0</v>
      </c>
      <c r="P63" s="90">
        <f t="shared" si="11"/>
        <v>0</v>
      </c>
      <c r="Q63" s="90">
        <f t="shared" si="11"/>
        <v>0</v>
      </c>
      <c r="R63" s="90">
        <f t="shared" si="11"/>
        <v>0</v>
      </c>
      <c r="S63" s="90">
        <f t="shared" si="11"/>
        <v>0</v>
      </c>
      <c r="T63" s="90">
        <f t="shared" si="11"/>
        <v>0</v>
      </c>
      <c r="U63" s="101">
        <f t="shared" si="11"/>
        <v>3.3040000000000003</v>
      </c>
      <c r="V63" s="71"/>
      <c r="W63" s="102">
        <f t="shared" si="12"/>
        <v>0</v>
      </c>
      <c r="X63" s="102">
        <f t="shared" si="12"/>
        <v>0</v>
      </c>
      <c r="Y63" s="90">
        <f t="shared" si="12"/>
        <v>0</v>
      </c>
      <c r="Z63" s="102">
        <f t="shared" si="12"/>
        <v>0</v>
      </c>
      <c r="AA63" s="101" t="str">
        <f t="shared" si="12"/>
        <v>EA</v>
      </c>
      <c r="AB63" s="71"/>
      <c r="AC63" s="91">
        <v>1</v>
      </c>
      <c r="AD63" s="91">
        <v>1</v>
      </c>
      <c r="AE63" s="92" t="str">
        <f t="shared" si="6"/>
        <v>NUV.8&gt;Running of completion string (without fuel)</v>
      </c>
      <c r="AF63" s="93">
        <f t="shared" ref="AF63:AF126" si="14">INDEX(Y63:Z63,1,MATCH(_WellBasketSelection,$Y$15:$Z$15,0))*U63</f>
        <v>0</v>
      </c>
    </row>
    <row r="64" spans="1:32" ht="12.5">
      <c r="A64" s="28">
        <v>48</v>
      </c>
      <c r="B64" s="104" t="s">
        <v>68</v>
      </c>
      <c r="C64" s="95" t="str">
        <f t="shared" si="10"/>
        <v>BL-WPS-CPL</v>
      </c>
      <c r="D64" s="105" t="s">
        <v>8</v>
      </c>
      <c r="E64" s="95" t="str">
        <f t="shared" si="4"/>
        <v>Fixed Cost</v>
      </c>
      <c r="F64" s="97">
        <f t="shared" si="5"/>
        <v>1</v>
      </c>
      <c r="G64" s="98"/>
      <c r="J64" s="83">
        <f t="shared" si="1"/>
        <v>0</v>
      </c>
      <c r="K64" s="99">
        <v>48</v>
      </c>
      <c r="L64" s="100">
        <f t="shared" si="11"/>
        <v>1</v>
      </c>
      <c r="M64" s="90" t="str">
        <f t="shared" si="11"/>
        <v>NUV.9&gt;Wellhead and X-mas Tree installation service</v>
      </c>
      <c r="N64" s="90">
        <f t="shared" si="11"/>
        <v>0</v>
      </c>
      <c r="O64" s="90">
        <f t="shared" si="11"/>
        <v>0</v>
      </c>
      <c r="P64" s="90">
        <f t="shared" si="11"/>
        <v>0</v>
      </c>
      <c r="Q64" s="90">
        <f t="shared" si="11"/>
        <v>0</v>
      </c>
      <c r="R64" s="90">
        <f t="shared" si="11"/>
        <v>0</v>
      </c>
      <c r="S64" s="90">
        <f t="shared" si="11"/>
        <v>0</v>
      </c>
      <c r="T64" s="90">
        <f t="shared" si="11"/>
        <v>0</v>
      </c>
      <c r="U64" s="101">
        <f t="shared" si="11"/>
        <v>0</v>
      </c>
      <c r="V64" s="71"/>
      <c r="W64" s="102">
        <f t="shared" si="12"/>
        <v>0</v>
      </c>
      <c r="X64" s="102">
        <f t="shared" si="12"/>
        <v>0</v>
      </c>
      <c r="Y64" s="90">
        <f t="shared" si="12"/>
        <v>0</v>
      </c>
      <c r="Z64" s="102">
        <f t="shared" si="12"/>
        <v>0</v>
      </c>
      <c r="AA64" s="101" t="str">
        <f t="shared" si="12"/>
        <v>EA</v>
      </c>
      <c r="AB64" s="71"/>
      <c r="AC64" s="91">
        <v>1</v>
      </c>
      <c r="AD64" s="91">
        <v>1</v>
      </c>
      <c r="AE64" s="92" t="str">
        <f t="shared" si="6"/>
        <v>NUV.9&gt;Wellhead and X-mas Tree installation service</v>
      </c>
      <c r="AF64" s="93">
        <f t="shared" si="14"/>
        <v>0</v>
      </c>
    </row>
    <row r="65" spans="1:32" ht="12.5">
      <c r="A65" s="28">
        <v>49</v>
      </c>
      <c r="B65" s="104" t="s">
        <v>69</v>
      </c>
      <c r="C65" s="95" t="str">
        <f t="shared" si="10"/>
        <v>BL-RPE-WL</v>
      </c>
      <c r="D65" s="105" t="s">
        <v>8</v>
      </c>
      <c r="E65" s="95" t="str">
        <f t="shared" si="4"/>
        <v>Fixed Cost</v>
      </c>
      <c r="F65" s="97">
        <f t="shared" si="5"/>
        <v>1</v>
      </c>
      <c r="G65" s="98"/>
      <c r="J65" s="83">
        <f t="shared" si="1"/>
        <v>0</v>
      </c>
      <c r="K65" s="99">
        <v>49</v>
      </c>
      <c r="L65" s="100">
        <f t="shared" ref="L65:U80" si="15">INDEX(L$420:L$1632,MATCH($K65,$K$420:$K$1632,0)+MATCH("Option "&amp;$D$9,$K$420:$K$1230,0)-1,1)</f>
        <v>1</v>
      </c>
      <c r="M65" s="90" t="str">
        <f t="shared" si="15"/>
        <v>ZV.1&gt;Well Site Services (refer to note 1 below)</v>
      </c>
      <c r="N65" s="90">
        <f t="shared" si="15"/>
        <v>0</v>
      </c>
      <c r="O65" s="90">
        <f t="shared" si="15"/>
        <v>0</v>
      </c>
      <c r="P65" s="90">
        <f t="shared" si="15"/>
        <v>0</v>
      </c>
      <c r="Q65" s="90">
        <f t="shared" si="15"/>
        <v>0</v>
      </c>
      <c r="R65" s="90">
        <f t="shared" si="15"/>
        <v>0</v>
      </c>
      <c r="S65" s="90">
        <f t="shared" si="15"/>
        <v>0</v>
      </c>
      <c r="T65" s="90">
        <f t="shared" si="15"/>
        <v>0</v>
      </c>
      <c r="U65" s="101">
        <f t="shared" si="15"/>
        <v>37.301732017384431</v>
      </c>
      <c r="V65" s="71"/>
      <c r="W65" s="102">
        <f t="shared" ref="W65:AA80" si="16">INDEX(W$420:W$1632,MATCH($K65,$K$420:$K$1632,0)+MATCH("Option "&amp;$D$9,$K$420:$K$1230,0)-1,1)</f>
        <v>0</v>
      </c>
      <c r="X65" s="102">
        <f t="shared" si="16"/>
        <v>0</v>
      </c>
      <c r="Y65" s="90">
        <f t="shared" si="16"/>
        <v>15</v>
      </c>
      <c r="Z65" s="102">
        <f t="shared" si="16"/>
        <v>15</v>
      </c>
      <c r="AA65" s="101" t="str">
        <f t="shared" si="16"/>
        <v>EA</v>
      </c>
      <c r="AB65" s="71"/>
      <c r="AC65" s="91">
        <v>1</v>
      </c>
      <c r="AD65" s="91">
        <v>1</v>
      </c>
      <c r="AE65" s="92" t="str">
        <f t="shared" si="6"/>
        <v>ZV.1&gt;Well Site Services (refer to note 1 below)</v>
      </c>
      <c r="AF65" s="93">
        <f t="shared" si="14"/>
        <v>559.52598026076646</v>
      </c>
    </row>
    <row r="66" spans="1:32" ht="12.5">
      <c r="A66" s="28">
        <v>50</v>
      </c>
      <c r="B66" s="104" t="s">
        <v>71</v>
      </c>
      <c r="C66" s="95" t="str">
        <f t="shared" si="10"/>
        <v>BL-RPE-WL</v>
      </c>
      <c r="D66" s="105" t="s">
        <v>8</v>
      </c>
      <c r="E66" s="95" t="str">
        <f t="shared" si="4"/>
        <v>Fixed Cost</v>
      </c>
      <c r="F66" s="97">
        <f t="shared" si="5"/>
        <v>1</v>
      </c>
      <c r="G66" s="98"/>
      <c r="J66" s="83">
        <f t="shared" si="1"/>
        <v>0</v>
      </c>
      <c r="K66" s="99">
        <v>50</v>
      </c>
      <c r="L66" s="100">
        <f t="shared" si="15"/>
        <v>1</v>
      </c>
      <c r="M66" s="90" t="str">
        <f t="shared" si="15"/>
        <v xml:space="preserve">ZV.2&gt;32” drilling phase with preinstalled Conductor Pipe (without fuel) </v>
      </c>
      <c r="N66" s="90">
        <f t="shared" si="15"/>
        <v>0</v>
      </c>
      <c r="O66" s="90">
        <f t="shared" si="15"/>
        <v>0</v>
      </c>
      <c r="P66" s="90">
        <f t="shared" si="15"/>
        <v>0</v>
      </c>
      <c r="Q66" s="90">
        <f t="shared" si="15"/>
        <v>0</v>
      </c>
      <c r="R66" s="90">
        <f t="shared" si="15"/>
        <v>0</v>
      </c>
      <c r="S66" s="90">
        <f t="shared" si="15"/>
        <v>0</v>
      </c>
      <c r="T66" s="90">
        <f t="shared" si="15"/>
        <v>0</v>
      </c>
      <c r="U66" s="101">
        <f t="shared" si="15"/>
        <v>0</v>
      </c>
      <c r="V66" s="71"/>
      <c r="W66" s="102">
        <f t="shared" si="16"/>
        <v>0</v>
      </c>
      <c r="X66" s="102">
        <f t="shared" si="16"/>
        <v>0</v>
      </c>
      <c r="Y66" s="90">
        <f t="shared" si="16"/>
        <v>825</v>
      </c>
      <c r="Z66" s="102">
        <f t="shared" si="16"/>
        <v>825</v>
      </c>
      <c r="AA66" s="101" t="str">
        <f t="shared" si="16"/>
        <v>EA</v>
      </c>
      <c r="AB66" s="71"/>
      <c r="AC66" s="91">
        <v>1</v>
      </c>
      <c r="AD66" s="91">
        <v>1</v>
      </c>
      <c r="AE66" s="92" t="str">
        <f t="shared" si="6"/>
        <v xml:space="preserve">ZV.2&gt;32” drilling phase with preinstalled Conductor Pipe (without fuel) </v>
      </c>
      <c r="AF66" s="93">
        <f t="shared" si="14"/>
        <v>0</v>
      </c>
    </row>
    <row r="67" spans="1:32" ht="12.5">
      <c r="A67" s="28">
        <v>51</v>
      </c>
      <c r="B67" s="104" t="s">
        <v>72</v>
      </c>
      <c r="C67" s="95" t="str">
        <f t="shared" si="10"/>
        <v>BL-RPE-WL</v>
      </c>
      <c r="D67" s="105" t="s">
        <v>8</v>
      </c>
      <c r="E67" s="95" t="str">
        <f t="shared" si="4"/>
        <v>Fixed Cost</v>
      </c>
      <c r="F67" s="97">
        <f t="shared" si="5"/>
        <v>1</v>
      </c>
      <c r="G67" s="98"/>
      <c r="J67" s="83">
        <f t="shared" si="1"/>
        <v>0</v>
      </c>
      <c r="K67" s="99">
        <v>51</v>
      </c>
      <c r="L67" s="100">
        <f t="shared" si="15"/>
        <v>1</v>
      </c>
      <c r="M67" s="90" t="str">
        <f t="shared" si="15"/>
        <v>ZV.3&gt;23” drilling phase (without fuel)</v>
      </c>
      <c r="N67" s="90">
        <f t="shared" si="15"/>
        <v>0</v>
      </c>
      <c r="O67" s="90">
        <f t="shared" si="15"/>
        <v>0</v>
      </c>
      <c r="P67" s="90">
        <f t="shared" si="15"/>
        <v>0</v>
      </c>
      <c r="Q67" s="90">
        <f t="shared" si="15"/>
        <v>0</v>
      </c>
      <c r="R67" s="90">
        <f t="shared" si="15"/>
        <v>0</v>
      </c>
      <c r="S67" s="90">
        <f t="shared" si="15"/>
        <v>0</v>
      </c>
      <c r="T67" s="90">
        <f t="shared" si="15"/>
        <v>0</v>
      </c>
      <c r="U67" s="101">
        <f t="shared" si="15"/>
        <v>6.2280933670392545E-3</v>
      </c>
      <c r="V67" s="71"/>
      <c r="W67" s="102">
        <f t="shared" si="16"/>
        <v>0</v>
      </c>
      <c r="X67" s="102">
        <f t="shared" si="16"/>
        <v>0</v>
      </c>
      <c r="Y67" s="90">
        <f t="shared" si="16"/>
        <v>10125</v>
      </c>
      <c r="Z67" s="102">
        <f t="shared" si="16"/>
        <v>10125</v>
      </c>
      <c r="AA67" s="101" t="str">
        <f t="shared" si="16"/>
        <v>EA</v>
      </c>
      <c r="AB67" s="71"/>
      <c r="AC67" s="91">
        <v>1</v>
      </c>
      <c r="AD67" s="91">
        <v>1</v>
      </c>
      <c r="AE67" s="92" t="str">
        <f t="shared" si="6"/>
        <v>ZV.3&gt;23” drilling phase (without fuel)</v>
      </c>
      <c r="AF67" s="93">
        <f t="shared" si="14"/>
        <v>63.05944534127245</v>
      </c>
    </row>
    <row r="68" spans="1:32" ht="12.5">
      <c r="A68" s="28">
        <v>52</v>
      </c>
      <c r="B68" s="104" t="s">
        <v>73</v>
      </c>
      <c r="C68" s="95" t="str">
        <f t="shared" si="10"/>
        <v>BL-RPE-WL</v>
      </c>
      <c r="D68" s="105" t="s">
        <v>8</v>
      </c>
      <c r="E68" s="95" t="str">
        <f t="shared" si="4"/>
        <v>Fixed Cost</v>
      </c>
      <c r="F68" s="97">
        <f t="shared" si="5"/>
        <v>1</v>
      </c>
      <c r="G68" s="98"/>
      <c r="J68" s="83">
        <f t="shared" si="1"/>
        <v>0</v>
      </c>
      <c r="K68" s="99">
        <v>52</v>
      </c>
      <c r="L68" s="100">
        <f t="shared" si="15"/>
        <v>1</v>
      </c>
      <c r="M68" s="90" t="str">
        <f t="shared" si="15"/>
        <v>ZV.4&gt;17 ½" drilling phase (without fuel)</v>
      </c>
      <c r="N68" s="90">
        <f t="shared" si="15"/>
        <v>0</v>
      </c>
      <c r="O68" s="90">
        <f t="shared" si="15"/>
        <v>0</v>
      </c>
      <c r="P68" s="90">
        <f t="shared" si="15"/>
        <v>0</v>
      </c>
      <c r="Q68" s="90">
        <f t="shared" si="15"/>
        <v>0</v>
      </c>
      <c r="R68" s="90">
        <f t="shared" si="15"/>
        <v>0</v>
      </c>
      <c r="S68" s="90">
        <f t="shared" si="15"/>
        <v>0</v>
      </c>
      <c r="T68" s="90">
        <f t="shared" si="15"/>
        <v>0</v>
      </c>
      <c r="U68" s="101">
        <f t="shared" si="15"/>
        <v>9.5816184528679949E-3</v>
      </c>
      <c r="V68" s="71"/>
      <c r="W68" s="102">
        <f t="shared" si="16"/>
        <v>0</v>
      </c>
      <c r="X68" s="102">
        <f t="shared" si="16"/>
        <v>0</v>
      </c>
      <c r="Y68" s="90">
        <f t="shared" si="16"/>
        <v>18150</v>
      </c>
      <c r="Z68" s="102">
        <f t="shared" si="16"/>
        <v>18150</v>
      </c>
      <c r="AA68" s="101" t="str">
        <f t="shared" si="16"/>
        <v>EA</v>
      </c>
      <c r="AB68" s="71"/>
      <c r="AC68" s="91">
        <v>1</v>
      </c>
      <c r="AD68" s="91">
        <v>1</v>
      </c>
      <c r="AE68" s="92" t="str">
        <f t="shared" si="6"/>
        <v>ZV.4&gt;17 ½" drilling phase (without fuel)</v>
      </c>
      <c r="AF68" s="93">
        <f t="shared" si="14"/>
        <v>173.90637491955411</v>
      </c>
    </row>
    <row r="69" spans="1:32" ht="12.5">
      <c r="A69" s="28">
        <v>53</v>
      </c>
      <c r="B69" s="104" t="s">
        <v>74</v>
      </c>
      <c r="C69" s="95" t="str">
        <f t="shared" si="10"/>
        <v>BL-RPE-TS</v>
      </c>
      <c r="D69" s="105" t="s">
        <v>8</v>
      </c>
      <c r="E69" s="95" t="str">
        <f t="shared" si="4"/>
        <v>Fixed Cost</v>
      </c>
      <c r="F69" s="97">
        <f t="shared" si="5"/>
        <v>1</v>
      </c>
      <c r="G69" s="98"/>
      <c r="J69" s="83">
        <f t="shared" si="1"/>
        <v>0</v>
      </c>
      <c r="K69" s="99">
        <v>53</v>
      </c>
      <c r="L69" s="100">
        <f t="shared" si="15"/>
        <v>1</v>
      </c>
      <c r="M69" s="90" t="str">
        <f t="shared" si="15"/>
        <v>ZV.5&gt;12 ¼” drilling phase (without fuel)</v>
      </c>
      <c r="N69" s="90">
        <f t="shared" si="15"/>
        <v>0</v>
      </c>
      <c r="O69" s="90">
        <f t="shared" si="15"/>
        <v>0</v>
      </c>
      <c r="P69" s="90">
        <f t="shared" si="15"/>
        <v>0</v>
      </c>
      <c r="Q69" s="90">
        <f t="shared" si="15"/>
        <v>0</v>
      </c>
      <c r="R69" s="90">
        <f t="shared" si="15"/>
        <v>0</v>
      </c>
      <c r="S69" s="90">
        <f t="shared" si="15"/>
        <v>0</v>
      </c>
      <c r="T69" s="90">
        <f t="shared" si="15"/>
        <v>0</v>
      </c>
      <c r="U69" s="101">
        <f t="shared" si="15"/>
        <v>9.5382157181949888E-3</v>
      </c>
      <c r="V69" s="71"/>
      <c r="W69" s="102">
        <f t="shared" si="16"/>
        <v>0</v>
      </c>
      <c r="X69" s="102">
        <f t="shared" si="16"/>
        <v>0</v>
      </c>
      <c r="Y69" s="90">
        <f t="shared" si="16"/>
        <v>18000</v>
      </c>
      <c r="Z69" s="102">
        <f t="shared" si="16"/>
        <v>18000</v>
      </c>
      <c r="AA69" s="101" t="str">
        <f t="shared" si="16"/>
        <v>EA</v>
      </c>
      <c r="AB69" s="71"/>
      <c r="AC69" s="91">
        <v>1</v>
      </c>
      <c r="AD69" s="91">
        <v>1</v>
      </c>
      <c r="AE69" s="92" t="str">
        <f t="shared" si="6"/>
        <v>ZV.5&gt;12 ¼” drilling phase (without fuel)</v>
      </c>
      <c r="AF69" s="93">
        <f t="shared" si="14"/>
        <v>171.6878829275098</v>
      </c>
    </row>
    <row r="70" spans="1:32" ht="12.5">
      <c r="A70" s="28">
        <v>54</v>
      </c>
      <c r="B70" s="104" t="s">
        <v>76</v>
      </c>
      <c r="C70" s="95" t="str">
        <f t="shared" si="10"/>
        <v>BL-RPE-TS</v>
      </c>
      <c r="D70" s="105" t="s">
        <v>8</v>
      </c>
      <c r="E70" s="95" t="str">
        <f t="shared" si="4"/>
        <v>Fixed Cost</v>
      </c>
      <c r="F70" s="97">
        <f t="shared" si="5"/>
        <v>1</v>
      </c>
      <c r="G70" s="98"/>
      <c r="J70" s="83">
        <f t="shared" si="1"/>
        <v>0</v>
      </c>
      <c r="K70" s="99">
        <v>54</v>
      </c>
      <c r="L70" s="100">
        <f t="shared" si="15"/>
        <v>1</v>
      </c>
      <c r="M70" s="90" t="str">
        <f t="shared" si="15"/>
        <v>ZV.6&gt;8 ½" drilling phase (without fuel)</v>
      </c>
      <c r="N70" s="90">
        <f t="shared" si="15"/>
        <v>0</v>
      </c>
      <c r="O70" s="90">
        <f t="shared" si="15"/>
        <v>0</v>
      </c>
      <c r="P70" s="90">
        <f t="shared" si="15"/>
        <v>0</v>
      </c>
      <c r="Q70" s="90">
        <f t="shared" si="15"/>
        <v>0</v>
      </c>
      <c r="R70" s="90">
        <f t="shared" si="15"/>
        <v>0</v>
      </c>
      <c r="S70" s="90">
        <f t="shared" si="15"/>
        <v>0</v>
      </c>
      <c r="T70" s="90">
        <f t="shared" si="15"/>
        <v>0</v>
      </c>
      <c r="U70" s="101">
        <f t="shared" si="15"/>
        <v>2.2924170963877805E-2</v>
      </c>
      <c r="V70" s="71"/>
      <c r="W70" s="102">
        <f t="shared" si="16"/>
        <v>0</v>
      </c>
      <c r="X70" s="102">
        <f t="shared" si="16"/>
        <v>0</v>
      </c>
      <c r="Y70" s="90">
        <f t="shared" si="16"/>
        <v>6300</v>
      </c>
      <c r="Z70" s="102">
        <f t="shared" si="16"/>
        <v>6300</v>
      </c>
      <c r="AA70" s="101" t="str">
        <f t="shared" si="16"/>
        <v>EA</v>
      </c>
      <c r="AB70" s="71"/>
      <c r="AC70" s="91">
        <v>1</v>
      </c>
      <c r="AD70" s="91">
        <v>1</v>
      </c>
      <c r="AE70" s="92" t="str">
        <f t="shared" si="6"/>
        <v>ZV.6&gt;8 ½" drilling phase (without fuel)</v>
      </c>
      <c r="AF70" s="93">
        <f t="shared" si="14"/>
        <v>144.42227707243018</v>
      </c>
    </row>
    <row r="71" spans="1:32" ht="12.5">
      <c r="A71" s="28">
        <v>55</v>
      </c>
      <c r="B71" s="104" t="s">
        <v>77</v>
      </c>
      <c r="C71" s="95" t="str">
        <f t="shared" si="10"/>
        <v>BL-RPE-TS</v>
      </c>
      <c r="D71" s="105" t="s">
        <v>8</v>
      </c>
      <c r="E71" s="95" t="str">
        <f t="shared" si="4"/>
        <v>Fixed Cost</v>
      </c>
      <c r="F71" s="97">
        <f t="shared" si="5"/>
        <v>1</v>
      </c>
      <c r="G71" s="98"/>
      <c r="J71" s="83">
        <f t="shared" si="1"/>
        <v>0</v>
      </c>
      <c r="K71" s="99">
        <v>55</v>
      </c>
      <c r="L71" s="100">
        <f t="shared" si="15"/>
        <v>1</v>
      </c>
      <c r="M71" s="90" t="str">
        <f t="shared" si="15"/>
        <v>ZV.7&gt;Running of kill string (without fuel)</v>
      </c>
      <c r="N71" s="90">
        <f t="shared" si="15"/>
        <v>0</v>
      </c>
      <c r="O71" s="90">
        <f t="shared" si="15"/>
        <v>0</v>
      </c>
      <c r="P71" s="90">
        <f t="shared" si="15"/>
        <v>0</v>
      </c>
      <c r="Q71" s="90">
        <f t="shared" si="15"/>
        <v>0</v>
      </c>
      <c r="R71" s="90">
        <f t="shared" si="15"/>
        <v>0</v>
      </c>
      <c r="S71" s="90">
        <f t="shared" si="15"/>
        <v>0</v>
      </c>
      <c r="T71" s="90">
        <f t="shared" si="15"/>
        <v>0</v>
      </c>
      <c r="U71" s="101">
        <f t="shared" si="15"/>
        <v>0.43</v>
      </c>
      <c r="V71" s="71"/>
      <c r="W71" s="102">
        <f t="shared" si="16"/>
        <v>0</v>
      </c>
      <c r="X71" s="102">
        <f t="shared" si="16"/>
        <v>0</v>
      </c>
      <c r="Y71" s="90">
        <f t="shared" si="16"/>
        <v>15</v>
      </c>
      <c r="Z71" s="102">
        <f t="shared" si="16"/>
        <v>15</v>
      </c>
      <c r="AA71" s="101" t="str">
        <f t="shared" si="16"/>
        <v>EA</v>
      </c>
      <c r="AB71" s="71"/>
      <c r="AC71" s="91">
        <v>1</v>
      </c>
      <c r="AD71" s="91">
        <v>1</v>
      </c>
      <c r="AE71" s="92" t="str">
        <f t="shared" si="6"/>
        <v>ZV.7&gt;Running of kill string (without fuel)</v>
      </c>
      <c r="AF71" s="93">
        <f t="shared" si="14"/>
        <v>6.45</v>
      </c>
    </row>
    <row r="72" spans="1:32" ht="12.5">
      <c r="A72" s="28">
        <v>56</v>
      </c>
      <c r="B72" s="104" t="s">
        <v>78</v>
      </c>
      <c r="C72" s="95" t="str">
        <f t="shared" si="10"/>
        <v>BL-RPE-TS</v>
      </c>
      <c r="D72" s="105" t="s">
        <v>8</v>
      </c>
      <c r="E72" s="95" t="str">
        <f t="shared" si="4"/>
        <v>Fixed Cost</v>
      </c>
      <c r="F72" s="97">
        <f t="shared" si="5"/>
        <v>1</v>
      </c>
      <c r="G72" s="98"/>
      <c r="J72" s="83">
        <f t="shared" si="1"/>
        <v>0</v>
      </c>
      <c r="K72" s="99">
        <v>56</v>
      </c>
      <c r="L72" s="100">
        <f t="shared" si="15"/>
        <v>1</v>
      </c>
      <c r="M72" s="90" t="str">
        <f t="shared" si="15"/>
        <v>ZV.8&gt;Running of completion string (without fuel)</v>
      </c>
      <c r="N72" s="90">
        <f t="shared" si="15"/>
        <v>0</v>
      </c>
      <c r="O72" s="90">
        <f t="shared" si="15"/>
        <v>0</v>
      </c>
      <c r="P72" s="90">
        <f t="shared" si="15"/>
        <v>0</v>
      </c>
      <c r="Q72" s="90">
        <f t="shared" si="15"/>
        <v>0</v>
      </c>
      <c r="R72" s="90">
        <f t="shared" si="15"/>
        <v>0</v>
      </c>
      <c r="S72" s="90">
        <f t="shared" si="15"/>
        <v>0</v>
      </c>
      <c r="T72" s="90">
        <f t="shared" si="15"/>
        <v>0</v>
      </c>
      <c r="U72" s="101">
        <f t="shared" si="15"/>
        <v>3.532</v>
      </c>
      <c r="V72" s="71"/>
      <c r="W72" s="102">
        <f t="shared" si="16"/>
        <v>0</v>
      </c>
      <c r="X72" s="102">
        <f t="shared" si="16"/>
        <v>0</v>
      </c>
      <c r="Y72" s="90">
        <f t="shared" si="16"/>
        <v>0</v>
      </c>
      <c r="Z72" s="102">
        <f t="shared" si="16"/>
        <v>0</v>
      </c>
      <c r="AA72" s="101" t="str">
        <f t="shared" si="16"/>
        <v>EA</v>
      </c>
      <c r="AB72" s="71"/>
      <c r="AC72" s="91">
        <v>1</v>
      </c>
      <c r="AD72" s="91">
        <v>1</v>
      </c>
      <c r="AE72" s="92" t="str">
        <f t="shared" si="6"/>
        <v>ZV.8&gt;Running of completion string (without fuel)</v>
      </c>
      <c r="AF72" s="93">
        <f t="shared" si="14"/>
        <v>0</v>
      </c>
    </row>
    <row r="73" spans="1:32" ht="12.5">
      <c r="A73" s="28">
        <v>57</v>
      </c>
      <c r="B73" s="104" t="s">
        <v>79</v>
      </c>
      <c r="C73" s="95" t="str">
        <f t="shared" si="10"/>
        <v>BL-SPS-CAM</v>
      </c>
      <c r="D73" s="105" t="s">
        <v>8</v>
      </c>
      <c r="E73" s="95" t="str">
        <f t="shared" si="4"/>
        <v>Fixed Cost</v>
      </c>
      <c r="F73" s="97">
        <f t="shared" si="5"/>
        <v>1</v>
      </c>
      <c r="G73" s="98"/>
      <c r="J73" s="83">
        <f t="shared" si="1"/>
        <v>0</v>
      </c>
      <c r="K73" s="99">
        <v>57</v>
      </c>
      <c r="L73" s="100">
        <f t="shared" si="15"/>
        <v>1</v>
      </c>
      <c r="M73" s="90" t="str">
        <f t="shared" si="15"/>
        <v>ZV.9&gt;Wellhead and X-mas Tree installation service</v>
      </c>
      <c r="N73" s="90">
        <f t="shared" si="15"/>
        <v>0</v>
      </c>
      <c r="O73" s="90">
        <f t="shared" si="15"/>
        <v>0</v>
      </c>
      <c r="P73" s="90">
        <f t="shared" si="15"/>
        <v>0</v>
      </c>
      <c r="Q73" s="90">
        <f t="shared" si="15"/>
        <v>0</v>
      </c>
      <c r="R73" s="90">
        <f t="shared" si="15"/>
        <v>0</v>
      </c>
      <c r="S73" s="90">
        <f t="shared" si="15"/>
        <v>0</v>
      </c>
      <c r="T73" s="90">
        <f t="shared" si="15"/>
        <v>0</v>
      </c>
      <c r="U73" s="101">
        <f t="shared" si="15"/>
        <v>0</v>
      </c>
      <c r="V73" s="71"/>
      <c r="W73" s="102">
        <f t="shared" si="16"/>
        <v>0</v>
      </c>
      <c r="X73" s="102">
        <f t="shared" si="16"/>
        <v>0</v>
      </c>
      <c r="Y73" s="90">
        <f t="shared" si="16"/>
        <v>15</v>
      </c>
      <c r="Z73" s="102">
        <f t="shared" si="16"/>
        <v>15</v>
      </c>
      <c r="AA73" s="101" t="str">
        <f t="shared" si="16"/>
        <v>EA</v>
      </c>
      <c r="AB73" s="71"/>
      <c r="AC73" s="91">
        <v>1</v>
      </c>
      <c r="AD73" s="91">
        <v>1</v>
      </c>
      <c r="AE73" s="92" t="str">
        <f t="shared" si="6"/>
        <v>ZV.9&gt;Wellhead and X-mas Tree installation service</v>
      </c>
      <c r="AF73" s="93">
        <f t="shared" si="14"/>
        <v>0</v>
      </c>
    </row>
    <row r="74" spans="1:32" ht="12.5">
      <c r="A74" s="28">
        <v>58</v>
      </c>
      <c r="B74" s="104" t="s">
        <v>81</v>
      </c>
      <c r="C74" s="95" t="str">
        <f t="shared" si="10"/>
        <v>BL-SPS-CAM</v>
      </c>
      <c r="D74" s="105" t="s">
        <v>8</v>
      </c>
      <c r="E74" s="95" t="str">
        <f t="shared" si="4"/>
        <v>Fixed Cost</v>
      </c>
      <c r="F74" s="97">
        <f t="shared" si="5"/>
        <v>1</v>
      </c>
      <c r="G74" s="98"/>
      <c r="J74" s="83">
        <f t="shared" si="1"/>
        <v>0</v>
      </c>
      <c r="K74" s="99">
        <v>58</v>
      </c>
      <c r="L74" s="100">
        <f t="shared" si="15"/>
        <v>1</v>
      </c>
      <c r="M74" s="90" t="str">
        <f t="shared" si="15"/>
        <v>ZD.1&gt;Well Site Services (refer to note 1 below)</v>
      </c>
      <c r="N74" s="90">
        <f t="shared" si="15"/>
        <v>0</v>
      </c>
      <c r="O74" s="90">
        <f t="shared" si="15"/>
        <v>0</v>
      </c>
      <c r="P74" s="90">
        <f t="shared" si="15"/>
        <v>0</v>
      </c>
      <c r="Q74" s="90">
        <f t="shared" si="15"/>
        <v>0</v>
      </c>
      <c r="R74" s="90">
        <f t="shared" si="15"/>
        <v>0</v>
      </c>
      <c r="S74" s="90">
        <f t="shared" si="15"/>
        <v>0</v>
      </c>
      <c r="T74" s="90">
        <f t="shared" si="15"/>
        <v>0</v>
      </c>
      <c r="U74" s="101">
        <f t="shared" si="15"/>
        <v>43.734477050869039</v>
      </c>
      <c r="V74" s="71"/>
      <c r="W74" s="102">
        <f t="shared" si="16"/>
        <v>0</v>
      </c>
      <c r="X74" s="102">
        <f t="shared" si="16"/>
        <v>0</v>
      </c>
      <c r="Y74" s="90">
        <f t="shared" si="16"/>
        <v>3</v>
      </c>
      <c r="Z74" s="102">
        <f t="shared" si="16"/>
        <v>3</v>
      </c>
      <c r="AA74" s="101" t="str">
        <f t="shared" si="16"/>
        <v>EA</v>
      </c>
      <c r="AB74" s="71"/>
      <c r="AC74" s="91">
        <v>1</v>
      </c>
      <c r="AD74" s="91">
        <v>1</v>
      </c>
      <c r="AE74" s="92" t="str">
        <f t="shared" si="6"/>
        <v>ZD.1&gt;Well Site Services (refer to note 1 below)</v>
      </c>
      <c r="AF74" s="93">
        <f t="shared" si="14"/>
        <v>131.20343115260712</v>
      </c>
    </row>
    <row r="75" spans="1:32" ht="12.5">
      <c r="A75" s="28">
        <v>59</v>
      </c>
      <c r="B75" s="104" t="s">
        <v>82</v>
      </c>
      <c r="C75" s="95" t="str">
        <f t="shared" si="10"/>
        <v>BL-SPS-ALS</v>
      </c>
      <c r="D75" s="105" t="s">
        <v>8</v>
      </c>
      <c r="E75" s="95" t="str">
        <f t="shared" si="4"/>
        <v>Fixed Cost</v>
      </c>
      <c r="F75" s="97">
        <f t="shared" si="5"/>
        <v>1</v>
      </c>
      <c r="G75" s="98"/>
      <c r="J75" s="83">
        <f t="shared" si="1"/>
        <v>0</v>
      </c>
      <c r="K75" s="99">
        <v>59</v>
      </c>
      <c r="L75" s="100">
        <f t="shared" si="15"/>
        <v>1</v>
      </c>
      <c r="M75" s="90" t="str">
        <f t="shared" si="15"/>
        <v xml:space="preserve">ZD.2&gt;32” drilling phase with preinstalled Conductor Pipe (without fuel) </v>
      </c>
      <c r="N75" s="90">
        <f t="shared" si="15"/>
        <v>0</v>
      </c>
      <c r="O75" s="90">
        <f t="shared" si="15"/>
        <v>0</v>
      </c>
      <c r="P75" s="90">
        <f t="shared" si="15"/>
        <v>0</v>
      </c>
      <c r="Q75" s="90">
        <f t="shared" si="15"/>
        <v>0</v>
      </c>
      <c r="R75" s="90">
        <f t="shared" si="15"/>
        <v>0</v>
      </c>
      <c r="S75" s="90">
        <f t="shared" si="15"/>
        <v>0</v>
      </c>
      <c r="T75" s="90">
        <f t="shared" si="15"/>
        <v>0</v>
      </c>
      <c r="U75" s="101">
        <f t="shared" si="15"/>
        <v>0</v>
      </c>
      <c r="V75" s="71"/>
      <c r="W75" s="102">
        <f t="shared" si="16"/>
        <v>0</v>
      </c>
      <c r="X75" s="102">
        <f t="shared" si="16"/>
        <v>0</v>
      </c>
      <c r="Y75" s="90">
        <f t="shared" si="16"/>
        <v>165</v>
      </c>
      <c r="Z75" s="102">
        <f t="shared" si="16"/>
        <v>165</v>
      </c>
      <c r="AA75" s="101" t="str">
        <f t="shared" si="16"/>
        <v>EA</v>
      </c>
      <c r="AB75" s="71"/>
      <c r="AC75" s="91">
        <v>1</v>
      </c>
      <c r="AD75" s="91">
        <v>1</v>
      </c>
      <c r="AE75" s="92" t="str">
        <f t="shared" si="6"/>
        <v xml:space="preserve">ZD.2&gt;32” drilling phase with preinstalled Conductor Pipe (without fuel) </v>
      </c>
      <c r="AF75" s="93">
        <f t="shared" si="14"/>
        <v>0</v>
      </c>
    </row>
    <row r="76" spans="1:32" ht="12.5">
      <c r="A76" s="28">
        <v>60</v>
      </c>
      <c r="B76" s="104" t="s">
        <v>84</v>
      </c>
      <c r="C76" s="95" t="str">
        <f t="shared" si="10"/>
        <v>BL-SPS-ALS</v>
      </c>
      <c r="D76" s="105" t="s">
        <v>8</v>
      </c>
      <c r="E76" s="95" t="str">
        <f t="shared" si="4"/>
        <v>Fixed Cost</v>
      </c>
      <c r="F76" s="97">
        <f t="shared" si="5"/>
        <v>1</v>
      </c>
      <c r="G76" s="98"/>
      <c r="J76" s="83">
        <f t="shared" si="1"/>
        <v>0</v>
      </c>
      <c r="K76" s="99">
        <v>60</v>
      </c>
      <c r="L76" s="100">
        <f t="shared" si="15"/>
        <v>1</v>
      </c>
      <c r="M76" s="90" t="str">
        <f t="shared" si="15"/>
        <v>ZD.3&gt;23” drilling phase (without fuel)</v>
      </c>
      <c r="N76" s="90">
        <f t="shared" si="15"/>
        <v>0</v>
      </c>
      <c r="O76" s="90">
        <f t="shared" si="15"/>
        <v>0</v>
      </c>
      <c r="P76" s="90">
        <f t="shared" si="15"/>
        <v>0</v>
      </c>
      <c r="Q76" s="90">
        <f t="shared" si="15"/>
        <v>0</v>
      </c>
      <c r="R76" s="90">
        <f t="shared" si="15"/>
        <v>0</v>
      </c>
      <c r="S76" s="90">
        <f t="shared" si="15"/>
        <v>0</v>
      </c>
      <c r="T76" s="90">
        <f t="shared" si="15"/>
        <v>0</v>
      </c>
      <c r="U76" s="101">
        <f t="shared" si="15"/>
        <v>6.2280933670392545E-3</v>
      </c>
      <c r="V76" s="71"/>
      <c r="W76" s="102">
        <f t="shared" si="16"/>
        <v>0</v>
      </c>
      <c r="X76" s="102">
        <f t="shared" si="16"/>
        <v>0</v>
      </c>
      <c r="Y76" s="90">
        <f t="shared" si="16"/>
        <v>2025</v>
      </c>
      <c r="Z76" s="102">
        <f t="shared" si="16"/>
        <v>2025</v>
      </c>
      <c r="AA76" s="101" t="str">
        <f t="shared" si="16"/>
        <v>EA</v>
      </c>
      <c r="AB76" s="71"/>
      <c r="AC76" s="91">
        <v>1</v>
      </c>
      <c r="AD76" s="91">
        <v>1</v>
      </c>
      <c r="AE76" s="92" t="str">
        <f t="shared" si="6"/>
        <v>ZD.3&gt;23” drilling phase (without fuel)</v>
      </c>
      <c r="AF76" s="93">
        <f t="shared" si="14"/>
        <v>12.61188906825449</v>
      </c>
    </row>
    <row r="77" spans="1:32" ht="12.5">
      <c r="A77" s="28">
        <v>61</v>
      </c>
      <c r="B77" s="104" t="s">
        <v>85</v>
      </c>
      <c r="C77" s="95" t="str">
        <f t="shared" si="10"/>
        <v>BL-SPS-ALS</v>
      </c>
      <c r="D77" s="105" t="s">
        <v>8</v>
      </c>
      <c r="E77" s="95" t="str">
        <f t="shared" si="4"/>
        <v>Fixed Cost</v>
      </c>
      <c r="F77" s="97">
        <f t="shared" si="5"/>
        <v>1</v>
      </c>
      <c r="G77" s="98"/>
      <c r="J77" s="83">
        <f t="shared" si="1"/>
        <v>0</v>
      </c>
      <c r="K77" s="99">
        <v>61</v>
      </c>
      <c r="L77" s="100">
        <f t="shared" si="15"/>
        <v>1</v>
      </c>
      <c r="M77" s="90" t="str">
        <f t="shared" si="15"/>
        <v>ZD.4&gt;17 ½" drilling phase (without fuel)</v>
      </c>
      <c r="N77" s="90">
        <f t="shared" si="15"/>
        <v>0</v>
      </c>
      <c r="O77" s="90">
        <f t="shared" si="15"/>
        <v>0</v>
      </c>
      <c r="P77" s="90">
        <f t="shared" si="15"/>
        <v>0</v>
      </c>
      <c r="Q77" s="90">
        <f t="shared" si="15"/>
        <v>0</v>
      </c>
      <c r="R77" s="90">
        <f t="shared" si="15"/>
        <v>0</v>
      </c>
      <c r="S77" s="90">
        <f t="shared" si="15"/>
        <v>0</v>
      </c>
      <c r="T77" s="90">
        <f t="shared" si="15"/>
        <v>0</v>
      </c>
      <c r="U77" s="101">
        <f t="shared" si="15"/>
        <v>1.0073026969569238E-2</v>
      </c>
      <c r="V77" s="71"/>
      <c r="W77" s="102">
        <f t="shared" si="16"/>
        <v>0</v>
      </c>
      <c r="X77" s="102">
        <f t="shared" si="16"/>
        <v>0</v>
      </c>
      <c r="Y77" s="90">
        <f t="shared" si="16"/>
        <v>3960</v>
      </c>
      <c r="Z77" s="102">
        <f t="shared" si="16"/>
        <v>3960</v>
      </c>
      <c r="AA77" s="101" t="str">
        <f t="shared" si="16"/>
        <v>EA</v>
      </c>
      <c r="AB77" s="71"/>
      <c r="AC77" s="91">
        <v>1</v>
      </c>
      <c r="AD77" s="91">
        <v>1</v>
      </c>
      <c r="AE77" s="92" t="str">
        <f t="shared" si="6"/>
        <v>ZD.4&gt;17 ½" drilling phase (without fuel)</v>
      </c>
      <c r="AF77" s="93">
        <f t="shared" si="14"/>
        <v>39.889186799494183</v>
      </c>
    </row>
    <row r="78" spans="1:32" ht="12.5">
      <c r="A78" s="28">
        <v>62</v>
      </c>
      <c r="B78" s="104" t="s">
        <v>86</v>
      </c>
      <c r="C78" s="95" t="str">
        <f t="shared" si="10"/>
        <v>BL-DI-DSS</v>
      </c>
      <c r="D78" s="105" t="s">
        <v>8</v>
      </c>
      <c r="E78" s="95" t="str">
        <f t="shared" si="4"/>
        <v>Fixed Cost</v>
      </c>
      <c r="F78" s="97">
        <f t="shared" si="5"/>
        <v>1</v>
      </c>
      <c r="G78" s="98"/>
      <c r="J78" s="83">
        <f t="shared" si="1"/>
        <v>0</v>
      </c>
      <c r="K78" s="99">
        <v>62</v>
      </c>
      <c r="L78" s="100">
        <f t="shared" si="15"/>
        <v>1</v>
      </c>
      <c r="M78" s="90" t="str">
        <f t="shared" si="15"/>
        <v>ZD.5&gt;12 ¼” drilling phase (without fuel)</v>
      </c>
      <c r="N78" s="90">
        <f t="shared" si="15"/>
        <v>0</v>
      </c>
      <c r="O78" s="90">
        <f t="shared" si="15"/>
        <v>0</v>
      </c>
      <c r="P78" s="90">
        <f t="shared" si="15"/>
        <v>0</v>
      </c>
      <c r="Q78" s="90">
        <f t="shared" si="15"/>
        <v>0</v>
      </c>
      <c r="R78" s="90">
        <f t="shared" si="15"/>
        <v>0</v>
      </c>
      <c r="S78" s="90">
        <f t="shared" si="15"/>
        <v>0</v>
      </c>
      <c r="T78" s="90">
        <f t="shared" si="15"/>
        <v>0</v>
      </c>
      <c r="U78" s="101">
        <f t="shared" si="15"/>
        <v>9.8104483560355182E-3</v>
      </c>
      <c r="V78" s="71"/>
      <c r="W78" s="102">
        <f t="shared" si="16"/>
        <v>0</v>
      </c>
      <c r="X78" s="102">
        <f t="shared" si="16"/>
        <v>0</v>
      </c>
      <c r="Y78" s="90">
        <f t="shared" si="16"/>
        <v>3900</v>
      </c>
      <c r="Z78" s="102">
        <f t="shared" si="16"/>
        <v>3900</v>
      </c>
      <c r="AA78" s="101" t="str">
        <f t="shared" si="16"/>
        <v>EA</v>
      </c>
      <c r="AB78" s="71"/>
      <c r="AC78" s="91">
        <v>1</v>
      </c>
      <c r="AD78" s="91">
        <v>1</v>
      </c>
      <c r="AE78" s="92" t="str">
        <f t="shared" si="6"/>
        <v>ZD.5&gt;12 ¼” drilling phase (without fuel)</v>
      </c>
      <c r="AF78" s="93">
        <f t="shared" si="14"/>
        <v>38.260748588538519</v>
      </c>
    </row>
    <row r="79" spans="1:32" ht="12.5">
      <c r="A79" s="28">
        <v>63</v>
      </c>
      <c r="B79" s="104" t="s">
        <v>88</v>
      </c>
      <c r="C79" s="95" t="str">
        <f t="shared" si="10"/>
        <v>BL-DI-DSS</v>
      </c>
      <c r="D79" s="105" t="s">
        <v>8</v>
      </c>
      <c r="E79" s="95" t="str">
        <f t="shared" si="4"/>
        <v>Fixed Cost</v>
      </c>
      <c r="F79" s="97">
        <f t="shared" si="5"/>
        <v>1</v>
      </c>
      <c r="G79" s="98"/>
      <c r="J79" s="83">
        <f t="shared" si="1"/>
        <v>0</v>
      </c>
      <c r="K79" s="99">
        <v>63</v>
      </c>
      <c r="L79" s="100">
        <f t="shared" si="15"/>
        <v>1</v>
      </c>
      <c r="M79" s="90" t="str">
        <f t="shared" si="15"/>
        <v>ZD.6&gt;8 ½" drilling phase (without fuel)</v>
      </c>
      <c r="N79" s="90">
        <f t="shared" si="15"/>
        <v>0</v>
      </c>
      <c r="O79" s="90">
        <f t="shared" si="15"/>
        <v>0</v>
      </c>
      <c r="P79" s="90">
        <f t="shared" si="15"/>
        <v>0</v>
      </c>
      <c r="Q79" s="90">
        <f t="shared" si="15"/>
        <v>0</v>
      </c>
      <c r="R79" s="90">
        <f t="shared" si="15"/>
        <v>0</v>
      </c>
      <c r="S79" s="90">
        <f t="shared" si="15"/>
        <v>0</v>
      </c>
      <c r="T79" s="90">
        <f t="shared" si="15"/>
        <v>0</v>
      </c>
      <c r="U79" s="101">
        <f t="shared" si="15"/>
        <v>2.9001190145422167E-2</v>
      </c>
      <c r="V79" s="71"/>
      <c r="W79" s="102">
        <f t="shared" si="16"/>
        <v>0</v>
      </c>
      <c r="X79" s="102">
        <f t="shared" si="16"/>
        <v>0</v>
      </c>
      <c r="Y79" s="90">
        <f t="shared" si="16"/>
        <v>1350</v>
      </c>
      <c r="Z79" s="102">
        <f t="shared" si="16"/>
        <v>1350</v>
      </c>
      <c r="AA79" s="101" t="str">
        <f t="shared" si="16"/>
        <v>EA</v>
      </c>
      <c r="AB79" s="71"/>
      <c r="AC79" s="91">
        <v>1</v>
      </c>
      <c r="AD79" s="91">
        <v>1</v>
      </c>
      <c r="AE79" s="92" t="str">
        <f t="shared" si="6"/>
        <v>ZD.6&gt;8 ½" drilling phase (without fuel)</v>
      </c>
      <c r="AF79" s="93">
        <f t="shared" si="14"/>
        <v>39.151606696319924</v>
      </c>
    </row>
    <row r="80" spans="1:32" ht="12.5">
      <c r="A80" s="28">
        <v>64</v>
      </c>
      <c r="B80" s="104" t="s">
        <v>89</v>
      </c>
      <c r="C80" s="95" t="str">
        <f t="shared" si="10"/>
        <v>BL-DI-DSS</v>
      </c>
      <c r="D80" s="105" t="s">
        <v>8</v>
      </c>
      <c r="E80" s="95" t="str">
        <f t="shared" si="4"/>
        <v>Fixed Cost</v>
      </c>
      <c r="F80" s="97">
        <f t="shared" si="5"/>
        <v>1</v>
      </c>
      <c r="G80" s="98"/>
      <c r="J80" s="83">
        <f t="shared" si="1"/>
        <v>0</v>
      </c>
      <c r="K80" s="99">
        <v>64</v>
      </c>
      <c r="L80" s="100">
        <f t="shared" si="15"/>
        <v>1</v>
      </c>
      <c r="M80" s="90" t="str">
        <f t="shared" si="15"/>
        <v>ZD.7&gt;Running of kill string (without fuel)</v>
      </c>
      <c r="N80" s="90">
        <f t="shared" si="15"/>
        <v>0</v>
      </c>
      <c r="O80" s="90">
        <f t="shared" si="15"/>
        <v>0</v>
      </c>
      <c r="P80" s="90">
        <f t="shared" si="15"/>
        <v>0</v>
      </c>
      <c r="Q80" s="90">
        <f t="shared" si="15"/>
        <v>0</v>
      </c>
      <c r="R80" s="90">
        <f t="shared" si="15"/>
        <v>0</v>
      </c>
      <c r="S80" s="90">
        <f t="shared" si="15"/>
        <v>0</v>
      </c>
      <c r="T80" s="90">
        <f t="shared" si="15"/>
        <v>0</v>
      </c>
      <c r="U80" s="101">
        <f t="shared" si="15"/>
        <v>0.43</v>
      </c>
      <c r="V80" s="71"/>
      <c r="W80" s="102">
        <f t="shared" si="16"/>
        <v>0</v>
      </c>
      <c r="X80" s="102">
        <f t="shared" si="16"/>
        <v>0</v>
      </c>
      <c r="Y80" s="90">
        <f t="shared" si="16"/>
        <v>3</v>
      </c>
      <c r="Z80" s="102">
        <f t="shared" si="16"/>
        <v>3</v>
      </c>
      <c r="AA80" s="101" t="str">
        <f t="shared" si="16"/>
        <v>EA</v>
      </c>
      <c r="AB80" s="71"/>
      <c r="AC80" s="91">
        <v>1</v>
      </c>
      <c r="AD80" s="91">
        <v>1</v>
      </c>
      <c r="AE80" s="92" t="str">
        <f t="shared" si="6"/>
        <v>ZD.7&gt;Running of kill string (without fuel)</v>
      </c>
      <c r="AF80" s="93">
        <f t="shared" si="14"/>
        <v>1.29</v>
      </c>
    </row>
    <row r="81" spans="1:32" ht="12.5">
      <c r="A81" s="28">
        <v>65</v>
      </c>
      <c r="B81" s="104" t="s">
        <v>90</v>
      </c>
      <c r="C81" s="95" t="str">
        <f t="shared" ref="C81:C112" si="17">INDEX(___ServicesMasterList_Symbol,MATCH($B81,___ServicesMasterList,0),1)</f>
        <v>BL-DI-DSS</v>
      </c>
      <c r="D81" s="105" t="s">
        <v>8</v>
      </c>
      <c r="E81" s="95" t="str">
        <f t="shared" si="4"/>
        <v>Fixed Cost</v>
      </c>
      <c r="F81" s="97">
        <f t="shared" si="5"/>
        <v>1</v>
      </c>
      <c r="G81" s="98"/>
      <c r="J81" s="83">
        <f t="shared" ref="J81:J144" si="18">INDEX(J$420:J$1632,MATCH($K81,$K$420:$K$1632,0)+MATCH("Option "&amp;$D$9,$K$420:$K$1230,0)-1,1)</f>
        <v>0</v>
      </c>
      <c r="K81" s="99">
        <v>65</v>
      </c>
      <c r="L81" s="100">
        <f t="shared" ref="L81:U96" si="19">INDEX(L$420:L$1632,MATCH($K81,$K$420:$K$1632,0)+MATCH("Option "&amp;$D$9,$K$420:$K$1230,0)-1,1)</f>
        <v>1</v>
      </c>
      <c r="M81" s="90" t="str">
        <f t="shared" si="19"/>
        <v>ZD.8&gt;Running of completion string (without fuel)</v>
      </c>
      <c r="N81" s="90">
        <f t="shared" si="19"/>
        <v>0</v>
      </c>
      <c r="O81" s="90">
        <f t="shared" si="19"/>
        <v>0</v>
      </c>
      <c r="P81" s="90">
        <f t="shared" si="19"/>
        <v>0</v>
      </c>
      <c r="Q81" s="90">
        <f t="shared" si="19"/>
        <v>0</v>
      </c>
      <c r="R81" s="90">
        <f t="shared" si="19"/>
        <v>0</v>
      </c>
      <c r="S81" s="90">
        <f t="shared" si="19"/>
        <v>0</v>
      </c>
      <c r="T81" s="90">
        <f t="shared" si="19"/>
        <v>0</v>
      </c>
      <c r="U81" s="101">
        <f t="shared" si="19"/>
        <v>3.6160000000000001</v>
      </c>
      <c r="V81" s="71"/>
      <c r="W81" s="102">
        <f t="shared" ref="W81:AA96" si="20">INDEX(W$420:W$1632,MATCH($K81,$K$420:$K$1632,0)+MATCH("Option "&amp;$D$9,$K$420:$K$1230,0)-1,1)</f>
        <v>0</v>
      </c>
      <c r="X81" s="102">
        <f t="shared" si="20"/>
        <v>0</v>
      </c>
      <c r="Y81" s="90">
        <f t="shared" si="20"/>
        <v>0</v>
      </c>
      <c r="Z81" s="102">
        <f t="shared" si="20"/>
        <v>0</v>
      </c>
      <c r="AA81" s="101" t="str">
        <f t="shared" si="20"/>
        <v>EA</v>
      </c>
      <c r="AB81" s="71"/>
      <c r="AC81" s="91">
        <v>1</v>
      </c>
      <c r="AD81" s="91">
        <v>1</v>
      </c>
      <c r="AE81" s="92" t="str">
        <f t="shared" si="6"/>
        <v>ZD.8&gt;Running of completion string (without fuel)</v>
      </c>
      <c r="AF81" s="93">
        <f t="shared" si="14"/>
        <v>0</v>
      </c>
    </row>
    <row r="82" spans="1:32" ht="12.5" outlineLevel="1">
      <c r="A82" s="28">
        <v>66</v>
      </c>
      <c r="B82" s="104" t="s">
        <v>91</v>
      </c>
      <c r="C82" s="95" t="str">
        <f t="shared" si="17"/>
        <v>BL-WPS-CPL</v>
      </c>
      <c r="D82" s="105" t="s">
        <v>8</v>
      </c>
      <c r="E82" s="95" t="str">
        <f t="shared" ref="E82:E145" si="21">IF(D82="lumpsum","Fixed Cost",IF(D82="per day","Variable Cost","None"))</f>
        <v>Fixed Cost</v>
      </c>
      <c r="F82" s="97">
        <f t="shared" ref="F82:F106" si="22">IF(C82="PTP",$C$14,$C$13)*(1-G82)</f>
        <v>1</v>
      </c>
      <c r="G82" s="98"/>
      <c r="J82" s="83">
        <f t="shared" si="18"/>
        <v>0</v>
      </c>
      <c r="K82" s="99">
        <v>66</v>
      </c>
      <c r="L82" s="100">
        <f t="shared" si="19"/>
        <v>1</v>
      </c>
      <c r="M82" s="90" t="str">
        <f t="shared" si="19"/>
        <v>ZD.9&gt;Wellhead and X-mas Tree installation service</v>
      </c>
      <c r="N82" s="90">
        <f t="shared" si="19"/>
        <v>0</v>
      </c>
      <c r="O82" s="90">
        <f t="shared" si="19"/>
        <v>0</v>
      </c>
      <c r="P82" s="90">
        <f t="shared" si="19"/>
        <v>0</v>
      </c>
      <c r="Q82" s="90">
        <f t="shared" si="19"/>
        <v>0</v>
      </c>
      <c r="R82" s="90">
        <f t="shared" si="19"/>
        <v>0</v>
      </c>
      <c r="S82" s="90">
        <f t="shared" si="19"/>
        <v>0</v>
      </c>
      <c r="T82" s="90">
        <f t="shared" si="19"/>
        <v>0</v>
      </c>
      <c r="U82" s="101">
        <f t="shared" si="19"/>
        <v>0</v>
      </c>
      <c r="V82" s="71"/>
      <c r="W82" s="102">
        <f t="shared" si="20"/>
        <v>0</v>
      </c>
      <c r="X82" s="102">
        <f t="shared" si="20"/>
        <v>0</v>
      </c>
      <c r="Y82" s="90">
        <f t="shared" si="20"/>
        <v>3</v>
      </c>
      <c r="Z82" s="102">
        <f t="shared" si="20"/>
        <v>3</v>
      </c>
      <c r="AA82" s="101" t="str">
        <f t="shared" si="20"/>
        <v>EA</v>
      </c>
      <c r="AB82" s="71"/>
      <c r="AC82" s="91">
        <v>1</v>
      </c>
      <c r="AD82" s="91">
        <v>1</v>
      </c>
      <c r="AE82" s="92" t="str">
        <f t="shared" si="6"/>
        <v>ZD.9&gt;Wellhead and X-mas Tree installation service</v>
      </c>
      <c r="AF82" s="93">
        <f t="shared" si="14"/>
        <v>0</v>
      </c>
    </row>
    <row r="83" spans="1:32" ht="12.5" outlineLevel="1">
      <c r="A83" s="28">
        <v>67</v>
      </c>
      <c r="B83" s="104" t="s">
        <v>92</v>
      </c>
      <c r="C83" s="95" t="str">
        <f t="shared" si="17"/>
        <v>Seg-None</v>
      </c>
      <c r="D83" s="105" t="s">
        <v>8</v>
      </c>
      <c r="E83" s="95" t="str">
        <f t="shared" si="21"/>
        <v>Fixed Cost</v>
      </c>
      <c r="F83" s="97">
        <f t="shared" si="22"/>
        <v>1</v>
      </c>
      <c r="G83" s="98"/>
      <c r="J83" s="83">
        <f t="shared" si="18"/>
        <v>0</v>
      </c>
      <c r="K83" s="99">
        <v>67</v>
      </c>
      <c r="L83" s="100">
        <f t="shared" si="19"/>
        <v>1</v>
      </c>
      <c r="M83" s="90">
        <f t="shared" si="19"/>
        <v>0</v>
      </c>
      <c r="N83" s="90">
        <f t="shared" si="19"/>
        <v>0</v>
      </c>
      <c r="O83" s="90">
        <f t="shared" si="19"/>
        <v>0</v>
      </c>
      <c r="P83" s="90">
        <f t="shared" si="19"/>
        <v>0</v>
      </c>
      <c r="Q83" s="90">
        <f t="shared" si="19"/>
        <v>0</v>
      </c>
      <c r="R83" s="90">
        <f t="shared" si="19"/>
        <v>0</v>
      </c>
      <c r="S83" s="90">
        <f t="shared" si="19"/>
        <v>0</v>
      </c>
      <c r="T83" s="90">
        <f t="shared" si="19"/>
        <v>0</v>
      </c>
      <c r="U83" s="101">
        <f t="shared" si="19"/>
        <v>0</v>
      </c>
      <c r="V83" s="71"/>
      <c r="W83" s="102">
        <f t="shared" si="20"/>
        <v>0</v>
      </c>
      <c r="X83" s="102">
        <f t="shared" si="20"/>
        <v>0</v>
      </c>
      <c r="Y83" s="90">
        <f t="shared" si="20"/>
        <v>0</v>
      </c>
      <c r="Z83" s="102">
        <f t="shared" si="20"/>
        <v>0</v>
      </c>
      <c r="AA83" s="101">
        <f t="shared" si="20"/>
        <v>0</v>
      </c>
      <c r="AB83" s="71"/>
      <c r="AC83" s="91">
        <v>1</v>
      </c>
      <c r="AD83" s="91">
        <v>1</v>
      </c>
      <c r="AE83" s="92">
        <f t="shared" si="6"/>
        <v>0</v>
      </c>
      <c r="AF83" s="93">
        <f t="shared" si="14"/>
        <v>0</v>
      </c>
    </row>
    <row r="84" spans="1:32" ht="12.5" outlineLevel="1">
      <c r="A84" s="28">
        <v>68</v>
      </c>
      <c r="B84" s="104" t="s">
        <v>92</v>
      </c>
      <c r="C84" s="95" t="str">
        <f t="shared" si="17"/>
        <v>Seg-None</v>
      </c>
      <c r="D84" s="105" t="s">
        <v>8</v>
      </c>
      <c r="E84" s="95" t="str">
        <f t="shared" si="21"/>
        <v>Fixed Cost</v>
      </c>
      <c r="F84" s="97">
        <f t="shared" si="22"/>
        <v>1</v>
      </c>
      <c r="G84" s="98"/>
      <c r="J84" s="83">
        <f t="shared" si="18"/>
        <v>0</v>
      </c>
      <c r="K84" s="99">
        <v>68</v>
      </c>
      <c r="L84" s="100">
        <f t="shared" si="19"/>
        <v>1</v>
      </c>
      <c r="M84" s="90">
        <f t="shared" si="19"/>
        <v>0</v>
      </c>
      <c r="N84" s="90">
        <f t="shared" si="19"/>
        <v>0</v>
      </c>
      <c r="O84" s="90">
        <f t="shared" si="19"/>
        <v>0</v>
      </c>
      <c r="P84" s="90">
        <f t="shared" si="19"/>
        <v>0</v>
      </c>
      <c r="Q84" s="90">
        <f t="shared" si="19"/>
        <v>0</v>
      </c>
      <c r="R84" s="90">
        <f t="shared" si="19"/>
        <v>0</v>
      </c>
      <c r="S84" s="90">
        <f t="shared" si="19"/>
        <v>0</v>
      </c>
      <c r="T84" s="90">
        <f t="shared" si="19"/>
        <v>0</v>
      </c>
      <c r="U84" s="101">
        <f t="shared" si="19"/>
        <v>0</v>
      </c>
      <c r="V84" s="71"/>
      <c r="W84" s="102">
        <f t="shared" si="20"/>
        <v>0</v>
      </c>
      <c r="X84" s="102">
        <f t="shared" si="20"/>
        <v>0</v>
      </c>
      <c r="Y84" s="90">
        <f t="shared" si="20"/>
        <v>0</v>
      </c>
      <c r="Z84" s="102">
        <f t="shared" si="20"/>
        <v>0</v>
      </c>
      <c r="AA84" s="101">
        <f t="shared" si="20"/>
        <v>0</v>
      </c>
      <c r="AB84" s="71"/>
      <c r="AC84" s="91">
        <v>1</v>
      </c>
      <c r="AD84" s="91">
        <v>1</v>
      </c>
      <c r="AE84" s="92">
        <f t="shared" si="6"/>
        <v>0</v>
      </c>
      <c r="AF84" s="93">
        <f t="shared" si="14"/>
        <v>0</v>
      </c>
    </row>
    <row r="85" spans="1:32" ht="12.5" outlineLevel="1">
      <c r="A85" s="28">
        <v>69</v>
      </c>
      <c r="B85" s="104" t="s">
        <v>92</v>
      </c>
      <c r="C85" s="95" t="str">
        <f t="shared" si="17"/>
        <v>Seg-None</v>
      </c>
      <c r="D85" s="105" t="s">
        <v>8</v>
      </c>
      <c r="E85" s="95" t="str">
        <f t="shared" si="21"/>
        <v>Fixed Cost</v>
      </c>
      <c r="F85" s="97">
        <f t="shared" si="22"/>
        <v>1</v>
      </c>
      <c r="G85" s="98"/>
      <c r="J85" s="83">
        <f t="shared" si="18"/>
        <v>0</v>
      </c>
      <c r="K85" s="99">
        <v>69</v>
      </c>
      <c r="L85" s="100">
        <f t="shared" si="19"/>
        <v>1</v>
      </c>
      <c r="M85" s="90">
        <f t="shared" si="19"/>
        <v>0</v>
      </c>
      <c r="N85" s="90">
        <f t="shared" si="19"/>
        <v>0</v>
      </c>
      <c r="O85" s="90">
        <f t="shared" si="19"/>
        <v>0</v>
      </c>
      <c r="P85" s="90">
        <f t="shared" si="19"/>
        <v>0</v>
      </c>
      <c r="Q85" s="90">
        <f t="shared" si="19"/>
        <v>0</v>
      </c>
      <c r="R85" s="90">
        <f t="shared" si="19"/>
        <v>0</v>
      </c>
      <c r="S85" s="90">
        <f t="shared" si="19"/>
        <v>0</v>
      </c>
      <c r="T85" s="90">
        <f t="shared" si="19"/>
        <v>0</v>
      </c>
      <c r="U85" s="101">
        <f t="shared" si="19"/>
        <v>0</v>
      </c>
      <c r="V85" s="71"/>
      <c r="W85" s="102">
        <f t="shared" si="20"/>
        <v>0</v>
      </c>
      <c r="X85" s="102">
        <f t="shared" si="20"/>
        <v>0</v>
      </c>
      <c r="Y85" s="90">
        <f t="shared" si="20"/>
        <v>0</v>
      </c>
      <c r="Z85" s="102">
        <f t="shared" si="20"/>
        <v>0</v>
      </c>
      <c r="AA85" s="101">
        <f t="shared" si="20"/>
        <v>0</v>
      </c>
      <c r="AB85" s="71"/>
      <c r="AC85" s="91">
        <v>1</v>
      </c>
      <c r="AD85" s="91">
        <v>1</v>
      </c>
      <c r="AE85" s="92">
        <f t="shared" si="6"/>
        <v>0</v>
      </c>
      <c r="AF85" s="93">
        <f t="shared" si="14"/>
        <v>0</v>
      </c>
    </row>
    <row r="86" spans="1:32" ht="13" outlineLevel="1" thickBot="1">
      <c r="A86" s="28">
        <v>70</v>
      </c>
      <c r="B86" s="106" t="s">
        <v>92</v>
      </c>
      <c r="C86" s="107" t="str">
        <f t="shared" si="17"/>
        <v>Seg-None</v>
      </c>
      <c r="D86" s="108" t="s">
        <v>8</v>
      </c>
      <c r="E86" s="107" t="str">
        <f t="shared" si="21"/>
        <v>Fixed Cost</v>
      </c>
      <c r="F86" s="109">
        <f t="shared" si="22"/>
        <v>1</v>
      </c>
      <c r="G86" s="110"/>
      <c r="J86" s="83">
        <f t="shared" si="18"/>
        <v>0</v>
      </c>
      <c r="K86" s="99">
        <v>70</v>
      </c>
      <c r="L86" s="100">
        <f t="shared" si="19"/>
        <v>1</v>
      </c>
      <c r="M86" s="90">
        <f t="shared" si="19"/>
        <v>0</v>
      </c>
      <c r="N86" s="90">
        <f t="shared" si="19"/>
        <v>0</v>
      </c>
      <c r="O86" s="90">
        <f t="shared" si="19"/>
        <v>0</v>
      </c>
      <c r="P86" s="90">
        <f t="shared" si="19"/>
        <v>0</v>
      </c>
      <c r="Q86" s="90">
        <f t="shared" si="19"/>
        <v>0</v>
      </c>
      <c r="R86" s="90">
        <f t="shared" si="19"/>
        <v>0</v>
      </c>
      <c r="S86" s="90">
        <f t="shared" si="19"/>
        <v>0</v>
      </c>
      <c r="T86" s="90">
        <f t="shared" si="19"/>
        <v>0</v>
      </c>
      <c r="U86" s="101">
        <f t="shared" si="19"/>
        <v>0</v>
      </c>
      <c r="V86" s="71"/>
      <c r="W86" s="102">
        <f t="shared" si="20"/>
        <v>0</v>
      </c>
      <c r="X86" s="102">
        <f t="shared" si="20"/>
        <v>0</v>
      </c>
      <c r="Y86" s="90">
        <f t="shared" si="20"/>
        <v>0</v>
      </c>
      <c r="Z86" s="102">
        <f t="shared" si="20"/>
        <v>0</v>
      </c>
      <c r="AA86" s="101">
        <f t="shared" si="20"/>
        <v>0</v>
      </c>
      <c r="AB86" s="71"/>
      <c r="AC86" s="91">
        <v>1</v>
      </c>
      <c r="AD86" s="91">
        <v>1</v>
      </c>
      <c r="AE86" s="92">
        <f t="shared" si="6"/>
        <v>0</v>
      </c>
      <c r="AF86" s="93">
        <f t="shared" si="14"/>
        <v>0</v>
      </c>
    </row>
    <row r="87" spans="1:32" ht="12.5">
      <c r="A87" s="28">
        <v>71</v>
      </c>
      <c r="B87" s="111" t="s">
        <v>95</v>
      </c>
      <c r="C87" s="112" t="str">
        <f t="shared" si="17"/>
        <v>PTP-Mob</v>
      </c>
      <c r="D87" s="113" t="s">
        <v>11</v>
      </c>
      <c r="E87" s="112" t="str">
        <f t="shared" si="21"/>
        <v>Variable Cost</v>
      </c>
      <c r="F87" s="114">
        <f t="shared" ref="F87:F166" si="23">$C$14</f>
        <v>1.1499999999999999</v>
      </c>
      <c r="G87" s="115"/>
      <c r="J87" s="83">
        <f t="shared" si="18"/>
        <v>0</v>
      </c>
      <c r="K87" s="99">
        <v>71</v>
      </c>
      <c r="L87" s="100">
        <f t="shared" si="19"/>
        <v>1</v>
      </c>
      <c r="M87" s="90">
        <f t="shared" si="19"/>
        <v>0</v>
      </c>
      <c r="N87" s="90">
        <f t="shared" si="19"/>
        <v>0</v>
      </c>
      <c r="O87" s="90">
        <f t="shared" si="19"/>
        <v>0</v>
      </c>
      <c r="P87" s="90">
        <f t="shared" si="19"/>
        <v>0</v>
      </c>
      <c r="Q87" s="90">
        <f t="shared" si="19"/>
        <v>0</v>
      </c>
      <c r="R87" s="90">
        <f t="shared" si="19"/>
        <v>0</v>
      </c>
      <c r="S87" s="90">
        <f t="shared" si="19"/>
        <v>0</v>
      </c>
      <c r="T87" s="90">
        <f t="shared" si="19"/>
        <v>0</v>
      </c>
      <c r="U87" s="101">
        <f t="shared" si="19"/>
        <v>0</v>
      </c>
      <c r="V87" s="71"/>
      <c r="W87" s="102">
        <f t="shared" si="20"/>
        <v>0</v>
      </c>
      <c r="X87" s="102">
        <f t="shared" si="20"/>
        <v>0</v>
      </c>
      <c r="Y87" s="90">
        <f t="shared" si="20"/>
        <v>0</v>
      </c>
      <c r="Z87" s="102">
        <f t="shared" si="20"/>
        <v>0</v>
      </c>
      <c r="AA87" s="101">
        <f t="shared" si="20"/>
        <v>0</v>
      </c>
      <c r="AB87" s="71"/>
      <c r="AC87" s="91">
        <v>1</v>
      </c>
      <c r="AD87" s="91">
        <v>1</v>
      </c>
      <c r="AE87" s="92">
        <f t="shared" si="6"/>
        <v>0</v>
      </c>
      <c r="AF87" s="93">
        <f t="shared" si="14"/>
        <v>0</v>
      </c>
    </row>
    <row r="88" spans="1:32" ht="12.5">
      <c r="A88" s="28">
        <v>72</v>
      </c>
      <c r="B88" s="104" t="s">
        <v>97</v>
      </c>
      <c r="C88" s="116" t="str">
        <f t="shared" si="17"/>
        <v>PTP-Rig</v>
      </c>
      <c r="D88" s="117" t="s">
        <v>8</v>
      </c>
      <c r="E88" s="116" t="str">
        <f t="shared" si="21"/>
        <v>Fixed Cost</v>
      </c>
      <c r="F88" s="118">
        <f t="shared" si="23"/>
        <v>1.1499999999999999</v>
      </c>
      <c r="G88" s="119"/>
      <c r="J88" s="83">
        <f t="shared" si="18"/>
        <v>0</v>
      </c>
      <c r="K88" s="99">
        <v>72</v>
      </c>
      <c r="L88" s="100">
        <f t="shared" si="19"/>
        <v>1</v>
      </c>
      <c r="M88" s="90">
        <f t="shared" si="19"/>
        <v>0</v>
      </c>
      <c r="N88" s="90">
        <f t="shared" si="19"/>
        <v>0</v>
      </c>
      <c r="O88" s="90">
        <f t="shared" si="19"/>
        <v>0</v>
      </c>
      <c r="P88" s="90">
        <f t="shared" si="19"/>
        <v>0</v>
      </c>
      <c r="Q88" s="90">
        <f t="shared" si="19"/>
        <v>0</v>
      </c>
      <c r="R88" s="90">
        <f t="shared" si="19"/>
        <v>0</v>
      </c>
      <c r="S88" s="90">
        <f t="shared" si="19"/>
        <v>0</v>
      </c>
      <c r="T88" s="90">
        <f t="shared" si="19"/>
        <v>0</v>
      </c>
      <c r="U88" s="101">
        <f t="shared" si="19"/>
        <v>0</v>
      </c>
      <c r="V88" s="71"/>
      <c r="W88" s="102">
        <f t="shared" si="20"/>
        <v>0</v>
      </c>
      <c r="X88" s="102">
        <f t="shared" si="20"/>
        <v>0</v>
      </c>
      <c r="Y88" s="90">
        <f t="shared" si="20"/>
        <v>0</v>
      </c>
      <c r="Z88" s="102">
        <f t="shared" si="20"/>
        <v>0</v>
      </c>
      <c r="AA88" s="101">
        <f t="shared" si="20"/>
        <v>0</v>
      </c>
      <c r="AB88" s="71"/>
      <c r="AC88" s="91">
        <v>1</v>
      </c>
      <c r="AD88" s="91">
        <v>1</v>
      </c>
      <c r="AE88" s="92">
        <f t="shared" si="6"/>
        <v>0</v>
      </c>
      <c r="AF88" s="93">
        <f t="shared" si="14"/>
        <v>0</v>
      </c>
    </row>
    <row r="89" spans="1:32" ht="12.5">
      <c r="A89" s="28">
        <v>73</v>
      </c>
      <c r="B89" s="104" t="s">
        <v>99</v>
      </c>
      <c r="C89" s="116" t="str">
        <f t="shared" si="17"/>
        <v>PTP-Rig</v>
      </c>
      <c r="D89" s="117" t="s">
        <v>8</v>
      </c>
      <c r="E89" s="116" t="str">
        <f t="shared" si="21"/>
        <v>Fixed Cost</v>
      </c>
      <c r="F89" s="118">
        <f t="shared" si="23"/>
        <v>1.1499999999999999</v>
      </c>
      <c r="G89" s="119"/>
      <c r="J89" s="83">
        <f t="shared" si="18"/>
        <v>0</v>
      </c>
      <c r="K89" s="99">
        <v>73</v>
      </c>
      <c r="L89" s="100">
        <f t="shared" si="19"/>
        <v>1</v>
      </c>
      <c r="M89" s="90">
        <f t="shared" si="19"/>
        <v>0</v>
      </c>
      <c r="N89" s="90">
        <f t="shared" si="19"/>
        <v>0</v>
      </c>
      <c r="O89" s="90">
        <f t="shared" si="19"/>
        <v>0</v>
      </c>
      <c r="P89" s="90">
        <f t="shared" si="19"/>
        <v>0</v>
      </c>
      <c r="Q89" s="90">
        <f t="shared" si="19"/>
        <v>0</v>
      </c>
      <c r="R89" s="90">
        <f t="shared" si="19"/>
        <v>0</v>
      </c>
      <c r="S89" s="90">
        <f t="shared" si="19"/>
        <v>0</v>
      </c>
      <c r="T89" s="90">
        <f t="shared" si="19"/>
        <v>0</v>
      </c>
      <c r="U89" s="101">
        <f t="shared" si="19"/>
        <v>0</v>
      </c>
      <c r="V89" s="71"/>
      <c r="W89" s="102">
        <f t="shared" si="20"/>
        <v>0</v>
      </c>
      <c r="X89" s="102">
        <f t="shared" si="20"/>
        <v>0</v>
      </c>
      <c r="Y89" s="90">
        <f t="shared" si="20"/>
        <v>0</v>
      </c>
      <c r="Z89" s="102">
        <f t="shared" si="20"/>
        <v>0</v>
      </c>
      <c r="AA89" s="101">
        <f t="shared" si="20"/>
        <v>0</v>
      </c>
      <c r="AB89" s="71"/>
      <c r="AC89" s="91">
        <v>1</v>
      </c>
      <c r="AD89" s="91">
        <v>1</v>
      </c>
      <c r="AE89" s="92">
        <f t="shared" si="6"/>
        <v>0</v>
      </c>
      <c r="AF89" s="93">
        <f t="shared" si="14"/>
        <v>0</v>
      </c>
    </row>
    <row r="90" spans="1:32" ht="12.5">
      <c r="A90" s="28">
        <v>74</v>
      </c>
      <c r="B90" s="104" t="s">
        <v>100</v>
      </c>
      <c r="C90" s="116" t="str">
        <f t="shared" si="17"/>
        <v>PTP-Rig</v>
      </c>
      <c r="D90" s="117" t="s">
        <v>11</v>
      </c>
      <c r="E90" s="116" t="str">
        <f t="shared" si="21"/>
        <v>Variable Cost</v>
      </c>
      <c r="F90" s="118">
        <f t="shared" si="23"/>
        <v>1.1499999999999999</v>
      </c>
      <c r="G90" s="119"/>
      <c r="J90" s="83">
        <f t="shared" si="18"/>
        <v>0</v>
      </c>
      <c r="K90" s="99">
        <v>74</v>
      </c>
      <c r="L90" s="100">
        <f t="shared" si="19"/>
        <v>1</v>
      </c>
      <c r="M90" s="90">
        <f t="shared" si="19"/>
        <v>0</v>
      </c>
      <c r="N90" s="90">
        <f t="shared" si="19"/>
        <v>0</v>
      </c>
      <c r="O90" s="90">
        <f t="shared" si="19"/>
        <v>0</v>
      </c>
      <c r="P90" s="90">
        <f t="shared" si="19"/>
        <v>0</v>
      </c>
      <c r="Q90" s="90">
        <f t="shared" si="19"/>
        <v>0</v>
      </c>
      <c r="R90" s="90">
        <f t="shared" si="19"/>
        <v>0</v>
      </c>
      <c r="S90" s="90">
        <f t="shared" si="19"/>
        <v>0</v>
      </c>
      <c r="T90" s="90">
        <f t="shared" si="19"/>
        <v>0</v>
      </c>
      <c r="U90" s="101">
        <f t="shared" si="19"/>
        <v>0</v>
      </c>
      <c r="V90" s="71"/>
      <c r="W90" s="102">
        <f t="shared" si="20"/>
        <v>0</v>
      </c>
      <c r="X90" s="102">
        <f t="shared" si="20"/>
        <v>0</v>
      </c>
      <c r="Y90" s="90">
        <f t="shared" si="20"/>
        <v>0</v>
      </c>
      <c r="Z90" s="102">
        <f t="shared" si="20"/>
        <v>0</v>
      </c>
      <c r="AA90" s="101">
        <f t="shared" si="20"/>
        <v>0</v>
      </c>
      <c r="AB90" s="71"/>
      <c r="AC90" s="91">
        <v>1</v>
      </c>
      <c r="AD90" s="91">
        <v>1</v>
      </c>
      <c r="AE90" s="92">
        <f t="shared" si="6"/>
        <v>0</v>
      </c>
      <c r="AF90" s="93">
        <f t="shared" si="14"/>
        <v>0</v>
      </c>
    </row>
    <row r="91" spans="1:32" ht="12.5">
      <c r="A91" s="28">
        <v>75</v>
      </c>
      <c r="B91" s="104" t="s">
        <v>101</v>
      </c>
      <c r="C91" s="116" t="str">
        <f t="shared" si="17"/>
        <v>PTP-Rig</v>
      </c>
      <c r="D91" s="117" t="s">
        <v>11</v>
      </c>
      <c r="E91" s="116" t="str">
        <f t="shared" si="21"/>
        <v>Variable Cost</v>
      </c>
      <c r="F91" s="118">
        <f t="shared" si="23"/>
        <v>1.1499999999999999</v>
      </c>
      <c r="G91" s="119"/>
      <c r="J91" s="83">
        <f t="shared" si="18"/>
        <v>0</v>
      </c>
      <c r="K91" s="99">
        <v>75</v>
      </c>
      <c r="L91" s="100">
        <f t="shared" si="19"/>
        <v>1</v>
      </c>
      <c r="M91" s="90">
        <f t="shared" si="19"/>
        <v>0</v>
      </c>
      <c r="N91" s="90">
        <f t="shared" si="19"/>
        <v>0</v>
      </c>
      <c r="O91" s="90">
        <f t="shared" si="19"/>
        <v>0</v>
      </c>
      <c r="P91" s="90">
        <f t="shared" si="19"/>
        <v>0</v>
      </c>
      <c r="Q91" s="90">
        <f t="shared" si="19"/>
        <v>0</v>
      </c>
      <c r="R91" s="90">
        <f t="shared" si="19"/>
        <v>0</v>
      </c>
      <c r="S91" s="90">
        <f t="shared" si="19"/>
        <v>0</v>
      </c>
      <c r="T91" s="90">
        <f t="shared" si="19"/>
        <v>0</v>
      </c>
      <c r="U91" s="101">
        <f t="shared" si="19"/>
        <v>0</v>
      </c>
      <c r="V91" s="71"/>
      <c r="W91" s="102">
        <f t="shared" si="20"/>
        <v>0</v>
      </c>
      <c r="X91" s="102">
        <f t="shared" si="20"/>
        <v>0</v>
      </c>
      <c r="Y91" s="90">
        <f t="shared" si="20"/>
        <v>0</v>
      </c>
      <c r="Z91" s="102">
        <f t="shared" si="20"/>
        <v>0</v>
      </c>
      <c r="AA91" s="101">
        <f t="shared" si="20"/>
        <v>0</v>
      </c>
      <c r="AB91" s="71"/>
      <c r="AC91" s="91">
        <v>1</v>
      </c>
      <c r="AD91" s="91">
        <v>1</v>
      </c>
      <c r="AE91" s="92">
        <f t="shared" si="6"/>
        <v>0</v>
      </c>
      <c r="AF91" s="93">
        <f t="shared" si="14"/>
        <v>0</v>
      </c>
    </row>
    <row r="92" spans="1:32" ht="12.5">
      <c r="A92" s="28">
        <v>76</v>
      </c>
      <c r="B92" s="104" t="s">
        <v>102</v>
      </c>
      <c r="C92" s="116" t="str">
        <f t="shared" si="17"/>
        <v>PTP-Rig</v>
      </c>
      <c r="D92" s="117" t="s">
        <v>11</v>
      </c>
      <c r="E92" s="116" t="str">
        <f t="shared" si="21"/>
        <v>Variable Cost</v>
      </c>
      <c r="F92" s="118">
        <f t="shared" si="23"/>
        <v>1.1499999999999999</v>
      </c>
      <c r="G92" s="119"/>
      <c r="J92" s="83">
        <f t="shared" si="18"/>
        <v>0</v>
      </c>
      <c r="K92" s="99">
        <v>76</v>
      </c>
      <c r="L92" s="100">
        <f t="shared" si="19"/>
        <v>1</v>
      </c>
      <c r="M92" s="90">
        <f t="shared" si="19"/>
        <v>0</v>
      </c>
      <c r="N92" s="90">
        <f t="shared" si="19"/>
        <v>0</v>
      </c>
      <c r="O92" s="90">
        <f t="shared" si="19"/>
        <v>0</v>
      </c>
      <c r="P92" s="90">
        <f t="shared" si="19"/>
        <v>0</v>
      </c>
      <c r="Q92" s="90">
        <f t="shared" si="19"/>
        <v>0</v>
      </c>
      <c r="R92" s="90">
        <f t="shared" si="19"/>
        <v>0</v>
      </c>
      <c r="S92" s="90">
        <f t="shared" si="19"/>
        <v>0</v>
      </c>
      <c r="T92" s="90">
        <f t="shared" si="19"/>
        <v>0</v>
      </c>
      <c r="U92" s="101">
        <f t="shared" si="19"/>
        <v>0</v>
      </c>
      <c r="V92" s="71"/>
      <c r="W92" s="102">
        <f t="shared" si="20"/>
        <v>0</v>
      </c>
      <c r="X92" s="102">
        <f t="shared" si="20"/>
        <v>0</v>
      </c>
      <c r="Y92" s="90">
        <f t="shared" si="20"/>
        <v>0</v>
      </c>
      <c r="Z92" s="102">
        <f t="shared" si="20"/>
        <v>0</v>
      </c>
      <c r="AA92" s="101">
        <f t="shared" si="20"/>
        <v>0</v>
      </c>
      <c r="AB92" s="71"/>
      <c r="AC92" s="91">
        <v>1</v>
      </c>
      <c r="AD92" s="91">
        <v>1</v>
      </c>
      <c r="AE92" s="92">
        <f t="shared" si="6"/>
        <v>0</v>
      </c>
      <c r="AF92" s="93">
        <f t="shared" si="14"/>
        <v>0</v>
      </c>
    </row>
    <row r="93" spans="1:32" ht="12.5">
      <c r="A93" s="28">
        <v>77</v>
      </c>
      <c r="B93" s="104" t="s">
        <v>103</v>
      </c>
      <c r="C93" s="116" t="str">
        <f t="shared" si="17"/>
        <v>PTP-Rig</v>
      </c>
      <c r="D93" s="117" t="s">
        <v>8</v>
      </c>
      <c r="E93" s="116" t="str">
        <f t="shared" si="21"/>
        <v>Fixed Cost</v>
      </c>
      <c r="F93" s="118">
        <f t="shared" si="23"/>
        <v>1.1499999999999999</v>
      </c>
      <c r="G93" s="119"/>
      <c r="J93" s="83">
        <f t="shared" si="18"/>
        <v>0</v>
      </c>
      <c r="K93" s="99">
        <v>77</v>
      </c>
      <c r="L93" s="100">
        <f t="shared" si="19"/>
        <v>1</v>
      </c>
      <c r="M93" s="90">
        <f t="shared" si="19"/>
        <v>0</v>
      </c>
      <c r="N93" s="90">
        <f t="shared" si="19"/>
        <v>0</v>
      </c>
      <c r="O93" s="90">
        <f t="shared" si="19"/>
        <v>0</v>
      </c>
      <c r="P93" s="90">
        <f t="shared" si="19"/>
        <v>0</v>
      </c>
      <c r="Q93" s="90">
        <f t="shared" si="19"/>
        <v>0</v>
      </c>
      <c r="R93" s="90">
        <f t="shared" si="19"/>
        <v>0</v>
      </c>
      <c r="S93" s="90">
        <f t="shared" si="19"/>
        <v>0</v>
      </c>
      <c r="T93" s="90">
        <f t="shared" si="19"/>
        <v>0</v>
      </c>
      <c r="U93" s="101">
        <f t="shared" si="19"/>
        <v>0</v>
      </c>
      <c r="V93" s="71"/>
      <c r="W93" s="102">
        <f t="shared" si="20"/>
        <v>0</v>
      </c>
      <c r="X93" s="102">
        <f t="shared" si="20"/>
        <v>0</v>
      </c>
      <c r="Y93" s="90">
        <f t="shared" si="20"/>
        <v>0</v>
      </c>
      <c r="Z93" s="102">
        <f t="shared" si="20"/>
        <v>0</v>
      </c>
      <c r="AA93" s="101">
        <f t="shared" si="20"/>
        <v>0</v>
      </c>
      <c r="AB93" s="71"/>
      <c r="AC93" s="91">
        <v>1</v>
      </c>
      <c r="AD93" s="91">
        <v>1</v>
      </c>
      <c r="AE93" s="92">
        <f t="shared" si="6"/>
        <v>0</v>
      </c>
      <c r="AF93" s="93">
        <f t="shared" si="14"/>
        <v>0</v>
      </c>
    </row>
    <row r="94" spans="1:32" ht="12.5">
      <c r="A94" s="28">
        <v>78</v>
      </c>
      <c r="B94" s="104" t="s">
        <v>104</v>
      </c>
      <c r="C94" s="116" t="str">
        <f t="shared" si="17"/>
        <v>PTP-Rig</v>
      </c>
      <c r="D94" s="117" t="s">
        <v>8</v>
      </c>
      <c r="E94" s="116" t="str">
        <f t="shared" si="21"/>
        <v>Fixed Cost</v>
      </c>
      <c r="F94" s="118">
        <f t="shared" si="23"/>
        <v>1.1499999999999999</v>
      </c>
      <c r="G94" s="119"/>
      <c r="J94" s="83">
        <f t="shared" si="18"/>
        <v>0</v>
      </c>
      <c r="K94" s="99">
        <v>78</v>
      </c>
      <c r="L94" s="100">
        <f t="shared" si="19"/>
        <v>1</v>
      </c>
      <c r="M94" s="90">
        <f t="shared" si="19"/>
        <v>0</v>
      </c>
      <c r="N94" s="90">
        <f t="shared" si="19"/>
        <v>0</v>
      </c>
      <c r="O94" s="90">
        <f t="shared" si="19"/>
        <v>0</v>
      </c>
      <c r="P94" s="90">
        <f t="shared" si="19"/>
        <v>0</v>
      </c>
      <c r="Q94" s="90">
        <f t="shared" si="19"/>
        <v>0</v>
      </c>
      <c r="R94" s="90">
        <f t="shared" si="19"/>
        <v>0</v>
      </c>
      <c r="S94" s="90">
        <f t="shared" si="19"/>
        <v>0</v>
      </c>
      <c r="T94" s="90">
        <f t="shared" si="19"/>
        <v>0</v>
      </c>
      <c r="U94" s="101">
        <f t="shared" si="19"/>
        <v>0</v>
      </c>
      <c r="V94" s="71"/>
      <c r="W94" s="102">
        <f t="shared" si="20"/>
        <v>0</v>
      </c>
      <c r="X94" s="102">
        <f t="shared" si="20"/>
        <v>0</v>
      </c>
      <c r="Y94" s="90">
        <f t="shared" si="20"/>
        <v>0</v>
      </c>
      <c r="Z94" s="102">
        <f t="shared" si="20"/>
        <v>0</v>
      </c>
      <c r="AA94" s="101">
        <f t="shared" si="20"/>
        <v>0</v>
      </c>
      <c r="AB94" s="71"/>
      <c r="AC94" s="91">
        <v>1</v>
      </c>
      <c r="AD94" s="91">
        <v>1</v>
      </c>
      <c r="AE94" s="92">
        <f t="shared" si="6"/>
        <v>0</v>
      </c>
      <c r="AF94" s="93">
        <f t="shared" si="14"/>
        <v>0</v>
      </c>
    </row>
    <row r="95" spans="1:32" ht="12.5">
      <c r="A95" s="28">
        <v>79</v>
      </c>
      <c r="B95" s="104" t="s">
        <v>105</v>
      </c>
      <c r="C95" s="116" t="str">
        <f t="shared" si="17"/>
        <v>PTP-Rig</v>
      </c>
      <c r="D95" s="117" t="s">
        <v>8</v>
      </c>
      <c r="E95" s="116" t="str">
        <f t="shared" si="21"/>
        <v>Fixed Cost</v>
      </c>
      <c r="F95" s="118">
        <f t="shared" si="23"/>
        <v>1.1499999999999999</v>
      </c>
      <c r="G95" s="119"/>
      <c r="J95" s="83">
        <f t="shared" si="18"/>
        <v>0</v>
      </c>
      <c r="K95" s="99">
        <v>79</v>
      </c>
      <c r="L95" s="100">
        <f t="shared" si="19"/>
        <v>1</v>
      </c>
      <c r="M95" s="90">
        <f t="shared" si="19"/>
        <v>0</v>
      </c>
      <c r="N95" s="90">
        <f t="shared" si="19"/>
        <v>0</v>
      </c>
      <c r="O95" s="90">
        <f t="shared" si="19"/>
        <v>0</v>
      </c>
      <c r="P95" s="90">
        <f t="shared" si="19"/>
        <v>0</v>
      </c>
      <c r="Q95" s="90">
        <f t="shared" si="19"/>
        <v>0</v>
      </c>
      <c r="R95" s="90">
        <f t="shared" si="19"/>
        <v>0</v>
      </c>
      <c r="S95" s="90">
        <f t="shared" si="19"/>
        <v>0</v>
      </c>
      <c r="T95" s="90">
        <f t="shared" si="19"/>
        <v>0</v>
      </c>
      <c r="U95" s="101">
        <f t="shared" si="19"/>
        <v>0</v>
      </c>
      <c r="V95" s="71"/>
      <c r="W95" s="102">
        <f t="shared" si="20"/>
        <v>0</v>
      </c>
      <c r="X95" s="102">
        <f t="shared" si="20"/>
        <v>0</v>
      </c>
      <c r="Y95" s="90">
        <f t="shared" si="20"/>
        <v>0</v>
      </c>
      <c r="Z95" s="102">
        <f t="shared" si="20"/>
        <v>0</v>
      </c>
      <c r="AA95" s="101">
        <f t="shared" si="20"/>
        <v>0</v>
      </c>
      <c r="AB95" s="71"/>
      <c r="AC95" s="91">
        <v>1</v>
      </c>
      <c r="AD95" s="91">
        <v>1</v>
      </c>
      <c r="AE95" s="92">
        <f t="shared" si="6"/>
        <v>0</v>
      </c>
      <c r="AF95" s="93">
        <f t="shared" si="14"/>
        <v>0</v>
      </c>
    </row>
    <row r="96" spans="1:32" ht="12.5">
      <c r="A96" s="28">
        <v>80</v>
      </c>
      <c r="B96" s="104" t="s">
        <v>106</v>
      </c>
      <c r="C96" s="116" t="str">
        <f t="shared" si="17"/>
        <v>PTP-Rig</v>
      </c>
      <c r="D96" s="117" t="s">
        <v>8</v>
      </c>
      <c r="E96" s="116" t="str">
        <f t="shared" si="21"/>
        <v>Fixed Cost</v>
      </c>
      <c r="F96" s="118">
        <f t="shared" si="23"/>
        <v>1.1499999999999999</v>
      </c>
      <c r="G96" s="119"/>
      <c r="J96" s="83">
        <f t="shared" si="18"/>
        <v>0</v>
      </c>
      <c r="K96" s="99">
        <v>80</v>
      </c>
      <c r="L96" s="100">
        <f t="shared" si="19"/>
        <v>1</v>
      </c>
      <c r="M96" s="90">
        <f t="shared" si="19"/>
        <v>0</v>
      </c>
      <c r="N96" s="90">
        <f t="shared" si="19"/>
        <v>0</v>
      </c>
      <c r="O96" s="90">
        <f t="shared" si="19"/>
        <v>0</v>
      </c>
      <c r="P96" s="90">
        <f t="shared" si="19"/>
        <v>0</v>
      </c>
      <c r="Q96" s="90">
        <f t="shared" si="19"/>
        <v>0</v>
      </c>
      <c r="R96" s="90">
        <f t="shared" si="19"/>
        <v>0</v>
      </c>
      <c r="S96" s="90">
        <f t="shared" si="19"/>
        <v>0</v>
      </c>
      <c r="T96" s="90">
        <f t="shared" si="19"/>
        <v>0</v>
      </c>
      <c r="U96" s="101">
        <f t="shared" si="19"/>
        <v>0</v>
      </c>
      <c r="V96" s="71"/>
      <c r="W96" s="102">
        <f t="shared" si="20"/>
        <v>0</v>
      </c>
      <c r="X96" s="102">
        <f t="shared" si="20"/>
        <v>0</v>
      </c>
      <c r="Y96" s="90">
        <f t="shared" si="20"/>
        <v>0</v>
      </c>
      <c r="Z96" s="102">
        <f t="shared" si="20"/>
        <v>0</v>
      </c>
      <c r="AA96" s="101">
        <f t="shared" si="20"/>
        <v>0</v>
      </c>
      <c r="AB96" s="71"/>
      <c r="AC96" s="91">
        <v>1</v>
      </c>
      <c r="AD96" s="91">
        <v>1</v>
      </c>
      <c r="AE96" s="92">
        <f t="shared" si="6"/>
        <v>0</v>
      </c>
      <c r="AF96" s="93">
        <f t="shared" si="14"/>
        <v>0</v>
      </c>
    </row>
    <row r="97" spans="1:32" ht="12.5">
      <c r="A97" s="28">
        <v>81</v>
      </c>
      <c r="B97" s="104" t="s">
        <v>107</v>
      </c>
      <c r="C97" s="116" t="str">
        <f t="shared" si="17"/>
        <v>PTP-Rig</v>
      </c>
      <c r="D97" s="117" t="s">
        <v>8</v>
      </c>
      <c r="E97" s="116" t="str">
        <f t="shared" si="21"/>
        <v>Fixed Cost</v>
      </c>
      <c r="F97" s="118">
        <f t="shared" si="23"/>
        <v>1.1499999999999999</v>
      </c>
      <c r="G97" s="119"/>
      <c r="J97" s="83">
        <f t="shared" si="18"/>
        <v>0</v>
      </c>
      <c r="K97" s="99">
        <v>81</v>
      </c>
      <c r="L97" s="100">
        <f t="shared" ref="L97:U112" si="24">INDEX(L$420:L$1632,MATCH($K97,$K$420:$K$1632,0)+MATCH("Option "&amp;$D$9,$K$420:$K$1230,0)-1,1)</f>
        <v>1</v>
      </c>
      <c r="M97" s="90">
        <f t="shared" si="24"/>
        <v>0</v>
      </c>
      <c r="N97" s="90">
        <f t="shared" si="24"/>
        <v>0</v>
      </c>
      <c r="O97" s="90">
        <f t="shared" si="24"/>
        <v>0</v>
      </c>
      <c r="P97" s="90">
        <f t="shared" si="24"/>
        <v>0</v>
      </c>
      <c r="Q97" s="90">
        <f t="shared" si="24"/>
        <v>0</v>
      </c>
      <c r="R97" s="90">
        <f t="shared" si="24"/>
        <v>0</v>
      </c>
      <c r="S97" s="90">
        <f t="shared" si="24"/>
        <v>0</v>
      </c>
      <c r="T97" s="90">
        <f t="shared" si="24"/>
        <v>0</v>
      </c>
      <c r="U97" s="101">
        <f t="shared" si="24"/>
        <v>0</v>
      </c>
      <c r="V97" s="71"/>
      <c r="W97" s="102">
        <f t="shared" ref="W97:AA112" si="25">INDEX(W$420:W$1632,MATCH($K97,$K$420:$K$1632,0)+MATCH("Option "&amp;$D$9,$K$420:$K$1230,0)-1,1)</f>
        <v>0</v>
      </c>
      <c r="X97" s="102">
        <f t="shared" si="25"/>
        <v>0</v>
      </c>
      <c r="Y97" s="90">
        <f t="shared" si="25"/>
        <v>0</v>
      </c>
      <c r="Z97" s="102">
        <f t="shared" si="25"/>
        <v>0</v>
      </c>
      <c r="AA97" s="101">
        <f t="shared" si="25"/>
        <v>0</v>
      </c>
      <c r="AB97" s="71"/>
      <c r="AC97" s="91">
        <v>1</v>
      </c>
      <c r="AD97" s="91">
        <v>1</v>
      </c>
      <c r="AE97" s="92">
        <f t="shared" si="6"/>
        <v>0</v>
      </c>
      <c r="AF97" s="93">
        <f t="shared" si="14"/>
        <v>0</v>
      </c>
    </row>
    <row r="98" spans="1:32" ht="12.5">
      <c r="A98" s="28">
        <v>82</v>
      </c>
      <c r="B98" s="104" t="s">
        <v>110</v>
      </c>
      <c r="C98" s="116" t="str">
        <f t="shared" si="17"/>
        <v>PTP-Rig</v>
      </c>
      <c r="D98" s="117" t="s">
        <v>8</v>
      </c>
      <c r="E98" s="116" t="str">
        <f t="shared" si="21"/>
        <v>Fixed Cost</v>
      </c>
      <c r="F98" s="118">
        <f t="shared" si="23"/>
        <v>1.1499999999999999</v>
      </c>
      <c r="G98" s="119"/>
      <c r="J98" s="83">
        <f t="shared" si="18"/>
        <v>0</v>
      </c>
      <c r="K98" s="99">
        <v>82</v>
      </c>
      <c r="L98" s="100">
        <f t="shared" si="24"/>
        <v>1</v>
      </c>
      <c r="M98" s="90">
        <f t="shared" si="24"/>
        <v>0</v>
      </c>
      <c r="N98" s="90">
        <f t="shared" si="24"/>
        <v>0</v>
      </c>
      <c r="O98" s="90">
        <f t="shared" si="24"/>
        <v>0</v>
      </c>
      <c r="P98" s="90">
        <f t="shared" si="24"/>
        <v>0</v>
      </c>
      <c r="Q98" s="90">
        <f t="shared" si="24"/>
        <v>0</v>
      </c>
      <c r="R98" s="90">
        <f t="shared" si="24"/>
        <v>0</v>
      </c>
      <c r="S98" s="90">
        <f t="shared" si="24"/>
        <v>0</v>
      </c>
      <c r="T98" s="90">
        <f t="shared" si="24"/>
        <v>0</v>
      </c>
      <c r="U98" s="101">
        <f t="shared" si="24"/>
        <v>0</v>
      </c>
      <c r="V98" s="71"/>
      <c r="W98" s="102">
        <f t="shared" si="25"/>
        <v>0</v>
      </c>
      <c r="X98" s="102">
        <f t="shared" si="25"/>
        <v>0</v>
      </c>
      <c r="Y98" s="90">
        <f t="shared" si="25"/>
        <v>0</v>
      </c>
      <c r="Z98" s="102">
        <f t="shared" si="25"/>
        <v>0</v>
      </c>
      <c r="AA98" s="101">
        <f t="shared" si="25"/>
        <v>0</v>
      </c>
      <c r="AB98" s="71"/>
      <c r="AC98" s="91">
        <v>1</v>
      </c>
      <c r="AD98" s="91">
        <v>1</v>
      </c>
      <c r="AE98" s="92">
        <f t="shared" si="6"/>
        <v>0</v>
      </c>
      <c r="AF98" s="93">
        <f t="shared" si="14"/>
        <v>0</v>
      </c>
    </row>
    <row r="99" spans="1:32" ht="12.5">
      <c r="A99" s="28">
        <v>83</v>
      </c>
      <c r="B99" s="104" t="s">
        <v>109</v>
      </c>
      <c r="C99" s="116" t="str">
        <f t="shared" si="17"/>
        <v>PTP-Rig</v>
      </c>
      <c r="D99" s="117" t="s">
        <v>8</v>
      </c>
      <c r="E99" s="116" t="str">
        <f t="shared" si="21"/>
        <v>Fixed Cost</v>
      </c>
      <c r="F99" s="118">
        <f t="shared" si="23"/>
        <v>1.1499999999999999</v>
      </c>
      <c r="G99" s="119"/>
      <c r="J99" s="83">
        <f t="shared" si="18"/>
        <v>0</v>
      </c>
      <c r="K99" s="99">
        <v>83</v>
      </c>
      <c r="L99" s="100">
        <f t="shared" si="24"/>
        <v>1</v>
      </c>
      <c r="M99" s="90">
        <f t="shared" si="24"/>
        <v>0</v>
      </c>
      <c r="N99" s="90">
        <f t="shared" si="24"/>
        <v>0</v>
      </c>
      <c r="O99" s="90">
        <f t="shared" si="24"/>
        <v>0</v>
      </c>
      <c r="P99" s="90">
        <f t="shared" si="24"/>
        <v>0</v>
      </c>
      <c r="Q99" s="90">
        <f t="shared" si="24"/>
        <v>0</v>
      </c>
      <c r="R99" s="90">
        <f t="shared" si="24"/>
        <v>0</v>
      </c>
      <c r="S99" s="90">
        <f t="shared" si="24"/>
        <v>0</v>
      </c>
      <c r="T99" s="90">
        <f t="shared" si="24"/>
        <v>0</v>
      </c>
      <c r="U99" s="101">
        <f t="shared" si="24"/>
        <v>0</v>
      </c>
      <c r="V99" s="71"/>
      <c r="W99" s="102">
        <f t="shared" si="25"/>
        <v>0</v>
      </c>
      <c r="X99" s="102">
        <f t="shared" si="25"/>
        <v>0</v>
      </c>
      <c r="Y99" s="90">
        <f t="shared" si="25"/>
        <v>0</v>
      </c>
      <c r="Z99" s="102">
        <f t="shared" si="25"/>
        <v>0</v>
      </c>
      <c r="AA99" s="101">
        <f t="shared" si="25"/>
        <v>0</v>
      </c>
      <c r="AB99" s="71"/>
      <c r="AC99" s="91">
        <v>1</v>
      </c>
      <c r="AD99" s="91">
        <v>1</v>
      </c>
      <c r="AE99" s="92">
        <f t="shared" si="6"/>
        <v>0</v>
      </c>
      <c r="AF99" s="93">
        <f t="shared" si="14"/>
        <v>0</v>
      </c>
    </row>
    <row r="100" spans="1:32" ht="12.5">
      <c r="A100" s="28">
        <v>84</v>
      </c>
      <c r="B100" s="104" t="s">
        <v>171</v>
      </c>
      <c r="C100" s="116" t="str">
        <f t="shared" si="17"/>
        <v>PTP-Security</v>
      </c>
      <c r="D100" s="117" t="s">
        <v>8</v>
      </c>
      <c r="E100" s="116" t="str">
        <f t="shared" si="21"/>
        <v>Fixed Cost</v>
      </c>
      <c r="F100" s="118">
        <f t="shared" si="23"/>
        <v>1.1499999999999999</v>
      </c>
      <c r="G100" s="119"/>
      <c r="J100" s="83">
        <f t="shared" si="18"/>
        <v>0</v>
      </c>
      <c r="K100" s="99">
        <v>84</v>
      </c>
      <c r="L100" s="100">
        <f t="shared" si="24"/>
        <v>1</v>
      </c>
      <c r="M100" s="90">
        <f t="shared" si="24"/>
        <v>0</v>
      </c>
      <c r="N100" s="90">
        <f t="shared" si="24"/>
        <v>0</v>
      </c>
      <c r="O100" s="90">
        <f t="shared" si="24"/>
        <v>0</v>
      </c>
      <c r="P100" s="90">
        <f t="shared" si="24"/>
        <v>0</v>
      </c>
      <c r="Q100" s="90">
        <f t="shared" si="24"/>
        <v>0</v>
      </c>
      <c r="R100" s="90">
        <f t="shared" si="24"/>
        <v>0</v>
      </c>
      <c r="S100" s="90">
        <f t="shared" si="24"/>
        <v>0</v>
      </c>
      <c r="T100" s="90">
        <f t="shared" si="24"/>
        <v>0</v>
      </c>
      <c r="U100" s="101">
        <f t="shared" si="24"/>
        <v>0</v>
      </c>
      <c r="V100" s="71"/>
      <c r="W100" s="102">
        <f t="shared" si="25"/>
        <v>0</v>
      </c>
      <c r="X100" s="102">
        <f t="shared" si="25"/>
        <v>0</v>
      </c>
      <c r="Y100" s="90">
        <f t="shared" si="25"/>
        <v>0</v>
      </c>
      <c r="Z100" s="102">
        <f t="shared" si="25"/>
        <v>0</v>
      </c>
      <c r="AA100" s="101">
        <f t="shared" si="25"/>
        <v>0</v>
      </c>
      <c r="AB100" s="71"/>
      <c r="AC100" s="91">
        <v>1</v>
      </c>
      <c r="AD100" s="91">
        <v>1</v>
      </c>
      <c r="AE100" s="92">
        <f t="shared" si="6"/>
        <v>0</v>
      </c>
      <c r="AF100" s="93">
        <f t="shared" si="14"/>
        <v>0</v>
      </c>
    </row>
    <row r="101" spans="1:32" ht="12.5">
      <c r="A101" s="28">
        <v>85</v>
      </c>
      <c r="B101" s="104" t="s">
        <v>111</v>
      </c>
      <c r="C101" s="116" t="str">
        <f t="shared" si="17"/>
        <v>PTP-Other</v>
      </c>
      <c r="D101" s="117" t="s">
        <v>8</v>
      </c>
      <c r="E101" s="116" t="str">
        <f t="shared" si="21"/>
        <v>Fixed Cost</v>
      </c>
      <c r="F101" s="118">
        <f t="shared" si="23"/>
        <v>1.1499999999999999</v>
      </c>
      <c r="G101" s="119"/>
      <c r="J101" s="83">
        <f t="shared" si="18"/>
        <v>0</v>
      </c>
      <c r="K101" s="99">
        <v>85</v>
      </c>
      <c r="L101" s="100">
        <f t="shared" si="24"/>
        <v>1</v>
      </c>
      <c r="M101" s="90">
        <f t="shared" si="24"/>
        <v>0</v>
      </c>
      <c r="N101" s="90">
        <f t="shared" si="24"/>
        <v>0</v>
      </c>
      <c r="O101" s="90">
        <f t="shared" si="24"/>
        <v>0</v>
      </c>
      <c r="P101" s="90">
        <f t="shared" si="24"/>
        <v>0</v>
      </c>
      <c r="Q101" s="90">
        <f t="shared" si="24"/>
        <v>0</v>
      </c>
      <c r="R101" s="90">
        <f t="shared" si="24"/>
        <v>0</v>
      </c>
      <c r="S101" s="90">
        <f t="shared" si="24"/>
        <v>0</v>
      </c>
      <c r="T101" s="90">
        <f t="shared" si="24"/>
        <v>0</v>
      </c>
      <c r="U101" s="101">
        <f t="shared" si="24"/>
        <v>0</v>
      </c>
      <c r="V101" s="71"/>
      <c r="W101" s="102">
        <f t="shared" si="25"/>
        <v>0</v>
      </c>
      <c r="X101" s="102">
        <f t="shared" si="25"/>
        <v>0</v>
      </c>
      <c r="Y101" s="90">
        <f t="shared" si="25"/>
        <v>0</v>
      </c>
      <c r="Z101" s="102">
        <f t="shared" si="25"/>
        <v>0</v>
      </c>
      <c r="AA101" s="101">
        <f t="shared" si="25"/>
        <v>0</v>
      </c>
      <c r="AB101" s="71"/>
      <c r="AC101" s="91">
        <v>1</v>
      </c>
      <c r="AD101" s="91">
        <v>1</v>
      </c>
      <c r="AE101" s="92">
        <f t="shared" si="6"/>
        <v>0</v>
      </c>
      <c r="AF101" s="93">
        <f t="shared" si="14"/>
        <v>0</v>
      </c>
    </row>
    <row r="102" spans="1:32" ht="12.5">
      <c r="A102" s="28">
        <v>86</v>
      </c>
      <c r="B102" s="104" t="s">
        <v>113</v>
      </c>
      <c r="C102" s="116" t="str">
        <f t="shared" si="17"/>
        <v>PTP-Other</v>
      </c>
      <c r="D102" s="117" t="s">
        <v>11</v>
      </c>
      <c r="E102" s="116" t="str">
        <f t="shared" si="21"/>
        <v>Variable Cost</v>
      </c>
      <c r="F102" s="118">
        <f t="shared" si="23"/>
        <v>1.1499999999999999</v>
      </c>
      <c r="G102" s="119"/>
      <c r="J102" s="83">
        <f t="shared" si="18"/>
        <v>0</v>
      </c>
      <c r="K102" s="99">
        <v>86</v>
      </c>
      <c r="L102" s="100">
        <f t="shared" si="24"/>
        <v>1</v>
      </c>
      <c r="M102" s="90">
        <f t="shared" si="24"/>
        <v>0</v>
      </c>
      <c r="N102" s="90">
        <f t="shared" si="24"/>
        <v>0</v>
      </c>
      <c r="O102" s="90">
        <f t="shared" si="24"/>
        <v>0</v>
      </c>
      <c r="P102" s="90">
        <f t="shared" si="24"/>
        <v>0</v>
      </c>
      <c r="Q102" s="90">
        <f t="shared" si="24"/>
        <v>0</v>
      </c>
      <c r="R102" s="90">
        <f t="shared" si="24"/>
        <v>0</v>
      </c>
      <c r="S102" s="90">
        <f t="shared" si="24"/>
        <v>0</v>
      </c>
      <c r="T102" s="90">
        <f t="shared" si="24"/>
        <v>0</v>
      </c>
      <c r="U102" s="101">
        <f t="shared" si="24"/>
        <v>0</v>
      </c>
      <c r="V102" s="71"/>
      <c r="W102" s="102">
        <f t="shared" si="25"/>
        <v>0</v>
      </c>
      <c r="X102" s="102">
        <f t="shared" si="25"/>
        <v>0</v>
      </c>
      <c r="Y102" s="90">
        <f t="shared" si="25"/>
        <v>0</v>
      </c>
      <c r="Z102" s="102">
        <f t="shared" si="25"/>
        <v>0</v>
      </c>
      <c r="AA102" s="101">
        <f t="shared" si="25"/>
        <v>0</v>
      </c>
      <c r="AB102" s="71"/>
      <c r="AC102" s="91">
        <v>1</v>
      </c>
      <c r="AD102" s="91">
        <v>1</v>
      </c>
      <c r="AE102" s="92">
        <f t="shared" si="6"/>
        <v>0</v>
      </c>
      <c r="AF102" s="93">
        <f t="shared" si="14"/>
        <v>0</v>
      </c>
    </row>
    <row r="103" spans="1:32" ht="12.5">
      <c r="A103" s="28">
        <v>87</v>
      </c>
      <c r="B103" s="104" t="s">
        <v>193</v>
      </c>
      <c r="C103" s="116" t="s">
        <v>98</v>
      </c>
      <c r="D103" s="117" t="s">
        <v>8</v>
      </c>
      <c r="E103" s="116" t="str">
        <f t="shared" si="21"/>
        <v>Fixed Cost</v>
      </c>
      <c r="F103" s="118">
        <f t="shared" si="23"/>
        <v>1.1499999999999999</v>
      </c>
      <c r="G103" s="119"/>
      <c r="J103" s="83">
        <f t="shared" si="18"/>
        <v>0</v>
      </c>
      <c r="K103" s="99">
        <v>87</v>
      </c>
      <c r="L103" s="100">
        <f t="shared" si="24"/>
        <v>1</v>
      </c>
      <c r="M103" s="90">
        <f t="shared" si="24"/>
        <v>0</v>
      </c>
      <c r="N103" s="90">
        <f t="shared" si="24"/>
        <v>0</v>
      </c>
      <c r="O103" s="90">
        <f t="shared" si="24"/>
        <v>0</v>
      </c>
      <c r="P103" s="90">
        <f t="shared" si="24"/>
        <v>0</v>
      </c>
      <c r="Q103" s="90">
        <f t="shared" si="24"/>
        <v>0</v>
      </c>
      <c r="R103" s="90">
        <f t="shared" si="24"/>
        <v>0</v>
      </c>
      <c r="S103" s="90">
        <f t="shared" si="24"/>
        <v>0</v>
      </c>
      <c r="T103" s="90">
        <f t="shared" si="24"/>
        <v>0</v>
      </c>
      <c r="U103" s="101">
        <f t="shared" si="24"/>
        <v>0</v>
      </c>
      <c r="V103" s="71"/>
      <c r="W103" s="102">
        <f t="shared" si="25"/>
        <v>0</v>
      </c>
      <c r="X103" s="102">
        <f t="shared" si="25"/>
        <v>0</v>
      </c>
      <c r="Y103" s="90">
        <f t="shared" si="25"/>
        <v>0</v>
      </c>
      <c r="Z103" s="102">
        <f t="shared" si="25"/>
        <v>0</v>
      </c>
      <c r="AA103" s="101">
        <f t="shared" si="25"/>
        <v>0</v>
      </c>
      <c r="AB103" s="71"/>
      <c r="AC103" s="91">
        <v>1</v>
      </c>
      <c r="AD103" s="91">
        <v>1</v>
      </c>
      <c r="AE103" s="92">
        <f t="shared" si="6"/>
        <v>0</v>
      </c>
      <c r="AF103" s="93">
        <f t="shared" si="14"/>
        <v>0</v>
      </c>
    </row>
    <row r="104" spans="1:32" ht="12.5">
      <c r="A104" s="28">
        <v>88</v>
      </c>
      <c r="B104" s="104" t="s">
        <v>116</v>
      </c>
      <c r="C104" s="116" t="str">
        <f t="shared" si="17"/>
        <v>PTP-Other</v>
      </c>
      <c r="D104" s="117" t="s">
        <v>8</v>
      </c>
      <c r="E104" s="116" t="str">
        <f t="shared" si="21"/>
        <v>Fixed Cost</v>
      </c>
      <c r="F104" s="118">
        <f t="shared" si="23"/>
        <v>1.1499999999999999</v>
      </c>
      <c r="G104" s="119"/>
      <c r="J104" s="83">
        <f t="shared" si="18"/>
        <v>0</v>
      </c>
      <c r="K104" s="99">
        <v>88</v>
      </c>
      <c r="L104" s="100">
        <f t="shared" si="24"/>
        <v>1</v>
      </c>
      <c r="M104" s="90">
        <f t="shared" si="24"/>
        <v>0</v>
      </c>
      <c r="N104" s="90">
        <f t="shared" si="24"/>
        <v>0</v>
      </c>
      <c r="O104" s="90">
        <f t="shared" si="24"/>
        <v>0</v>
      </c>
      <c r="P104" s="90">
        <f t="shared" si="24"/>
        <v>0</v>
      </c>
      <c r="Q104" s="90">
        <f t="shared" si="24"/>
        <v>0</v>
      </c>
      <c r="R104" s="90">
        <f t="shared" si="24"/>
        <v>0</v>
      </c>
      <c r="S104" s="90">
        <f t="shared" si="24"/>
        <v>0</v>
      </c>
      <c r="T104" s="90">
        <f t="shared" si="24"/>
        <v>0</v>
      </c>
      <c r="U104" s="101">
        <f t="shared" si="24"/>
        <v>0</v>
      </c>
      <c r="V104" s="71"/>
      <c r="W104" s="102">
        <f t="shared" si="25"/>
        <v>0</v>
      </c>
      <c r="X104" s="102">
        <f t="shared" si="25"/>
        <v>0</v>
      </c>
      <c r="Y104" s="90">
        <f t="shared" si="25"/>
        <v>0</v>
      </c>
      <c r="Z104" s="102">
        <f t="shared" si="25"/>
        <v>0</v>
      </c>
      <c r="AA104" s="101">
        <f t="shared" si="25"/>
        <v>0</v>
      </c>
      <c r="AB104" s="71"/>
      <c r="AC104" s="91">
        <v>1</v>
      </c>
      <c r="AD104" s="91">
        <v>1</v>
      </c>
      <c r="AE104" s="92">
        <f t="shared" si="6"/>
        <v>0</v>
      </c>
      <c r="AF104" s="93">
        <f t="shared" si="14"/>
        <v>0</v>
      </c>
    </row>
    <row r="105" spans="1:32" ht="12.5">
      <c r="A105" s="28">
        <v>89</v>
      </c>
      <c r="B105" s="104" t="s">
        <v>117</v>
      </c>
      <c r="C105" s="116" t="str">
        <f t="shared" si="17"/>
        <v>PTP-Rig</v>
      </c>
      <c r="D105" s="117" t="s">
        <v>11</v>
      </c>
      <c r="E105" s="116" t="str">
        <f t="shared" si="21"/>
        <v>Variable Cost</v>
      </c>
      <c r="F105" s="118">
        <f t="shared" si="23"/>
        <v>1.1499999999999999</v>
      </c>
      <c r="G105" s="119"/>
      <c r="J105" s="83">
        <f t="shared" si="18"/>
        <v>0</v>
      </c>
      <c r="K105" s="99">
        <v>89</v>
      </c>
      <c r="L105" s="100">
        <f t="shared" si="24"/>
        <v>1</v>
      </c>
      <c r="M105" s="90">
        <f t="shared" si="24"/>
        <v>0</v>
      </c>
      <c r="N105" s="90">
        <f t="shared" si="24"/>
        <v>0</v>
      </c>
      <c r="O105" s="90">
        <f t="shared" si="24"/>
        <v>0</v>
      </c>
      <c r="P105" s="90">
        <f t="shared" si="24"/>
        <v>0</v>
      </c>
      <c r="Q105" s="90">
        <f t="shared" si="24"/>
        <v>0</v>
      </c>
      <c r="R105" s="90">
        <f t="shared" si="24"/>
        <v>0</v>
      </c>
      <c r="S105" s="90">
        <f t="shared" si="24"/>
        <v>0</v>
      </c>
      <c r="T105" s="90">
        <f t="shared" si="24"/>
        <v>0</v>
      </c>
      <c r="U105" s="101">
        <f t="shared" si="24"/>
        <v>0</v>
      </c>
      <c r="V105" s="71"/>
      <c r="W105" s="102">
        <f t="shared" si="25"/>
        <v>0</v>
      </c>
      <c r="X105" s="102">
        <f t="shared" si="25"/>
        <v>0</v>
      </c>
      <c r="Y105" s="90">
        <f t="shared" si="25"/>
        <v>0</v>
      </c>
      <c r="Z105" s="102">
        <f t="shared" si="25"/>
        <v>0</v>
      </c>
      <c r="AA105" s="101">
        <f t="shared" si="25"/>
        <v>0</v>
      </c>
      <c r="AB105" s="71"/>
      <c r="AC105" s="91">
        <v>1</v>
      </c>
      <c r="AD105" s="91">
        <v>1</v>
      </c>
      <c r="AE105" s="92">
        <f t="shared" si="6"/>
        <v>0</v>
      </c>
      <c r="AF105" s="93">
        <f t="shared" si="14"/>
        <v>0</v>
      </c>
    </row>
    <row r="106" spans="1:32" ht="12.5">
      <c r="A106" s="28">
        <v>90</v>
      </c>
      <c r="B106" s="104" t="s">
        <v>118</v>
      </c>
      <c r="C106" s="116" t="str">
        <f>INDEX(___ServicesMasterList_Symbol,MATCH($B106,___ServicesMasterList,0),1)</f>
        <v>PTP-Other</v>
      </c>
      <c r="D106" s="117" t="s">
        <v>8</v>
      </c>
      <c r="E106" s="116" t="str">
        <f t="shared" si="21"/>
        <v>Fixed Cost</v>
      </c>
      <c r="F106" s="118">
        <f t="shared" si="23"/>
        <v>1.1499999999999999</v>
      </c>
      <c r="G106" s="119"/>
      <c r="J106" s="83">
        <f t="shared" si="18"/>
        <v>0</v>
      </c>
      <c r="K106" s="99">
        <v>90</v>
      </c>
      <c r="L106" s="100">
        <f t="shared" si="24"/>
        <v>1</v>
      </c>
      <c r="M106" s="90">
        <f t="shared" si="24"/>
        <v>0</v>
      </c>
      <c r="N106" s="90">
        <f t="shared" si="24"/>
        <v>0</v>
      </c>
      <c r="O106" s="90">
        <f t="shared" si="24"/>
        <v>0</v>
      </c>
      <c r="P106" s="90">
        <f t="shared" si="24"/>
        <v>0</v>
      </c>
      <c r="Q106" s="90">
        <f t="shared" si="24"/>
        <v>0</v>
      </c>
      <c r="R106" s="90">
        <f t="shared" si="24"/>
        <v>0</v>
      </c>
      <c r="S106" s="90">
        <f t="shared" si="24"/>
        <v>0</v>
      </c>
      <c r="T106" s="90">
        <f t="shared" si="24"/>
        <v>0</v>
      </c>
      <c r="U106" s="101">
        <f t="shared" si="24"/>
        <v>0</v>
      </c>
      <c r="V106" s="71"/>
      <c r="W106" s="102">
        <f t="shared" si="25"/>
        <v>0</v>
      </c>
      <c r="X106" s="102">
        <f t="shared" si="25"/>
        <v>0</v>
      </c>
      <c r="Y106" s="90">
        <f t="shared" si="25"/>
        <v>0</v>
      </c>
      <c r="Z106" s="102">
        <f t="shared" si="25"/>
        <v>0</v>
      </c>
      <c r="AA106" s="101">
        <f t="shared" si="25"/>
        <v>0</v>
      </c>
      <c r="AB106" s="71"/>
      <c r="AC106" s="91">
        <v>1</v>
      </c>
      <c r="AD106" s="91">
        <v>1</v>
      </c>
      <c r="AE106" s="92">
        <f t="shared" ref="AE106:AE169" si="26">$M106</f>
        <v>0</v>
      </c>
      <c r="AF106" s="93">
        <f t="shared" si="14"/>
        <v>0</v>
      </c>
    </row>
    <row r="107" spans="1:32" ht="12.5">
      <c r="A107" s="28">
        <v>91</v>
      </c>
      <c r="B107" s="104" t="s">
        <v>119</v>
      </c>
      <c r="C107" s="116" t="str">
        <f t="shared" si="17"/>
        <v>PTP-Casing</v>
      </c>
      <c r="D107" s="117" t="s">
        <v>8</v>
      </c>
      <c r="E107" s="116" t="str">
        <f t="shared" si="21"/>
        <v>Fixed Cost</v>
      </c>
      <c r="F107" s="118">
        <f t="shared" si="23"/>
        <v>1.1499999999999999</v>
      </c>
      <c r="G107" s="119"/>
      <c r="J107" s="83">
        <f t="shared" si="18"/>
        <v>0</v>
      </c>
      <c r="K107" s="99">
        <v>91</v>
      </c>
      <c r="L107" s="100">
        <f t="shared" si="24"/>
        <v>1</v>
      </c>
      <c r="M107" s="90">
        <f t="shared" si="24"/>
        <v>0</v>
      </c>
      <c r="N107" s="90">
        <f t="shared" si="24"/>
        <v>0</v>
      </c>
      <c r="O107" s="90">
        <f t="shared" si="24"/>
        <v>0</v>
      </c>
      <c r="P107" s="90">
        <f t="shared" si="24"/>
        <v>0</v>
      </c>
      <c r="Q107" s="90">
        <f t="shared" si="24"/>
        <v>0</v>
      </c>
      <c r="R107" s="90">
        <f t="shared" si="24"/>
        <v>0</v>
      </c>
      <c r="S107" s="90">
        <f t="shared" si="24"/>
        <v>0</v>
      </c>
      <c r="T107" s="90">
        <f t="shared" si="24"/>
        <v>0</v>
      </c>
      <c r="U107" s="101">
        <f t="shared" si="24"/>
        <v>0</v>
      </c>
      <c r="V107" s="71"/>
      <c r="W107" s="102">
        <f t="shared" si="25"/>
        <v>0</v>
      </c>
      <c r="X107" s="102">
        <f t="shared" si="25"/>
        <v>0</v>
      </c>
      <c r="Y107" s="90">
        <f t="shared" si="25"/>
        <v>0</v>
      </c>
      <c r="Z107" s="102">
        <f t="shared" si="25"/>
        <v>0</v>
      </c>
      <c r="AA107" s="101" t="str">
        <f t="shared" si="25"/>
        <v>EA</v>
      </c>
      <c r="AB107" s="71"/>
      <c r="AC107" s="91">
        <v>1</v>
      </c>
      <c r="AD107" s="91">
        <v>1</v>
      </c>
      <c r="AE107" s="92">
        <f t="shared" si="26"/>
        <v>0</v>
      </c>
      <c r="AF107" s="93">
        <f t="shared" si="14"/>
        <v>0</v>
      </c>
    </row>
    <row r="108" spans="1:32" ht="12.5">
      <c r="A108" s="28">
        <v>92</v>
      </c>
      <c r="B108" s="104" t="s">
        <v>114</v>
      </c>
      <c r="C108" s="116" t="str">
        <f t="shared" si="17"/>
        <v>PTP-Casing</v>
      </c>
      <c r="D108" s="117" t="s">
        <v>8</v>
      </c>
      <c r="E108" s="116" t="str">
        <f t="shared" si="21"/>
        <v>Fixed Cost</v>
      </c>
      <c r="F108" s="118">
        <f t="shared" si="23"/>
        <v>1.1499999999999999</v>
      </c>
      <c r="G108" s="119"/>
      <c r="J108" s="83">
        <f t="shared" si="18"/>
        <v>0</v>
      </c>
      <c r="K108" s="99">
        <v>92</v>
      </c>
      <c r="L108" s="100">
        <f t="shared" si="24"/>
        <v>1</v>
      </c>
      <c r="M108" s="90">
        <f t="shared" si="24"/>
        <v>0</v>
      </c>
      <c r="N108" s="90">
        <f t="shared" si="24"/>
        <v>0</v>
      </c>
      <c r="O108" s="90">
        <f t="shared" si="24"/>
        <v>0</v>
      </c>
      <c r="P108" s="90">
        <f t="shared" si="24"/>
        <v>0</v>
      </c>
      <c r="Q108" s="90">
        <f t="shared" si="24"/>
        <v>0</v>
      </c>
      <c r="R108" s="90">
        <f t="shared" si="24"/>
        <v>0</v>
      </c>
      <c r="S108" s="90">
        <f t="shared" si="24"/>
        <v>0</v>
      </c>
      <c r="T108" s="90">
        <f t="shared" si="24"/>
        <v>0</v>
      </c>
      <c r="U108" s="101">
        <f t="shared" si="24"/>
        <v>0</v>
      </c>
      <c r="V108" s="71"/>
      <c r="W108" s="102">
        <f t="shared" si="25"/>
        <v>0</v>
      </c>
      <c r="X108" s="102">
        <f t="shared" si="25"/>
        <v>0</v>
      </c>
      <c r="Y108" s="90">
        <f t="shared" si="25"/>
        <v>0</v>
      </c>
      <c r="Z108" s="102">
        <f t="shared" si="25"/>
        <v>0</v>
      </c>
      <c r="AA108" s="101" t="str">
        <f t="shared" si="25"/>
        <v>EA</v>
      </c>
      <c r="AB108" s="71"/>
      <c r="AC108" s="91">
        <v>1</v>
      </c>
      <c r="AD108" s="91">
        <v>1</v>
      </c>
      <c r="AE108" s="92">
        <f t="shared" si="26"/>
        <v>0</v>
      </c>
      <c r="AF108" s="93">
        <f t="shared" si="14"/>
        <v>0</v>
      </c>
    </row>
    <row r="109" spans="1:32" ht="12.5">
      <c r="A109" s="28">
        <v>93</v>
      </c>
      <c r="B109" s="104" t="s">
        <v>121</v>
      </c>
      <c r="C109" s="116" t="str">
        <f t="shared" si="17"/>
        <v>PTP-CasingServices</v>
      </c>
      <c r="D109" s="117" t="s">
        <v>8</v>
      </c>
      <c r="E109" s="116" t="str">
        <f t="shared" si="21"/>
        <v>Fixed Cost</v>
      </c>
      <c r="F109" s="118">
        <f t="shared" si="23"/>
        <v>1.1499999999999999</v>
      </c>
      <c r="G109" s="119"/>
      <c r="J109" s="83">
        <f t="shared" si="18"/>
        <v>0</v>
      </c>
      <c r="K109" s="99">
        <v>93</v>
      </c>
      <c r="L109" s="100">
        <f t="shared" si="24"/>
        <v>1</v>
      </c>
      <c r="M109" s="90">
        <f t="shared" si="24"/>
        <v>0</v>
      </c>
      <c r="N109" s="90">
        <f t="shared" si="24"/>
        <v>0</v>
      </c>
      <c r="O109" s="90">
        <f t="shared" si="24"/>
        <v>0</v>
      </c>
      <c r="P109" s="90">
        <f t="shared" si="24"/>
        <v>0</v>
      </c>
      <c r="Q109" s="90">
        <f t="shared" si="24"/>
        <v>0</v>
      </c>
      <c r="R109" s="90">
        <f t="shared" si="24"/>
        <v>0</v>
      </c>
      <c r="S109" s="90">
        <f t="shared" si="24"/>
        <v>0</v>
      </c>
      <c r="T109" s="90">
        <f t="shared" si="24"/>
        <v>0</v>
      </c>
      <c r="U109" s="101">
        <f t="shared" si="24"/>
        <v>0</v>
      </c>
      <c r="V109" s="71"/>
      <c r="W109" s="102">
        <f t="shared" si="25"/>
        <v>0</v>
      </c>
      <c r="X109" s="102">
        <f t="shared" si="25"/>
        <v>0</v>
      </c>
      <c r="Y109" s="90">
        <f t="shared" si="25"/>
        <v>0</v>
      </c>
      <c r="Z109" s="102">
        <f t="shared" si="25"/>
        <v>0</v>
      </c>
      <c r="AA109" s="101" t="str">
        <f t="shared" si="25"/>
        <v>EA</v>
      </c>
      <c r="AB109" s="71"/>
      <c r="AC109" s="91">
        <v>1</v>
      </c>
      <c r="AD109" s="91">
        <v>1</v>
      </c>
      <c r="AE109" s="92">
        <f t="shared" si="26"/>
        <v>0</v>
      </c>
      <c r="AF109" s="93">
        <f t="shared" si="14"/>
        <v>0</v>
      </c>
    </row>
    <row r="110" spans="1:32" ht="12.5">
      <c r="A110" s="28">
        <v>94</v>
      </c>
      <c r="B110" s="104" t="s">
        <v>123</v>
      </c>
      <c r="C110" s="116" t="str">
        <f t="shared" si="17"/>
        <v>PTP-CasingServices</v>
      </c>
      <c r="D110" s="117" t="s">
        <v>8</v>
      </c>
      <c r="E110" s="116" t="str">
        <f t="shared" si="21"/>
        <v>Fixed Cost</v>
      </c>
      <c r="F110" s="118">
        <f t="shared" si="23"/>
        <v>1.1499999999999999</v>
      </c>
      <c r="G110" s="119"/>
      <c r="J110" s="83">
        <f t="shared" si="18"/>
        <v>0</v>
      </c>
      <c r="K110" s="99">
        <v>94</v>
      </c>
      <c r="L110" s="100">
        <f t="shared" si="24"/>
        <v>1</v>
      </c>
      <c r="M110" s="90">
        <f t="shared" si="24"/>
        <v>0</v>
      </c>
      <c r="N110" s="90">
        <f t="shared" si="24"/>
        <v>0</v>
      </c>
      <c r="O110" s="90">
        <f t="shared" si="24"/>
        <v>0</v>
      </c>
      <c r="P110" s="90">
        <f t="shared" si="24"/>
        <v>0</v>
      </c>
      <c r="Q110" s="90">
        <f t="shared" si="24"/>
        <v>0</v>
      </c>
      <c r="R110" s="90">
        <f t="shared" si="24"/>
        <v>0</v>
      </c>
      <c r="S110" s="90">
        <f t="shared" si="24"/>
        <v>0</v>
      </c>
      <c r="T110" s="90">
        <f t="shared" si="24"/>
        <v>0</v>
      </c>
      <c r="U110" s="101">
        <f t="shared" si="24"/>
        <v>0</v>
      </c>
      <c r="V110" s="71"/>
      <c r="W110" s="102">
        <f t="shared" si="25"/>
        <v>0</v>
      </c>
      <c r="X110" s="102">
        <f t="shared" si="25"/>
        <v>0</v>
      </c>
      <c r="Y110" s="90">
        <f t="shared" si="25"/>
        <v>0</v>
      </c>
      <c r="Z110" s="102">
        <f t="shared" si="25"/>
        <v>0</v>
      </c>
      <c r="AA110" s="101" t="str">
        <f t="shared" si="25"/>
        <v>EA</v>
      </c>
      <c r="AB110" s="71"/>
      <c r="AC110" s="91">
        <v>1</v>
      </c>
      <c r="AD110" s="91">
        <v>1</v>
      </c>
      <c r="AE110" s="92">
        <f t="shared" si="26"/>
        <v>0</v>
      </c>
      <c r="AF110" s="93">
        <f t="shared" si="14"/>
        <v>0</v>
      </c>
    </row>
    <row r="111" spans="1:32" ht="12.5">
      <c r="A111" s="28">
        <v>95</v>
      </c>
      <c r="B111" s="104" t="s">
        <v>124</v>
      </c>
      <c r="C111" s="116" t="str">
        <f t="shared" si="17"/>
        <v>PTP-CsgHwd</v>
      </c>
      <c r="D111" s="117" t="s">
        <v>8</v>
      </c>
      <c r="E111" s="116" t="str">
        <f t="shared" si="21"/>
        <v>Fixed Cost</v>
      </c>
      <c r="F111" s="118">
        <f t="shared" si="23"/>
        <v>1.1499999999999999</v>
      </c>
      <c r="G111" s="119"/>
      <c r="J111" s="83">
        <f t="shared" si="18"/>
        <v>0</v>
      </c>
      <c r="K111" s="99">
        <v>95</v>
      </c>
      <c r="L111" s="100">
        <f t="shared" si="24"/>
        <v>1</v>
      </c>
      <c r="M111" s="90">
        <f t="shared" si="24"/>
        <v>0</v>
      </c>
      <c r="N111" s="90">
        <f t="shared" si="24"/>
        <v>0</v>
      </c>
      <c r="O111" s="90">
        <f t="shared" si="24"/>
        <v>0</v>
      </c>
      <c r="P111" s="90">
        <f t="shared" si="24"/>
        <v>0</v>
      </c>
      <c r="Q111" s="90">
        <f t="shared" si="24"/>
        <v>0</v>
      </c>
      <c r="R111" s="90">
        <f t="shared" si="24"/>
        <v>0</v>
      </c>
      <c r="S111" s="90">
        <f t="shared" si="24"/>
        <v>0</v>
      </c>
      <c r="T111" s="90">
        <f t="shared" si="24"/>
        <v>0</v>
      </c>
      <c r="U111" s="101">
        <f t="shared" si="24"/>
        <v>0</v>
      </c>
      <c r="V111" s="71"/>
      <c r="W111" s="102">
        <f t="shared" si="25"/>
        <v>0</v>
      </c>
      <c r="X111" s="102">
        <f t="shared" si="25"/>
        <v>0</v>
      </c>
      <c r="Y111" s="90">
        <f t="shared" si="25"/>
        <v>0</v>
      </c>
      <c r="Z111" s="102">
        <f t="shared" si="25"/>
        <v>0</v>
      </c>
      <c r="AA111" s="101" t="str">
        <f t="shared" si="25"/>
        <v>EA</v>
      </c>
      <c r="AB111" s="71"/>
      <c r="AC111" s="91">
        <v>1</v>
      </c>
      <c r="AD111" s="91">
        <v>1</v>
      </c>
      <c r="AE111" s="92">
        <f t="shared" si="26"/>
        <v>0</v>
      </c>
      <c r="AF111" s="93">
        <f t="shared" si="14"/>
        <v>0</v>
      </c>
    </row>
    <row r="112" spans="1:32" ht="12.5">
      <c r="A112" s="28">
        <v>96</v>
      </c>
      <c r="B112" s="104" t="s">
        <v>126</v>
      </c>
      <c r="C112" s="116" t="str">
        <f t="shared" si="17"/>
        <v>PTP-CivilWorks</v>
      </c>
      <c r="D112" s="117" t="s">
        <v>11</v>
      </c>
      <c r="E112" s="116" t="str">
        <f t="shared" si="21"/>
        <v>Variable Cost</v>
      </c>
      <c r="F112" s="118">
        <f t="shared" si="23"/>
        <v>1.1499999999999999</v>
      </c>
      <c r="G112" s="119"/>
      <c r="J112" s="83">
        <f t="shared" si="18"/>
        <v>0</v>
      </c>
      <c r="K112" s="99">
        <v>96</v>
      </c>
      <c r="L112" s="100">
        <f t="shared" si="24"/>
        <v>1</v>
      </c>
      <c r="M112" s="90">
        <f t="shared" si="24"/>
        <v>0</v>
      </c>
      <c r="N112" s="90">
        <f t="shared" si="24"/>
        <v>0</v>
      </c>
      <c r="O112" s="90">
        <f t="shared" si="24"/>
        <v>0</v>
      </c>
      <c r="P112" s="90">
        <f t="shared" si="24"/>
        <v>0</v>
      </c>
      <c r="Q112" s="90">
        <f t="shared" si="24"/>
        <v>0</v>
      </c>
      <c r="R112" s="90">
        <f t="shared" si="24"/>
        <v>0</v>
      </c>
      <c r="S112" s="90">
        <f t="shared" si="24"/>
        <v>0</v>
      </c>
      <c r="T112" s="90">
        <f t="shared" si="24"/>
        <v>0</v>
      </c>
      <c r="U112" s="101">
        <f t="shared" si="24"/>
        <v>0</v>
      </c>
      <c r="V112" s="71"/>
      <c r="W112" s="102">
        <f t="shared" si="25"/>
        <v>0</v>
      </c>
      <c r="X112" s="102">
        <f t="shared" si="25"/>
        <v>0</v>
      </c>
      <c r="Y112" s="90">
        <f t="shared" si="25"/>
        <v>0</v>
      </c>
      <c r="Z112" s="102">
        <f t="shared" si="25"/>
        <v>0</v>
      </c>
      <c r="AA112" s="101" t="str">
        <f t="shared" si="25"/>
        <v>EA</v>
      </c>
      <c r="AB112" s="71"/>
      <c r="AC112" s="91">
        <v>1</v>
      </c>
      <c r="AD112" s="91">
        <v>1</v>
      </c>
      <c r="AE112" s="92">
        <f t="shared" si="26"/>
        <v>0</v>
      </c>
      <c r="AF112" s="93">
        <f t="shared" si="14"/>
        <v>0</v>
      </c>
    </row>
    <row r="113" spans="1:32" ht="12.5">
      <c r="A113" s="28">
        <v>97</v>
      </c>
      <c r="B113" s="104" t="s">
        <v>128</v>
      </c>
      <c r="C113" s="116" t="str">
        <f t="shared" ref="C113:C144" si="27">INDEX(___ServicesMasterList_Symbol,MATCH($B113,___ServicesMasterList,0),1)</f>
        <v>PTP-CivilWorks</v>
      </c>
      <c r="D113" s="117" t="s">
        <v>8</v>
      </c>
      <c r="E113" s="116" t="str">
        <f t="shared" si="21"/>
        <v>Fixed Cost</v>
      </c>
      <c r="F113" s="118">
        <f t="shared" si="23"/>
        <v>1.1499999999999999</v>
      </c>
      <c r="G113" s="119"/>
      <c r="J113" s="83">
        <f t="shared" si="18"/>
        <v>0</v>
      </c>
      <c r="K113" s="99">
        <v>97</v>
      </c>
      <c r="L113" s="100">
        <f t="shared" ref="L113:U128" si="28">INDEX(L$420:L$1632,MATCH($K113,$K$420:$K$1632,0)+MATCH("Option "&amp;$D$9,$K$420:$K$1230,0)-1,1)</f>
        <v>1</v>
      </c>
      <c r="M113" s="90">
        <f t="shared" si="28"/>
        <v>0</v>
      </c>
      <c r="N113" s="90">
        <f t="shared" si="28"/>
        <v>0</v>
      </c>
      <c r="O113" s="90">
        <f t="shared" si="28"/>
        <v>0</v>
      </c>
      <c r="P113" s="90">
        <f t="shared" si="28"/>
        <v>0</v>
      </c>
      <c r="Q113" s="90">
        <f t="shared" si="28"/>
        <v>0</v>
      </c>
      <c r="R113" s="90">
        <f t="shared" si="28"/>
        <v>0</v>
      </c>
      <c r="S113" s="90">
        <f t="shared" si="28"/>
        <v>0</v>
      </c>
      <c r="T113" s="90">
        <f t="shared" si="28"/>
        <v>0</v>
      </c>
      <c r="U113" s="101">
        <f t="shared" si="28"/>
        <v>0</v>
      </c>
      <c r="V113" s="71"/>
      <c r="W113" s="102">
        <f t="shared" ref="W113:AA128" si="29">INDEX(W$420:W$1632,MATCH($K113,$K$420:$K$1632,0)+MATCH("Option "&amp;$D$9,$K$420:$K$1230,0)-1,1)</f>
        <v>0</v>
      </c>
      <c r="X113" s="102">
        <f t="shared" si="29"/>
        <v>0</v>
      </c>
      <c r="Y113" s="90">
        <f t="shared" si="29"/>
        <v>0</v>
      </c>
      <c r="Z113" s="102">
        <f t="shared" si="29"/>
        <v>0</v>
      </c>
      <c r="AA113" s="101" t="str">
        <f t="shared" si="29"/>
        <v>EA</v>
      </c>
      <c r="AB113" s="71"/>
      <c r="AC113" s="91">
        <v>1</v>
      </c>
      <c r="AD113" s="91">
        <v>1</v>
      </c>
      <c r="AE113" s="92">
        <f t="shared" si="26"/>
        <v>0</v>
      </c>
      <c r="AF113" s="93">
        <f t="shared" si="14"/>
        <v>0</v>
      </c>
    </row>
    <row r="114" spans="1:32" ht="12.5">
      <c r="A114" s="28">
        <v>98</v>
      </c>
      <c r="B114" s="104" t="s">
        <v>129</v>
      </c>
      <c r="C114" s="116" t="str">
        <f t="shared" si="27"/>
        <v>PTP-CivilWorks</v>
      </c>
      <c r="D114" s="117" t="s">
        <v>11</v>
      </c>
      <c r="E114" s="116" t="str">
        <f t="shared" si="21"/>
        <v>Variable Cost</v>
      </c>
      <c r="F114" s="118">
        <f t="shared" si="23"/>
        <v>1.1499999999999999</v>
      </c>
      <c r="G114" s="119"/>
      <c r="J114" s="83">
        <f t="shared" si="18"/>
        <v>0</v>
      </c>
      <c r="K114" s="99">
        <v>98</v>
      </c>
      <c r="L114" s="100">
        <f t="shared" si="28"/>
        <v>1</v>
      </c>
      <c r="M114" s="90">
        <f t="shared" si="28"/>
        <v>0</v>
      </c>
      <c r="N114" s="90">
        <f t="shared" si="28"/>
        <v>0</v>
      </c>
      <c r="O114" s="90">
        <f t="shared" si="28"/>
        <v>0</v>
      </c>
      <c r="P114" s="90">
        <f t="shared" si="28"/>
        <v>0</v>
      </c>
      <c r="Q114" s="90">
        <f t="shared" si="28"/>
        <v>0</v>
      </c>
      <c r="R114" s="90">
        <f t="shared" si="28"/>
        <v>0</v>
      </c>
      <c r="S114" s="90">
        <f t="shared" si="28"/>
        <v>0</v>
      </c>
      <c r="T114" s="90">
        <f t="shared" si="28"/>
        <v>0</v>
      </c>
      <c r="U114" s="101">
        <f t="shared" si="28"/>
        <v>0</v>
      </c>
      <c r="V114" s="71"/>
      <c r="W114" s="102">
        <f t="shared" si="29"/>
        <v>0</v>
      </c>
      <c r="X114" s="102">
        <f t="shared" si="29"/>
        <v>0</v>
      </c>
      <c r="Y114" s="90">
        <f t="shared" si="29"/>
        <v>0</v>
      </c>
      <c r="Z114" s="102">
        <f t="shared" si="29"/>
        <v>0</v>
      </c>
      <c r="AA114" s="101" t="str">
        <f t="shared" si="29"/>
        <v>EA</v>
      </c>
      <c r="AB114" s="71"/>
      <c r="AC114" s="91">
        <v>1</v>
      </c>
      <c r="AD114" s="91">
        <v>1</v>
      </c>
      <c r="AE114" s="92">
        <f t="shared" si="26"/>
        <v>0</v>
      </c>
      <c r="AF114" s="93">
        <f t="shared" si="14"/>
        <v>0</v>
      </c>
    </row>
    <row r="115" spans="1:32" ht="12.5">
      <c r="A115" s="28">
        <v>99</v>
      </c>
      <c r="B115" s="104" t="s">
        <v>130</v>
      </c>
      <c r="C115" s="116" t="str">
        <f t="shared" si="27"/>
        <v>PTP-CivilWorks</v>
      </c>
      <c r="D115" s="117" t="s">
        <v>11</v>
      </c>
      <c r="E115" s="116" t="str">
        <f t="shared" si="21"/>
        <v>Variable Cost</v>
      </c>
      <c r="F115" s="118">
        <f t="shared" si="23"/>
        <v>1.1499999999999999</v>
      </c>
      <c r="G115" s="119"/>
      <c r="J115" s="83">
        <f t="shared" si="18"/>
        <v>0</v>
      </c>
      <c r="K115" s="99">
        <v>99</v>
      </c>
      <c r="L115" s="100">
        <f t="shared" si="28"/>
        <v>1</v>
      </c>
      <c r="M115" s="90">
        <f t="shared" si="28"/>
        <v>0</v>
      </c>
      <c r="N115" s="90">
        <f t="shared" si="28"/>
        <v>0</v>
      </c>
      <c r="O115" s="90">
        <f t="shared" si="28"/>
        <v>0</v>
      </c>
      <c r="P115" s="90">
        <f t="shared" si="28"/>
        <v>0</v>
      </c>
      <c r="Q115" s="90">
        <f t="shared" si="28"/>
        <v>0</v>
      </c>
      <c r="R115" s="90">
        <f t="shared" si="28"/>
        <v>0</v>
      </c>
      <c r="S115" s="90">
        <f t="shared" si="28"/>
        <v>0</v>
      </c>
      <c r="T115" s="90">
        <f t="shared" si="28"/>
        <v>0</v>
      </c>
      <c r="U115" s="101">
        <f t="shared" si="28"/>
        <v>0</v>
      </c>
      <c r="V115" s="71"/>
      <c r="W115" s="102">
        <f t="shared" si="29"/>
        <v>0</v>
      </c>
      <c r="X115" s="102">
        <f t="shared" si="29"/>
        <v>0</v>
      </c>
      <c r="Y115" s="90">
        <f t="shared" si="29"/>
        <v>0</v>
      </c>
      <c r="Z115" s="102">
        <f t="shared" si="29"/>
        <v>0</v>
      </c>
      <c r="AA115" s="101" t="str">
        <f t="shared" si="29"/>
        <v>EA</v>
      </c>
      <c r="AB115" s="71"/>
      <c r="AC115" s="91">
        <v>1</v>
      </c>
      <c r="AD115" s="91">
        <v>1</v>
      </c>
      <c r="AE115" s="92">
        <f t="shared" si="26"/>
        <v>0</v>
      </c>
      <c r="AF115" s="93">
        <f t="shared" si="14"/>
        <v>0</v>
      </c>
    </row>
    <row r="116" spans="1:32" ht="12.5">
      <c r="A116" s="28">
        <v>100</v>
      </c>
      <c r="B116" s="104" t="s">
        <v>131</v>
      </c>
      <c r="C116" s="116" t="str">
        <f t="shared" si="27"/>
        <v>PTP-Other</v>
      </c>
      <c r="D116" s="117" t="s">
        <v>8</v>
      </c>
      <c r="E116" s="116" t="str">
        <f t="shared" si="21"/>
        <v>Fixed Cost</v>
      </c>
      <c r="F116" s="118">
        <f t="shared" si="23"/>
        <v>1.1499999999999999</v>
      </c>
      <c r="G116" s="119"/>
      <c r="J116" s="83">
        <f t="shared" si="18"/>
        <v>0</v>
      </c>
      <c r="K116" s="99">
        <v>100</v>
      </c>
      <c r="L116" s="100">
        <f t="shared" si="28"/>
        <v>1</v>
      </c>
      <c r="M116" s="90">
        <f t="shared" si="28"/>
        <v>0</v>
      </c>
      <c r="N116" s="90">
        <f t="shared" si="28"/>
        <v>0</v>
      </c>
      <c r="O116" s="90">
        <f t="shared" si="28"/>
        <v>0</v>
      </c>
      <c r="P116" s="90">
        <f t="shared" si="28"/>
        <v>0</v>
      </c>
      <c r="Q116" s="90">
        <f t="shared" si="28"/>
        <v>0</v>
      </c>
      <c r="R116" s="90">
        <f t="shared" si="28"/>
        <v>0</v>
      </c>
      <c r="S116" s="90">
        <f t="shared" si="28"/>
        <v>0</v>
      </c>
      <c r="T116" s="90">
        <f t="shared" si="28"/>
        <v>0</v>
      </c>
      <c r="U116" s="101">
        <f t="shared" si="28"/>
        <v>0</v>
      </c>
      <c r="V116" s="71"/>
      <c r="W116" s="102">
        <f t="shared" si="29"/>
        <v>0</v>
      </c>
      <c r="X116" s="102">
        <f t="shared" si="29"/>
        <v>0</v>
      </c>
      <c r="Y116" s="90">
        <f t="shared" si="29"/>
        <v>0</v>
      </c>
      <c r="Z116" s="102">
        <f t="shared" si="29"/>
        <v>0</v>
      </c>
      <c r="AA116" s="101" t="str">
        <f t="shared" si="29"/>
        <v>EA</v>
      </c>
      <c r="AB116" s="71"/>
      <c r="AC116" s="91">
        <v>1</v>
      </c>
      <c r="AD116" s="91">
        <v>1</v>
      </c>
      <c r="AE116" s="92">
        <f t="shared" si="26"/>
        <v>0</v>
      </c>
      <c r="AF116" s="93">
        <f t="shared" si="14"/>
        <v>0</v>
      </c>
    </row>
    <row r="117" spans="1:32" ht="12.5">
      <c r="A117" s="28">
        <v>101</v>
      </c>
      <c r="B117" s="104" t="s">
        <v>132</v>
      </c>
      <c r="C117" s="116" t="str">
        <f t="shared" si="27"/>
        <v>PTP-DHT</v>
      </c>
      <c r="D117" s="117" t="s">
        <v>8</v>
      </c>
      <c r="E117" s="116" t="str">
        <f t="shared" si="21"/>
        <v>Fixed Cost</v>
      </c>
      <c r="F117" s="118">
        <f t="shared" si="23"/>
        <v>1.1499999999999999</v>
      </c>
      <c r="G117" s="119"/>
      <c r="J117" s="83">
        <f t="shared" si="18"/>
        <v>0</v>
      </c>
      <c r="K117" s="99">
        <v>101</v>
      </c>
      <c r="L117" s="100">
        <f t="shared" si="28"/>
        <v>1</v>
      </c>
      <c r="M117" s="90">
        <f t="shared" si="28"/>
        <v>0</v>
      </c>
      <c r="N117" s="90">
        <f t="shared" si="28"/>
        <v>0</v>
      </c>
      <c r="O117" s="90">
        <f t="shared" si="28"/>
        <v>0</v>
      </c>
      <c r="P117" s="90">
        <f t="shared" si="28"/>
        <v>0</v>
      </c>
      <c r="Q117" s="90">
        <f t="shared" si="28"/>
        <v>0</v>
      </c>
      <c r="R117" s="90">
        <f t="shared" si="28"/>
        <v>0</v>
      </c>
      <c r="S117" s="90">
        <f t="shared" si="28"/>
        <v>0</v>
      </c>
      <c r="T117" s="90">
        <f t="shared" si="28"/>
        <v>0</v>
      </c>
      <c r="U117" s="101">
        <f t="shared" si="28"/>
        <v>0</v>
      </c>
      <c r="V117" s="71"/>
      <c r="W117" s="102">
        <f t="shared" si="29"/>
        <v>0</v>
      </c>
      <c r="X117" s="102">
        <f t="shared" si="29"/>
        <v>0</v>
      </c>
      <c r="Y117" s="90">
        <f t="shared" si="29"/>
        <v>0</v>
      </c>
      <c r="Z117" s="102">
        <f t="shared" si="29"/>
        <v>0</v>
      </c>
      <c r="AA117" s="101" t="str">
        <f t="shared" si="29"/>
        <v>EA</v>
      </c>
      <c r="AB117" s="71"/>
      <c r="AC117" s="91">
        <v>1</v>
      </c>
      <c r="AD117" s="91">
        <v>1</v>
      </c>
      <c r="AE117" s="92">
        <f t="shared" si="26"/>
        <v>0</v>
      </c>
      <c r="AF117" s="93">
        <f t="shared" si="14"/>
        <v>0</v>
      </c>
    </row>
    <row r="118" spans="1:32" ht="12.5">
      <c r="A118" s="28">
        <v>102</v>
      </c>
      <c r="B118" s="104" t="s">
        <v>134</v>
      </c>
      <c r="C118" s="116" t="str">
        <f t="shared" si="27"/>
        <v>PTP-Coring</v>
      </c>
      <c r="D118" s="117" t="s">
        <v>11</v>
      </c>
      <c r="E118" s="116" t="str">
        <f t="shared" si="21"/>
        <v>Variable Cost</v>
      </c>
      <c r="F118" s="118">
        <f t="shared" si="23"/>
        <v>1.1499999999999999</v>
      </c>
      <c r="G118" s="119"/>
      <c r="J118" s="83">
        <f t="shared" si="18"/>
        <v>0</v>
      </c>
      <c r="K118" s="99">
        <v>102</v>
      </c>
      <c r="L118" s="100">
        <f t="shared" si="28"/>
        <v>1</v>
      </c>
      <c r="M118" s="90">
        <f t="shared" si="28"/>
        <v>0</v>
      </c>
      <c r="N118" s="90">
        <f t="shared" si="28"/>
        <v>0</v>
      </c>
      <c r="O118" s="90">
        <f t="shared" si="28"/>
        <v>0</v>
      </c>
      <c r="P118" s="90">
        <f t="shared" si="28"/>
        <v>0</v>
      </c>
      <c r="Q118" s="90">
        <f t="shared" si="28"/>
        <v>0</v>
      </c>
      <c r="R118" s="90">
        <f t="shared" si="28"/>
        <v>0</v>
      </c>
      <c r="S118" s="90">
        <f t="shared" si="28"/>
        <v>0</v>
      </c>
      <c r="T118" s="90">
        <f t="shared" si="28"/>
        <v>0</v>
      </c>
      <c r="U118" s="101">
        <f t="shared" si="28"/>
        <v>0</v>
      </c>
      <c r="V118" s="71"/>
      <c r="W118" s="102">
        <f t="shared" si="29"/>
        <v>0</v>
      </c>
      <c r="X118" s="102">
        <f t="shared" si="29"/>
        <v>0</v>
      </c>
      <c r="Y118" s="90">
        <f t="shared" si="29"/>
        <v>0</v>
      </c>
      <c r="Z118" s="102">
        <f t="shared" si="29"/>
        <v>0</v>
      </c>
      <c r="AA118" s="101" t="str">
        <f t="shared" si="29"/>
        <v>EA</v>
      </c>
      <c r="AB118" s="71"/>
      <c r="AC118" s="91">
        <v>1</v>
      </c>
      <c r="AD118" s="91">
        <v>1</v>
      </c>
      <c r="AE118" s="92">
        <f t="shared" si="26"/>
        <v>0</v>
      </c>
      <c r="AF118" s="93">
        <f t="shared" si="14"/>
        <v>0</v>
      </c>
    </row>
    <row r="119" spans="1:32" ht="12.5">
      <c r="A119" s="28">
        <v>103</v>
      </c>
      <c r="B119" s="104" t="s">
        <v>136</v>
      </c>
      <c r="C119" s="116" t="str">
        <f t="shared" si="27"/>
        <v>PTP-DHT</v>
      </c>
      <c r="D119" s="117" t="s">
        <v>11</v>
      </c>
      <c r="E119" s="116" t="str">
        <f t="shared" si="21"/>
        <v>Variable Cost</v>
      </c>
      <c r="F119" s="118">
        <f t="shared" si="23"/>
        <v>1.1499999999999999</v>
      </c>
      <c r="G119" s="119"/>
      <c r="J119" s="83">
        <f t="shared" si="18"/>
        <v>0</v>
      </c>
      <c r="K119" s="99">
        <v>103</v>
      </c>
      <c r="L119" s="100">
        <f t="shared" si="28"/>
        <v>1</v>
      </c>
      <c r="M119" s="90">
        <f t="shared" si="28"/>
        <v>0</v>
      </c>
      <c r="N119" s="90">
        <f t="shared" si="28"/>
        <v>0</v>
      </c>
      <c r="O119" s="90">
        <f t="shared" si="28"/>
        <v>0</v>
      </c>
      <c r="P119" s="90">
        <f t="shared" si="28"/>
        <v>0</v>
      </c>
      <c r="Q119" s="90">
        <f t="shared" si="28"/>
        <v>0</v>
      </c>
      <c r="R119" s="90">
        <f t="shared" si="28"/>
        <v>0</v>
      </c>
      <c r="S119" s="90">
        <f t="shared" si="28"/>
        <v>0</v>
      </c>
      <c r="T119" s="90">
        <f t="shared" si="28"/>
        <v>0</v>
      </c>
      <c r="U119" s="101">
        <f t="shared" si="28"/>
        <v>0</v>
      </c>
      <c r="V119" s="71"/>
      <c r="W119" s="102">
        <f t="shared" si="29"/>
        <v>0</v>
      </c>
      <c r="X119" s="102">
        <f t="shared" si="29"/>
        <v>0</v>
      </c>
      <c r="Y119" s="90">
        <f t="shared" si="29"/>
        <v>0</v>
      </c>
      <c r="Z119" s="102">
        <f t="shared" si="29"/>
        <v>0</v>
      </c>
      <c r="AA119" s="101" t="str">
        <f t="shared" si="29"/>
        <v>EA</v>
      </c>
      <c r="AB119" s="71"/>
      <c r="AC119" s="91">
        <v>1</v>
      </c>
      <c r="AD119" s="91">
        <v>1</v>
      </c>
      <c r="AE119" s="92">
        <f t="shared" si="26"/>
        <v>0</v>
      </c>
      <c r="AF119" s="93">
        <f t="shared" si="14"/>
        <v>0</v>
      </c>
    </row>
    <row r="120" spans="1:32" ht="12.5">
      <c r="A120" s="28">
        <v>104</v>
      </c>
      <c r="B120" s="104" t="s">
        <v>137</v>
      </c>
      <c r="C120" s="116" t="str">
        <f>INDEX(___ServicesMasterList_Symbol,MATCH($B120,___ServicesMasterList,0),1)</f>
        <v>PTP-Other</v>
      </c>
      <c r="D120" s="117" t="s">
        <v>8</v>
      </c>
      <c r="E120" s="116" t="str">
        <f t="shared" si="21"/>
        <v>Fixed Cost</v>
      </c>
      <c r="F120" s="118">
        <f t="shared" si="23"/>
        <v>1.1499999999999999</v>
      </c>
      <c r="G120" s="119"/>
      <c r="J120" s="83">
        <f t="shared" si="18"/>
        <v>0</v>
      </c>
      <c r="K120" s="99">
        <v>104</v>
      </c>
      <c r="L120" s="100">
        <f t="shared" si="28"/>
        <v>1</v>
      </c>
      <c r="M120" s="90">
        <f t="shared" si="28"/>
        <v>0</v>
      </c>
      <c r="N120" s="90">
        <f t="shared" si="28"/>
        <v>0</v>
      </c>
      <c r="O120" s="90">
        <f t="shared" si="28"/>
        <v>0</v>
      </c>
      <c r="P120" s="90">
        <f t="shared" si="28"/>
        <v>0</v>
      </c>
      <c r="Q120" s="90">
        <f t="shared" si="28"/>
        <v>0</v>
      </c>
      <c r="R120" s="90">
        <f t="shared" si="28"/>
        <v>0</v>
      </c>
      <c r="S120" s="90">
        <f t="shared" si="28"/>
        <v>0</v>
      </c>
      <c r="T120" s="90">
        <f t="shared" si="28"/>
        <v>0</v>
      </c>
      <c r="U120" s="101">
        <f t="shared" si="28"/>
        <v>0</v>
      </c>
      <c r="V120" s="71"/>
      <c r="W120" s="102">
        <f t="shared" si="29"/>
        <v>0</v>
      </c>
      <c r="X120" s="102">
        <f t="shared" si="29"/>
        <v>0</v>
      </c>
      <c r="Y120" s="90">
        <f t="shared" si="29"/>
        <v>0</v>
      </c>
      <c r="Z120" s="102">
        <f t="shared" si="29"/>
        <v>0</v>
      </c>
      <c r="AA120" s="101" t="str">
        <f t="shared" si="29"/>
        <v>EA</v>
      </c>
      <c r="AB120" s="71"/>
      <c r="AC120" s="91">
        <v>1</v>
      </c>
      <c r="AD120" s="91">
        <v>1</v>
      </c>
      <c r="AE120" s="92">
        <f t="shared" si="26"/>
        <v>0</v>
      </c>
      <c r="AF120" s="93">
        <f t="shared" si="14"/>
        <v>0</v>
      </c>
    </row>
    <row r="121" spans="1:32" ht="12.5">
      <c r="A121" s="28">
        <v>105</v>
      </c>
      <c r="B121" s="104" t="s">
        <v>138</v>
      </c>
      <c r="C121" s="116" t="str">
        <f t="shared" si="27"/>
        <v>PTP-DHT</v>
      </c>
      <c r="D121" s="117" t="s">
        <v>11</v>
      </c>
      <c r="E121" s="116" t="str">
        <f t="shared" si="21"/>
        <v>Variable Cost</v>
      </c>
      <c r="F121" s="118">
        <f t="shared" si="23"/>
        <v>1.1499999999999999</v>
      </c>
      <c r="G121" s="119"/>
      <c r="J121" s="83">
        <f t="shared" si="18"/>
        <v>0</v>
      </c>
      <c r="K121" s="99">
        <v>105</v>
      </c>
      <c r="L121" s="100">
        <f t="shared" si="28"/>
        <v>1</v>
      </c>
      <c r="M121" s="90">
        <f t="shared" si="28"/>
        <v>0</v>
      </c>
      <c r="N121" s="90">
        <f t="shared" si="28"/>
        <v>0</v>
      </c>
      <c r="O121" s="90">
        <f t="shared" si="28"/>
        <v>0</v>
      </c>
      <c r="P121" s="90">
        <f t="shared" si="28"/>
        <v>0</v>
      </c>
      <c r="Q121" s="90">
        <f t="shared" si="28"/>
        <v>0</v>
      </c>
      <c r="R121" s="90">
        <f t="shared" si="28"/>
        <v>0</v>
      </c>
      <c r="S121" s="90">
        <f t="shared" si="28"/>
        <v>0</v>
      </c>
      <c r="T121" s="90">
        <f t="shared" si="28"/>
        <v>0</v>
      </c>
      <c r="U121" s="101">
        <f t="shared" si="28"/>
        <v>0</v>
      </c>
      <c r="V121" s="71"/>
      <c r="W121" s="102">
        <f t="shared" si="29"/>
        <v>0</v>
      </c>
      <c r="X121" s="102">
        <f t="shared" si="29"/>
        <v>0</v>
      </c>
      <c r="Y121" s="90">
        <f t="shared" si="29"/>
        <v>0</v>
      </c>
      <c r="Z121" s="102">
        <f t="shared" si="29"/>
        <v>0</v>
      </c>
      <c r="AA121" s="101" t="str">
        <f t="shared" si="29"/>
        <v>EA</v>
      </c>
      <c r="AB121" s="71"/>
      <c r="AC121" s="91">
        <v>1</v>
      </c>
      <c r="AD121" s="91">
        <v>1</v>
      </c>
      <c r="AE121" s="92">
        <f t="shared" si="26"/>
        <v>0</v>
      </c>
      <c r="AF121" s="93">
        <f t="shared" si="14"/>
        <v>0</v>
      </c>
    </row>
    <row r="122" spans="1:32" ht="12.5">
      <c r="A122" s="28">
        <v>106</v>
      </c>
      <c r="B122" s="104" t="s">
        <v>139</v>
      </c>
      <c r="C122" s="116" t="str">
        <f t="shared" si="27"/>
        <v>PTP-DHT</v>
      </c>
      <c r="D122" s="117" t="s">
        <v>8</v>
      </c>
      <c r="E122" s="116" t="str">
        <f t="shared" si="21"/>
        <v>Fixed Cost</v>
      </c>
      <c r="F122" s="118">
        <f t="shared" si="23"/>
        <v>1.1499999999999999</v>
      </c>
      <c r="G122" s="119"/>
      <c r="J122" s="83">
        <f t="shared" si="18"/>
        <v>0</v>
      </c>
      <c r="K122" s="99">
        <v>106</v>
      </c>
      <c r="L122" s="100">
        <f t="shared" si="28"/>
        <v>1</v>
      </c>
      <c r="M122" s="90">
        <f t="shared" si="28"/>
        <v>0</v>
      </c>
      <c r="N122" s="90">
        <f t="shared" si="28"/>
        <v>0</v>
      </c>
      <c r="O122" s="90">
        <f t="shared" si="28"/>
        <v>0</v>
      </c>
      <c r="P122" s="90">
        <f t="shared" si="28"/>
        <v>0</v>
      </c>
      <c r="Q122" s="90">
        <f t="shared" si="28"/>
        <v>0</v>
      </c>
      <c r="R122" s="90">
        <f t="shared" si="28"/>
        <v>0</v>
      </c>
      <c r="S122" s="90">
        <f t="shared" si="28"/>
        <v>0</v>
      </c>
      <c r="T122" s="90">
        <f t="shared" si="28"/>
        <v>0</v>
      </c>
      <c r="U122" s="101">
        <f t="shared" si="28"/>
        <v>0</v>
      </c>
      <c r="V122" s="71"/>
      <c r="W122" s="102">
        <f t="shared" si="29"/>
        <v>0</v>
      </c>
      <c r="X122" s="102">
        <f t="shared" si="29"/>
        <v>0</v>
      </c>
      <c r="Y122" s="90">
        <f t="shared" si="29"/>
        <v>0</v>
      </c>
      <c r="Z122" s="102">
        <f t="shared" si="29"/>
        <v>0</v>
      </c>
      <c r="AA122" s="101" t="str">
        <f t="shared" si="29"/>
        <v>EA</v>
      </c>
      <c r="AB122" s="71"/>
      <c r="AC122" s="91">
        <v>1</v>
      </c>
      <c r="AD122" s="91">
        <v>1</v>
      </c>
      <c r="AE122" s="92">
        <f t="shared" si="26"/>
        <v>0</v>
      </c>
      <c r="AF122" s="93">
        <f t="shared" si="14"/>
        <v>0</v>
      </c>
    </row>
    <row r="123" spans="1:32" ht="12.5">
      <c r="A123" s="28">
        <v>107</v>
      </c>
      <c r="B123" s="104" t="s">
        <v>140</v>
      </c>
      <c r="C123" s="116" t="str">
        <f t="shared" si="27"/>
        <v>PTP-Survey</v>
      </c>
      <c r="D123" s="117" t="s">
        <v>8</v>
      </c>
      <c r="E123" s="116" t="str">
        <f t="shared" si="21"/>
        <v>Fixed Cost</v>
      </c>
      <c r="F123" s="118">
        <f t="shared" si="23"/>
        <v>1.1499999999999999</v>
      </c>
      <c r="G123" s="119"/>
      <c r="J123" s="83">
        <f t="shared" si="18"/>
        <v>0</v>
      </c>
      <c r="K123" s="99">
        <v>107</v>
      </c>
      <c r="L123" s="100">
        <f t="shared" si="28"/>
        <v>1</v>
      </c>
      <c r="M123" s="90">
        <f t="shared" si="28"/>
        <v>0</v>
      </c>
      <c r="N123" s="90">
        <f t="shared" si="28"/>
        <v>0</v>
      </c>
      <c r="O123" s="90">
        <f t="shared" si="28"/>
        <v>0</v>
      </c>
      <c r="P123" s="90">
        <f t="shared" si="28"/>
        <v>0</v>
      </c>
      <c r="Q123" s="90">
        <f t="shared" si="28"/>
        <v>0</v>
      </c>
      <c r="R123" s="90">
        <f t="shared" si="28"/>
        <v>0</v>
      </c>
      <c r="S123" s="90">
        <f t="shared" si="28"/>
        <v>0</v>
      </c>
      <c r="T123" s="90">
        <f t="shared" si="28"/>
        <v>0</v>
      </c>
      <c r="U123" s="101">
        <f t="shared" si="28"/>
        <v>0</v>
      </c>
      <c r="V123" s="71"/>
      <c r="W123" s="102">
        <f t="shared" si="29"/>
        <v>0</v>
      </c>
      <c r="X123" s="102">
        <f t="shared" si="29"/>
        <v>0</v>
      </c>
      <c r="Y123" s="90">
        <f t="shared" si="29"/>
        <v>0</v>
      </c>
      <c r="Z123" s="102">
        <f t="shared" si="29"/>
        <v>0</v>
      </c>
      <c r="AA123" s="101" t="str">
        <f t="shared" si="29"/>
        <v>EA</v>
      </c>
      <c r="AB123" s="71"/>
      <c r="AC123" s="91">
        <v>1</v>
      </c>
      <c r="AD123" s="91">
        <v>1</v>
      </c>
      <c r="AE123" s="92">
        <f t="shared" si="26"/>
        <v>0</v>
      </c>
      <c r="AF123" s="93">
        <f t="shared" si="14"/>
        <v>0</v>
      </c>
    </row>
    <row r="124" spans="1:32" ht="12.5">
      <c r="A124" s="28">
        <v>108</v>
      </c>
      <c r="B124" s="104" t="s">
        <v>142</v>
      </c>
      <c r="C124" s="116" t="str">
        <f t="shared" si="27"/>
        <v>PTP-Packers</v>
      </c>
      <c r="D124" s="117" t="s">
        <v>11</v>
      </c>
      <c r="E124" s="116" t="str">
        <f t="shared" si="21"/>
        <v>Variable Cost</v>
      </c>
      <c r="F124" s="118">
        <f t="shared" si="23"/>
        <v>1.1499999999999999</v>
      </c>
      <c r="G124" s="119"/>
      <c r="J124" s="83">
        <f t="shared" si="18"/>
        <v>0</v>
      </c>
      <c r="K124" s="99">
        <v>108</v>
      </c>
      <c r="L124" s="100">
        <f t="shared" si="28"/>
        <v>1</v>
      </c>
      <c r="M124" s="90">
        <f t="shared" si="28"/>
        <v>0</v>
      </c>
      <c r="N124" s="90">
        <f t="shared" si="28"/>
        <v>0</v>
      </c>
      <c r="O124" s="90">
        <f t="shared" si="28"/>
        <v>0</v>
      </c>
      <c r="P124" s="90">
        <f t="shared" si="28"/>
        <v>0</v>
      </c>
      <c r="Q124" s="90">
        <f t="shared" si="28"/>
        <v>0</v>
      </c>
      <c r="R124" s="90">
        <f t="shared" si="28"/>
        <v>0</v>
      </c>
      <c r="S124" s="90">
        <f t="shared" si="28"/>
        <v>0</v>
      </c>
      <c r="T124" s="90">
        <f t="shared" si="28"/>
        <v>0</v>
      </c>
      <c r="U124" s="101">
        <f t="shared" si="28"/>
        <v>0</v>
      </c>
      <c r="V124" s="71"/>
      <c r="W124" s="102">
        <f t="shared" si="29"/>
        <v>0</v>
      </c>
      <c r="X124" s="102">
        <f t="shared" si="29"/>
        <v>0</v>
      </c>
      <c r="Y124" s="90">
        <f t="shared" si="29"/>
        <v>0</v>
      </c>
      <c r="Z124" s="102">
        <f t="shared" si="29"/>
        <v>0</v>
      </c>
      <c r="AA124" s="101" t="str">
        <f t="shared" si="29"/>
        <v>EA</v>
      </c>
      <c r="AB124" s="71"/>
      <c r="AC124" s="91">
        <v>1</v>
      </c>
      <c r="AD124" s="91">
        <v>1</v>
      </c>
      <c r="AE124" s="92">
        <f t="shared" si="26"/>
        <v>0</v>
      </c>
      <c r="AF124" s="93">
        <f t="shared" si="14"/>
        <v>0</v>
      </c>
    </row>
    <row r="125" spans="1:32" ht="12.5">
      <c r="A125" s="28">
        <v>109</v>
      </c>
      <c r="B125" s="104" t="s">
        <v>144</v>
      </c>
      <c r="C125" s="116" t="str">
        <f t="shared" si="27"/>
        <v>PTP-SolidsControl</v>
      </c>
      <c r="D125" s="117" t="s">
        <v>11</v>
      </c>
      <c r="E125" s="116" t="str">
        <f t="shared" si="21"/>
        <v>Variable Cost</v>
      </c>
      <c r="F125" s="118">
        <f t="shared" si="23"/>
        <v>1.1499999999999999</v>
      </c>
      <c r="G125" s="119"/>
      <c r="J125" s="83">
        <f t="shared" si="18"/>
        <v>0</v>
      </c>
      <c r="K125" s="99">
        <v>109</v>
      </c>
      <c r="L125" s="100">
        <f t="shared" si="28"/>
        <v>1</v>
      </c>
      <c r="M125" s="90">
        <f t="shared" si="28"/>
        <v>0</v>
      </c>
      <c r="N125" s="90">
        <f t="shared" si="28"/>
        <v>0</v>
      </c>
      <c r="O125" s="90">
        <f t="shared" si="28"/>
        <v>0</v>
      </c>
      <c r="P125" s="90">
        <f t="shared" si="28"/>
        <v>0</v>
      </c>
      <c r="Q125" s="90">
        <f t="shared" si="28"/>
        <v>0</v>
      </c>
      <c r="R125" s="90">
        <f t="shared" si="28"/>
        <v>0</v>
      </c>
      <c r="S125" s="90">
        <f t="shared" si="28"/>
        <v>0</v>
      </c>
      <c r="T125" s="90">
        <f t="shared" si="28"/>
        <v>0</v>
      </c>
      <c r="U125" s="101">
        <f t="shared" si="28"/>
        <v>0</v>
      </c>
      <c r="V125" s="71"/>
      <c r="W125" s="102">
        <f t="shared" si="29"/>
        <v>0</v>
      </c>
      <c r="X125" s="102">
        <f t="shared" si="29"/>
        <v>0</v>
      </c>
      <c r="Y125" s="90">
        <f t="shared" si="29"/>
        <v>0</v>
      </c>
      <c r="Z125" s="102">
        <f t="shared" si="29"/>
        <v>0</v>
      </c>
      <c r="AA125" s="101" t="str">
        <f t="shared" si="29"/>
        <v>EA</v>
      </c>
      <c r="AB125" s="71"/>
      <c r="AC125" s="91">
        <v>1</v>
      </c>
      <c r="AD125" s="91">
        <v>1</v>
      </c>
      <c r="AE125" s="92">
        <f t="shared" si="26"/>
        <v>0</v>
      </c>
      <c r="AF125" s="93">
        <f t="shared" si="14"/>
        <v>0</v>
      </c>
    </row>
    <row r="126" spans="1:32" ht="12.5">
      <c r="A126" s="28">
        <v>110</v>
      </c>
      <c r="B126" s="104" t="s">
        <v>146</v>
      </c>
      <c r="C126" s="116" t="str">
        <f t="shared" si="27"/>
        <v>PTP-Wellhead</v>
      </c>
      <c r="D126" s="117" t="s">
        <v>11</v>
      </c>
      <c r="E126" s="116" t="str">
        <f t="shared" si="21"/>
        <v>Variable Cost</v>
      </c>
      <c r="F126" s="118">
        <f t="shared" si="23"/>
        <v>1.1499999999999999</v>
      </c>
      <c r="G126" s="119"/>
      <c r="J126" s="83">
        <f t="shared" si="18"/>
        <v>0</v>
      </c>
      <c r="K126" s="99">
        <v>110</v>
      </c>
      <c r="L126" s="100">
        <f t="shared" si="28"/>
        <v>1</v>
      </c>
      <c r="M126" s="90">
        <f t="shared" si="28"/>
        <v>0</v>
      </c>
      <c r="N126" s="90">
        <f t="shared" si="28"/>
        <v>0</v>
      </c>
      <c r="O126" s="90">
        <f t="shared" si="28"/>
        <v>0</v>
      </c>
      <c r="P126" s="90">
        <f t="shared" si="28"/>
        <v>0</v>
      </c>
      <c r="Q126" s="90">
        <f t="shared" si="28"/>
        <v>0</v>
      </c>
      <c r="R126" s="90">
        <f t="shared" si="28"/>
        <v>0</v>
      </c>
      <c r="S126" s="90">
        <f t="shared" si="28"/>
        <v>0</v>
      </c>
      <c r="T126" s="90">
        <f t="shared" si="28"/>
        <v>0</v>
      </c>
      <c r="U126" s="101">
        <f t="shared" si="28"/>
        <v>0</v>
      </c>
      <c r="V126" s="71"/>
      <c r="W126" s="102">
        <f t="shared" si="29"/>
        <v>0</v>
      </c>
      <c r="X126" s="102">
        <f t="shared" si="29"/>
        <v>0</v>
      </c>
      <c r="Y126" s="90">
        <f t="shared" si="29"/>
        <v>0</v>
      </c>
      <c r="Z126" s="102">
        <f t="shared" si="29"/>
        <v>0</v>
      </c>
      <c r="AA126" s="101" t="str">
        <f t="shared" si="29"/>
        <v>EA</v>
      </c>
      <c r="AB126" s="71"/>
      <c r="AC126" s="91">
        <v>1</v>
      </c>
      <c r="AD126" s="91">
        <v>1</v>
      </c>
      <c r="AE126" s="92">
        <f t="shared" si="26"/>
        <v>0</v>
      </c>
      <c r="AF126" s="93">
        <f t="shared" si="14"/>
        <v>0</v>
      </c>
    </row>
    <row r="127" spans="1:32" ht="12.5">
      <c r="A127" s="28">
        <v>111</v>
      </c>
      <c r="B127" s="104" t="s">
        <v>148</v>
      </c>
      <c r="C127" s="116" t="str">
        <f t="shared" si="27"/>
        <v>PTP-Wellhead</v>
      </c>
      <c r="D127" s="117" t="s">
        <v>11</v>
      </c>
      <c r="E127" s="116" t="str">
        <f t="shared" si="21"/>
        <v>Variable Cost</v>
      </c>
      <c r="F127" s="118">
        <f t="shared" si="23"/>
        <v>1.1499999999999999</v>
      </c>
      <c r="G127" s="119"/>
      <c r="J127" s="83">
        <f t="shared" si="18"/>
        <v>0</v>
      </c>
      <c r="K127" s="99">
        <v>111</v>
      </c>
      <c r="L127" s="100">
        <f t="shared" si="28"/>
        <v>1</v>
      </c>
      <c r="M127" s="90">
        <f t="shared" si="28"/>
        <v>0</v>
      </c>
      <c r="N127" s="90">
        <f t="shared" si="28"/>
        <v>0</v>
      </c>
      <c r="O127" s="90">
        <f t="shared" si="28"/>
        <v>0</v>
      </c>
      <c r="P127" s="90">
        <f t="shared" si="28"/>
        <v>0</v>
      </c>
      <c r="Q127" s="90">
        <f t="shared" si="28"/>
        <v>0</v>
      </c>
      <c r="R127" s="90">
        <f t="shared" si="28"/>
        <v>0</v>
      </c>
      <c r="S127" s="90">
        <f t="shared" si="28"/>
        <v>0</v>
      </c>
      <c r="T127" s="90">
        <f t="shared" si="28"/>
        <v>0</v>
      </c>
      <c r="U127" s="101">
        <f t="shared" si="28"/>
        <v>0</v>
      </c>
      <c r="V127" s="71"/>
      <c r="W127" s="102">
        <f t="shared" si="29"/>
        <v>0</v>
      </c>
      <c r="X127" s="102">
        <f t="shared" si="29"/>
        <v>0</v>
      </c>
      <c r="Y127" s="90">
        <f t="shared" si="29"/>
        <v>0</v>
      </c>
      <c r="Z127" s="102">
        <f t="shared" si="29"/>
        <v>0</v>
      </c>
      <c r="AA127" s="101" t="str">
        <f t="shared" si="29"/>
        <v>EA</v>
      </c>
      <c r="AB127" s="71"/>
      <c r="AC127" s="91">
        <v>1</v>
      </c>
      <c r="AD127" s="91">
        <v>1</v>
      </c>
      <c r="AE127" s="92">
        <f t="shared" si="26"/>
        <v>0</v>
      </c>
      <c r="AF127" s="93">
        <f t="shared" ref="AF127:AF190" si="30">INDEX(Y127:Z127,1,MATCH(_WellBasketSelection,$Y$15:$Z$15,0))*U127</f>
        <v>0</v>
      </c>
    </row>
    <row r="128" spans="1:32" ht="12.5">
      <c r="A128" s="28">
        <v>112</v>
      </c>
      <c r="B128" s="104" t="s">
        <v>149</v>
      </c>
      <c r="C128" s="116" t="str">
        <f t="shared" si="27"/>
        <v>PTP-FixCostDay</v>
      </c>
      <c r="D128" s="117" t="s">
        <v>11</v>
      </c>
      <c r="E128" s="116" t="str">
        <f t="shared" si="21"/>
        <v>Variable Cost</v>
      </c>
      <c r="F128" s="118">
        <f t="shared" si="23"/>
        <v>1.1499999999999999</v>
      </c>
      <c r="G128" s="119"/>
      <c r="J128" s="83">
        <f t="shared" si="18"/>
        <v>0</v>
      </c>
      <c r="K128" s="99">
        <v>112</v>
      </c>
      <c r="L128" s="100">
        <f t="shared" si="28"/>
        <v>1</v>
      </c>
      <c r="M128" s="90">
        <f t="shared" si="28"/>
        <v>0</v>
      </c>
      <c r="N128" s="90">
        <f t="shared" si="28"/>
        <v>0</v>
      </c>
      <c r="O128" s="90">
        <f t="shared" si="28"/>
        <v>0</v>
      </c>
      <c r="P128" s="90">
        <f t="shared" si="28"/>
        <v>0</v>
      </c>
      <c r="Q128" s="90">
        <f t="shared" si="28"/>
        <v>0</v>
      </c>
      <c r="R128" s="90">
        <f t="shared" si="28"/>
        <v>0</v>
      </c>
      <c r="S128" s="90">
        <f t="shared" si="28"/>
        <v>0</v>
      </c>
      <c r="T128" s="90">
        <f t="shared" si="28"/>
        <v>0</v>
      </c>
      <c r="U128" s="101">
        <f t="shared" si="28"/>
        <v>0</v>
      </c>
      <c r="V128" s="71"/>
      <c r="W128" s="102">
        <f t="shared" si="29"/>
        <v>0</v>
      </c>
      <c r="X128" s="102">
        <f t="shared" si="29"/>
        <v>0</v>
      </c>
      <c r="Y128" s="90">
        <f t="shared" si="29"/>
        <v>0</v>
      </c>
      <c r="Z128" s="102">
        <f t="shared" si="29"/>
        <v>0</v>
      </c>
      <c r="AA128" s="101" t="str">
        <f t="shared" si="29"/>
        <v>EA</v>
      </c>
      <c r="AB128" s="71"/>
      <c r="AC128" s="91">
        <v>1</v>
      </c>
      <c r="AD128" s="91">
        <v>1</v>
      </c>
      <c r="AE128" s="92">
        <f t="shared" si="26"/>
        <v>0</v>
      </c>
      <c r="AF128" s="93">
        <f t="shared" si="30"/>
        <v>0</v>
      </c>
    </row>
    <row r="129" spans="1:32" ht="12.5">
      <c r="A129" s="28">
        <v>113</v>
      </c>
      <c r="B129" s="104" t="s">
        <v>151</v>
      </c>
      <c r="C129" s="116" t="str">
        <f t="shared" si="27"/>
        <v>PTP-FixCostWell</v>
      </c>
      <c r="D129" s="117" t="s">
        <v>11</v>
      </c>
      <c r="E129" s="116" t="str">
        <f t="shared" si="21"/>
        <v>Variable Cost</v>
      </c>
      <c r="F129" s="118">
        <f t="shared" si="23"/>
        <v>1.1499999999999999</v>
      </c>
      <c r="G129" s="119"/>
      <c r="J129" s="83">
        <f t="shared" si="18"/>
        <v>0</v>
      </c>
      <c r="K129" s="99">
        <v>113</v>
      </c>
      <c r="L129" s="100">
        <f t="shared" ref="L129:U144" si="31">INDEX(L$420:L$1632,MATCH($K129,$K$420:$K$1632,0)+MATCH("Option "&amp;$D$9,$K$420:$K$1230,0)-1,1)</f>
        <v>1</v>
      </c>
      <c r="M129" s="90">
        <f t="shared" si="31"/>
        <v>0</v>
      </c>
      <c r="N129" s="90">
        <f t="shared" si="31"/>
        <v>0</v>
      </c>
      <c r="O129" s="90">
        <f t="shared" si="31"/>
        <v>0</v>
      </c>
      <c r="P129" s="90">
        <f t="shared" si="31"/>
        <v>0</v>
      </c>
      <c r="Q129" s="90">
        <f t="shared" si="31"/>
        <v>0</v>
      </c>
      <c r="R129" s="90">
        <f t="shared" si="31"/>
        <v>0</v>
      </c>
      <c r="S129" s="90">
        <f t="shared" si="31"/>
        <v>0</v>
      </c>
      <c r="T129" s="90">
        <f t="shared" si="31"/>
        <v>0</v>
      </c>
      <c r="U129" s="101">
        <f t="shared" si="31"/>
        <v>0</v>
      </c>
      <c r="V129" s="71"/>
      <c r="W129" s="102">
        <f t="shared" ref="W129:AA144" si="32">INDEX(W$420:W$1632,MATCH($K129,$K$420:$K$1632,0)+MATCH("Option "&amp;$D$9,$K$420:$K$1230,0)-1,1)</f>
        <v>0</v>
      </c>
      <c r="X129" s="102">
        <f t="shared" si="32"/>
        <v>0</v>
      </c>
      <c r="Y129" s="90">
        <f t="shared" si="32"/>
        <v>0</v>
      </c>
      <c r="Z129" s="102">
        <f t="shared" si="32"/>
        <v>0</v>
      </c>
      <c r="AA129" s="101" t="str">
        <f t="shared" si="32"/>
        <v>EA</v>
      </c>
      <c r="AB129" s="71"/>
      <c r="AC129" s="91">
        <v>1</v>
      </c>
      <c r="AD129" s="91">
        <v>1</v>
      </c>
      <c r="AE129" s="92">
        <f t="shared" si="26"/>
        <v>0</v>
      </c>
      <c r="AF129" s="93">
        <f t="shared" si="30"/>
        <v>0</v>
      </c>
    </row>
    <row r="130" spans="1:32" ht="12.5">
      <c r="A130" s="28">
        <v>114</v>
      </c>
      <c r="B130" s="120" t="s">
        <v>153</v>
      </c>
      <c r="C130" s="116" t="str">
        <f t="shared" si="27"/>
        <v>PTP-FixCostWell</v>
      </c>
      <c r="D130" s="117" t="s">
        <v>8</v>
      </c>
      <c r="E130" s="116" t="str">
        <f t="shared" si="21"/>
        <v>Fixed Cost</v>
      </c>
      <c r="F130" s="118">
        <f t="shared" si="23"/>
        <v>1.1499999999999999</v>
      </c>
      <c r="G130" s="119"/>
      <c r="J130" s="83">
        <f t="shared" si="18"/>
        <v>0</v>
      </c>
      <c r="K130" s="99">
        <v>114</v>
      </c>
      <c r="L130" s="100">
        <f t="shared" si="31"/>
        <v>1</v>
      </c>
      <c r="M130" s="90">
        <f t="shared" si="31"/>
        <v>0</v>
      </c>
      <c r="N130" s="90">
        <f t="shared" si="31"/>
        <v>0</v>
      </c>
      <c r="O130" s="90">
        <f t="shared" si="31"/>
        <v>0</v>
      </c>
      <c r="P130" s="90">
        <f t="shared" si="31"/>
        <v>0</v>
      </c>
      <c r="Q130" s="90">
        <f t="shared" si="31"/>
        <v>0</v>
      </c>
      <c r="R130" s="90">
        <f t="shared" si="31"/>
        <v>0</v>
      </c>
      <c r="S130" s="90">
        <f t="shared" si="31"/>
        <v>0</v>
      </c>
      <c r="T130" s="90">
        <f t="shared" si="31"/>
        <v>0</v>
      </c>
      <c r="U130" s="101">
        <f t="shared" si="31"/>
        <v>0</v>
      </c>
      <c r="V130" s="71"/>
      <c r="W130" s="102">
        <f t="shared" si="32"/>
        <v>0</v>
      </c>
      <c r="X130" s="102">
        <f t="shared" si="32"/>
        <v>0</v>
      </c>
      <c r="Y130" s="90">
        <f t="shared" si="32"/>
        <v>0</v>
      </c>
      <c r="Z130" s="102">
        <f t="shared" si="32"/>
        <v>0</v>
      </c>
      <c r="AA130" s="101" t="str">
        <f t="shared" si="32"/>
        <v>EA</v>
      </c>
      <c r="AB130" s="71"/>
      <c r="AC130" s="91">
        <v>1</v>
      </c>
      <c r="AD130" s="91">
        <v>1</v>
      </c>
      <c r="AE130" s="92">
        <f t="shared" si="26"/>
        <v>0</v>
      </c>
      <c r="AF130" s="93">
        <f t="shared" si="30"/>
        <v>0</v>
      </c>
    </row>
    <row r="131" spans="1:32" ht="12.5">
      <c r="A131" s="28">
        <v>115</v>
      </c>
      <c r="B131" s="104" t="s">
        <v>154</v>
      </c>
      <c r="C131" s="116" t="str">
        <f t="shared" si="27"/>
        <v>PTP-Facilities</v>
      </c>
      <c r="D131" s="117" t="s">
        <v>11</v>
      </c>
      <c r="E131" s="116" t="str">
        <f t="shared" si="21"/>
        <v>Variable Cost</v>
      </c>
      <c r="F131" s="118">
        <f t="shared" si="23"/>
        <v>1.1499999999999999</v>
      </c>
      <c r="G131" s="119"/>
      <c r="J131" s="83">
        <f t="shared" si="18"/>
        <v>0</v>
      </c>
      <c r="K131" s="99">
        <v>115</v>
      </c>
      <c r="L131" s="100">
        <f t="shared" si="31"/>
        <v>1</v>
      </c>
      <c r="M131" s="90">
        <f t="shared" si="31"/>
        <v>0</v>
      </c>
      <c r="N131" s="90">
        <f t="shared" si="31"/>
        <v>0</v>
      </c>
      <c r="O131" s="90">
        <f t="shared" si="31"/>
        <v>0</v>
      </c>
      <c r="P131" s="90">
        <f t="shared" si="31"/>
        <v>0</v>
      </c>
      <c r="Q131" s="90">
        <f t="shared" si="31"/>
        <v>0</v>
      </c>
      <c r="R131" s="90">
        <f t="shared" si="31"/>
        <v>0</v>
      </c>
      <c r="S131" s="90">
        <f t="shared" si="31"/>
        <v>0</v>
      </c>
      <c r="T131" s="90">
        <f t="shared" si="31"/>
        <v>0</v>
      </c>
      <c r="U131" s="101">
        <f t="shared" si="31"/>
        <v>0</v>
      </c>
      <c r="V131" s="71"/>
      <c r="W131" s="102">
        <f t="shared" si="32"/>
        <v>0</v>
      </c>
      <c r="X131" s="102">
        <f t="shared" si="32"/>
        <v>0</v>
      </c>
      <c r="Y131" s="90">
        <f t="shared" si="32"/>
        <v>0</v>
      </c>
      <c r="Z131" s="102">
        <f t="shared" si="32"/>
        <v>0</v>
      </c>
      <c r="AA131" s="101" t="str">
        <f t="shared" si="32"/>
        <v>EA</v>
      </c>
      <c r="AB131" s="71"/>
      <c r="AC131" s="91">
        <v>1</v>
      </c>
      <c r="AD131" s="91">
        <v>1</v>
      </c>
      <c r="AE131" s="92">
        <f t="shared" si="26"/>
        <v>0</v>
      </c>
      <c r="AF131" s="93">
        <f t="shared" si="30"/>
        <v>0</v>
      </c>
    </row>
    <row r="132" spans="1:32" ht="12.5">
      <c r="A132" s="28">
        <v>116</v>
      </c>
      <c r="B132" s="104" t="s">
        <v>156</v>
      </c>
      <c r="C132" s="116" t="str">
        <f t="shared" si="27"/>
        <v>PTP-Trucking</v>
      </c>
      <c r="D132" s="117" t="s">
        <v>11</v>
      </c>
      <c r="E132" s="116" t="str">
        <f t="shared" si="21"/>
        <v>Variable Cost</v>
      </c>
      <c r="F132" s="118">
        <f t="shared" si="23"/>
        <v>1.1499999999999999</v>
      </c>
      <c r="G132" s="119"/>
      <c r="J132" s="83">
        <f t="shared" si="18"/>
        <v>0</v>
      </c>
      <c r="K132" s="99">
        <v>116</v>
      </c>
      <c r="L132" s="100">
        <f t="shared" si="31"/>
        <v>1</v>
      </c>
      <c r="M132" s="90">
        <f t="shared" si="31"/>
        <v>0</v>
      </c>
      <c r="N132" s="90">
        <f t="shared" si="31"/>
        <v>0</v>
      </c>
      <c r="O132" s="90">
        <f t="shared" si="31"/>
        <v>0</v>
      </c>
      <c r="P132" s="90">
        <f t="shared" si="31"/>
        <v>0</v>
      </c>
      <c r="Q132" s="90">
        <f t="shared" si="31"/>
        <v>0</v>
      </c>
      <c r="R132" s="90">
        <f t="shared" si="31"/>
        <v>0</v>
      </c>
      <c r="S132" s="90">
        <f t="shared" si="31"/>
        <v>0</v>
      </c>
      <c r="T132" s="90">
        <f t="shared" si="31"/>
        <v>0</v>
      </c>
      <c r="U132" s="101">
        <f t="shared" si="31"/>
        <v>0</v>
      </c>
      <c r="V132" s="71"/>
      <c r="W132" s="102">
        <f t="shared" si="32"/>
        <v>0</v>
      </c>
      <c r="X132" s="102">
        <f t="shared" si="32"/>
        <v>0</v>
      </c>
      <c r="Y132" s="90">
        <f t="shared" si="32"/>
        <v>0</v>
      </c>
      <c r="Z132" s="102">
        <f t="shared" si="32"/>
        <v>0</v>
      </c>
      <c r="AA132" s="101" t="str">
        <f t="shared" si="32"/>
        <v>EA</v>
      </c>
      <c r="AB132" s="71"/>
      <c r="AC132" s="91">
        <v>1</v>
      </c>
      <c r="AD132" s="91">
        <v>1</v>
      </c>
      <c r="AE132" s="92">
        <f t="shared" si="26"/>
        <v>0</v>
      </c>
      <c r="AF132" s="93">
        <f t="shared" si="30"/>
        <v>0</v>
      </c>
    </row>
    <row r="133" spans="1:32" ht="12.5">
      <c r="A133" s="28">
        <v>117</v>
      </c>
      <c r="B133" s="104" t="s">
        <v>158</v>
      </c>
      <c r="C133" s="116" t="str">
        <f t="shared" si="27"/>
        <v>PTP-Trucking</v>
      </c>
      <c r="D133" s="117" t="s">
        <v>8</v>
      </c>
      <c r="E133" s="116" t="str">
        <f t="shared" si="21"/>
        <v>Fixed Cost</v>
      </c>
      <c r="F133" s="118">
        <f t="shared" si="23"/>
        <v>1.1499999999999999</v>
      </c>
      <c r="G133" s="119"/>
      <c r="J133" s="83">
        <f t="shared" si="18"/>
        <v>0</v>
      </c>
      <c r="K133" s="99">
        <v>117</v>
      </c>
      <c r="L133" s="100">
        <f t="shared" si="31"/>
        <v>1</v>
      </c>
      <c r="M133" s="90">
        <f t="shared" si="31"/>
        <v>0</v>
      </c>
      <c r="N133" s="90">
        <f t="shared" si="31"/>
        <v>0</v>
      </c>
      <c r="O133" s="90">
        <f t="shared" si="31"/>
        <v>0</v>
      </c>
      <c r="P133" s="90">
        <f t="shared" si="31"/>
        <v>0</v>
      </c>
      <c r="Q133" s="90">
        <f t="shared" si="31"/>
        <v>0</v>
      </c>
      <c r="R133" s="90">
        <f t="shared" si="31"/>
        <v>0</v>
      </c>
      <c r="S133" s="90">
        <f t="shared" si="31"/>
        <v>0</v>
      </c>
      <c r="T133" s="90">
        <f t="shared" si="31"/>
        <v>0</v>
      </c>
      <c r="U133" s="101">
        <f t="shared" si="31"/>
        <v>0</v>
      </c>
      <c r="V133" s="71"/>
      <c r="W133" s="102">
        <f t="shared" si="32"/>
        <v>0</v>
      </c>
      <c r="X133" s="102">
        <f t="shared" si="32"/>
        <v>0</v>
      </c>
      <c r="Y133" s="90">
        <f t="shared" si="32"/>
        <v>0</v>
      </c>
      <c r="Z133" s="102">
        <f t="shared" si="32"/>
        <v>0</v>
      </c>
      <c r="AA133" s="101" t="str">
        <f t="shared" si="32"/>
        <v>EA</v>
      </c>
      <c r="AB133" s="71"/>
      <c r="AC133" s="91">
        <v>1</v>
      </c>
      <c r="AD133" s="91">
        <v>1</v>
      </c>
      <c r="AE133" s="92">
        <f t="shared" si="26"/>
        <v>0</v>
      </c>
      <c r="AF133" s="93">
        <f t="shared" si="30"/>
        <v>0</v>
      </c>
    </row>
    <row r="134" spans="1:32" ht="12.5">
      <c r="A134" s="28">
        <v>118</v>
      </c>
      <c r="B134" s="104" t="s">
        <v>159</v>
      </c>
      <c r="C134" s="116" t="str">
        <f t="shared" si="27"/>
        <v>PTP-Trucking</v>
      </c>
      <c r="D134" s="117" t="s">
        <v>11</v>
      </c>
      <c r="E134" s="116" t="str">
        <f t="shared" si="21"/>
        <v>Variable Cost</v>
      </c>
      <c r="F134" s="118">
        <f t="shared" si="23"/>
        <v>1.1499999999999999</v>
      </c>
      <c r="G134" s="119"/>
      <c r="J134" s="83">
        <f t="shared" si="18"/>
        <v>0</v>
      </c>
      <c r="K134" s="99">
        <v>118</v>
      </c>
      <c r="L134" s="100">
        <f t="shared" si="31"/>
        <v>1</v>
      </c>
      <c r="M134" s="90">
        <f t="shared" si="31"/>
        <v>0</v>
      </c>
      <c r="N134" s="90">
        <f t="shared" si="31"/>
        <v>0</v>
      </c>
      <c r="O134" s="90">
        <f t="shared" si="31"/>
        <v>0</v>
      </c>
      <c r="P134" s="90">
        <f t="shared" si="31"/>
        <v>0</v>
      </c>
      <c r="Q134" s="90">
        <f t="shared" si="31"/>
        <v>0</v>
      </c>
      <c r="R134" s="90">
        <f t="shared" si="31"/>
        <v>0</v>
      </c>
      <c r="S134" s="90">
        <f t="shared" si="31"/>
        <v>0</v>
      </c>
      <c r="T134" s="90">
        <f t="shared" si="31"/>
        <v>0</v>
      </c>
      <c r="U134" s="101">
        <f t="shared" si="31"/>
        <v>0</v>
      </c>
      <c r="V134" s="71"/>
      <c r="W134" s="102">
        <f t="shared" si="32"/>
        <v>0</v>
      </c>
      <c r="X134" s="102">
        <f t="shared" si="32"/>
        <v>0</v>
      </c>
      <c r="Y134" s="90">
        <f t="shared" si="32"/>
        <v>0</v>
      </c>
      <c r="Z134" s="102">
        <f t="shared" si="32"/>
        <v>0</v>
      </c>
      <c r="AA134" s="101" t="str">
        <f t="shared" si="32"/>
        <v>EA</v>
      </c>
      <c r="AB134" s="71"/>
      <c r="AC134" s="91">
        <v>1</v>
      </c>
      <c r="AD134" s="91">
        <v>1</v>
      </c>
      <c r="AE134" s="92">
        <f t="shared" si="26"/>
        <v>0</v>
      </c>
      <c r="AF134" s="93">
        <f t="shared" si="30"/>
        <v>0</v>
      </c>
    </row>
    <row r="135" spans="1:32" ht="12.5">
      <c r="A135" s="28">
        <v>119</v>
      </c>
      <c r="B135" s="104" t="s">
        <v>160</v>
      </c>
      <c r="C135" s="116" t="str">
        <f t="shared" si="27"/>
        <v>PTP-Trucking</v>
      </c>
      <c r="D135" s="117" t="s">
        <v>11</v>
      </c>
      <c r="E135" s="116" t="str">
        <f t="shared" si="21"/>
        <v>Variable Cost</v>
      </c>
      <c r="F135" s="118">
        <f t="shared" si="23"/>
        <v>1.1499999999999999</v>
      </c>
      <c r="G135" s="119"/>
      <c r="J135" s="83">
        <f t="shared" si="18"/>
        <v>0</v>
      </c>
      <c r="K135" s="99">
        <v>119</v>
      </c>
      <c r="L135" s="100">
        <f t="shared" si="31"/>
        <v>1</v>
      </c>
      <c r="M135" s="90">
        <f t="shared" si="31"/>
        <v>0</v>
      </c>
      <c r="N135" s="90">
        <f t="shared" si="31"/>
        <v>0</v>
      </c>
      <c r="O135" s="90">
        <f t="shared" si="31"/>
        <v>0</v>
      </c>
      <c r="P135" s="90">
        <f t="shared" si="31"/>
        <v>0</v>
      </c>
      <c r="Q135" s="90">
        <f t="shared" si="31"/>
        <v>0</v>
      </c>
      <c r="R135" s="90">
        <f t="shared" si="31"/>
        <v>0</v>
      </c>
      <c r="S135" s="90">
        <f t="shared" si="31"/>
        <v>0</v>
      </c>
      <c r="T135" s="90">
        <f t="shared" si="31"/>
        <v>0</v>
      </c>
      <c r="U135" s="101">
        <f t="shared" si="31"/>
        <v>0</v>
      </c>
      <c r="V135" s="71"/>
      <c r="W135" s="102">
        <f t="shared" si="32"/>
        <v>0</v>
      </c>
      <c r="X135" s="102">
        <f t="shared" si="32"/>
        <v>0</v>
      </c>
      <c r="Y135" s="90">
        <f t="shared" si="32"/>
        <v>0</v>
      </c>
      <c r="Z135" s="102">
        <f t="shared" si="32"/>
        <v>0</v>
      </c>
      <c r="AA135" s="101" t="str">
        <f t="shared" si="32"/>
        <v>EA</v>
      </c>
      <c r="AB135" s="71"/>
      <c r="AC135" s="91">
        <v>1</v>
      </c>
      <c r="AD135" s="91">
        <v>1</v>
      </c>
      <c r="AE135" s="92">
        <f t="shared" si="26"/>
        <v>0</v>
      </c>
      <c r="AF135" s="93">
        <f t="shared" si="30"/>
        <v>0</v>
      </c>
    </row>
    <row r="136" spans="1:32" ht="12.5">
      <c r="A136" s="28">
        <v>120</v>
      </c>
      <c r="B136" s="104" t="s">
        <v>161</v>
      </c>
      <c r="C136" s="116" t="str">
        <f t="shared" si="27"/>
        <v>PTP-Trucking</v>
      </c>
      <c r="D136" s="117" t="s">
        <v>11</v>
      </c>
      <c r="E136" s="116" t="str">
        <f t="shared" si="21"/>
        <v>Variable Cost</v>
      </c>
      <c r="F136" s="118">
        <f t="shared" si="23"/>
        <v>1.1499999999999999</v>
      </c>
      <c r="G136" s="119"/>
      <c r="J136" s="83">
        <f t="shared" si="18"/>
        <v>0</v>
      </c>
      <c r="K136" s="99">
        <v>120</v>
      </c>
      <c r="L136" s="100">
        <f t="shared" si="31"/>
        <v>1</v>
      </c>
      <c r="M136" s="90">
        <f t="shared" si="31"/>
        <v>0</v>
      </c>
      <c r="N136" s="90">
        <f t="shared" si="31"/>
        <v>0</v>
      </c>
      <c r="O136" s="90">
        <f t="shared" si="31"/>
        <v>0</v>
      </c>
      <c r="P136" s="90">
        <f t="shared" si="31"/>
        <v>0</v>
      </c>
      <c r="Q136" s="90">
        <f t="shared" si="31"/>
        <v>0</v>
      </c>
      <c r="R136" s="90">
        <f t="shared" si="31"/>
        <v>0</v>
      </c>
      <c r="S136" s="90">
        <f t="shared" si="31"/>
        <v>0</v>
      </c>
      <c r="T136" s="90">
        <f t="shared" si="31"/>
        <v>0</v>
      </c>
      <c r="U136" s="101">
        <f t="shared" si="31"/>
        <v>0</v>
      </c>
      <c r="V136" s="71"/>
      <c r="W136" s="102">
        <f t="shared" si="32"/>
        <v>0</v>
      </c>
      <c r="X136" s="102">
        <f t="shared" si="32"/>
        <v>0</v>
      </c>
      <c r="Y136" s="90">
        <f t="shared" si="32"/>
        <v>0</v>
      </c>
      <c r="Z136" s="102">
        <f t="shared" si="32"/>
        <v>0</v>
      </c>
      <c r="AA136" s="101" t="str">
        <f t="shared" si="32"/>
        <v>EA</v>
      </c>
      <c r="AB136" s="71"/>
      <c r="AC136" s="91">
        <v>1</v>
      </c>
      <c r="AD136" s="91">
        <v>1</v>
      </c>
      <c r="AE136" s="92">
        <f t="shared" si="26"/>
        <v>0</v>
      </c>
      <c r="AF136" s="93">
        <f t="shared" si="30"/>
        <v>0</v>
      </c>
    </row>
    <row r="137" spans="1:32" ht="12.5">
      <c r="A137" s="28">
        <v>121</v>
      </c>
      <c r="B137" s="121" t="s">
        <v>162</v>
      </c>
      <c r="C137" s="116" t="str">
        <f t="shared" si="27"/>
        <v>PTP-Trucking</v>
      </c>
      <c r="D137" s="117" t="s">
        <v>8</v>
      </c>
      <c r="E137" s="116" t="str">
        <f t="shared" si="21"/>
        <v>Fixed Cost</v>
      </c>
      <c r="F137" s="118">
        <f t="shared" si="23"/>
        <v>1.1499999999999999</v>
      </c>
      <c r="G137" s="119"/>
      <c r="J137" s="83">
        <f t="shared" si="18"/>
        <v>0</v>
      </c>
      <c r="K137" s="99">
        <v>121</v>
      </c>
      <c r="L137" s="100">
        <f t="shared" si="31"/>
        <v>1</v>
      </c>
      <c r="M137" s="90">
        <f t="shared" si="31"/>
        <v>0</v>
      </c>
      <c r="N137" s="90">
        <f t="shared" si="31"/>
        <v>0</v>
      </c>
      <c r="O137" s="90">
        <f t="shared" si="31"/>
        <v>0</v>
      </c>
      <c r="P137" s="90">
        <f t="shared" si="31"/>
        <v>0</v>
      </c>
      <c r="Q137" s="90">
        <f t="shared" si="31"/>
        <v>0</v>
      </c>
      <c r="R137" s="90">
        <f t="shared" si="31"/>
        <v>0</v>
      </c>
      <c r="S137" s="90">
        <f t="shared" si="31"/>
        <v>0</v>
      </c>
      <c r="T137" s="90">
        <f t="shared" si="31"/>
        <v>0</v>
      </c>
      <c r="U137" s="101">
        <f t="shared" si="31"/>
        <v>0</v>
      </c>
      <c r="V137" s="71"/>
      <c r="W137" s="102">
        <f t="shared" si="32"/>
        <v>0</v>
      </c>
      <c r="X137" s="102">
        <f t="shared" si="32"/>
        <v>0</v>
      </c>
      <c r="Y137" s="90">
        <f t="shared" si="32"/>
        <v>0</v>
      </c>
      <c r="Z137" s="102">
        <f t="shared" si="32"/>
        <v>0</v>
      </c>
      <c r="AA137" s="101" t="str">
        <f t="shared" si="32"/>
        <v>EA</v>
      </c>
      <c r="AB137" s="71"/>
      <c r="AC137" s="91">
        <v>1</v>
      </c>
      <c r="AD137" s="91">
        <v>1</v>
      </c>
      <c r="AE137" s="92">
        <f t="shared" si="26"/>
        <v>0</v>
      </c>
      <c r="AF137" s="93">
        <f t="shared" si="30"/>
        <v>0</v>
      </c>
    </row>
    <row r="138" spans="1:32" ht="12.5">
      <c r="A138" s="28">
        <v>122</v>
      </c>
      <c r="B138" s="104" t="s">
        <v>163</v>
      </c>
      <c r="C138" s="116" t="str">
        <f t="shared" si="27"/>
        <v>PTP-Trucking</v>
      </c>
      <c r="D138" s="117" t="s">
        <v>8</v>
      </c>
      <c r="E138" s="116" t="str">
        <f t="shared" si="21"/>
        <v>Fixed Cost</v>
      </c>
      <c r="F138" s="118">
        <f t="shared" si="23"/>
        <v>1.1499999999999999</v>
      </c>
      <c r="G138" s="119"/>
      <c r="J138" s="83">
        <f t="shared" si="18"/>
        <v>0</v>
      </c>
      <c r="K138" s="99">
        <v>122</v>
      </c>
      <c r="L138" s="100">
        <f t="shared" si="31"/>
        <v>1</v>
      </c>
      <c r="M138" s="90">
        <f t="shared" si="31"/>
        <v>0</v>
      </c>
      <c r="N138" s="90">
        <f t="shared" si="31"/>
        <v>0</v>
      </c>
      <c r="O138" s="90">
        <f t="shared" si="31"/>
        <v>0</v>
      </c>
      <c r="P138" s="90">
        <f t="shared" si="31"/>
        <v>0</v>
      </c>
      <c r="Q138" s="90">
        <f t="shared" si="31"/>
        <v>0</v>
      </c>
      <c r="R138" s="90">
        <f t="shared" si="31"/>
        <v>0</v>
      </c>
      <c r="S138" s="90">
        <f t="shared" si="31"/>
        <v>0</v>
      </c>
      <c r="T138" s="90">
        <f t="shared" si="31"/>
        <v>0</v>
      </c>
      <c r="U138" s="101">
        <f t="shared" si="31"/>
        <v>0</v>
      </c>
      <c r="V138" s="71"/>
      <c r="W138" s="102">
        <f t="shared" si="32"/>
        <v>0</v>
      </c>
      <c r="X138" s="102">
        <f t="shared" si="32"/>
        <v>0</v>
      </c>
      <c r="Y138" s="90">
        <f t="shared" si="32"/>
        <v>0</v>
      </c>
      <c r="Z138" s="102">
        <f t="shared" si="32"/>
        <v>0</v>
      </c>
      <c r="AA138" s="101" t="str">
        <f t="shared" si="32"/>
        <v>EA</v>
      </c>
      <c r="AB138" s="71"/>
      <c r="AC138" s="91">
        <v>1</v>
      </c>
      <c r="AD138" s="91">
        <v>1</v>
      </c>
      <c r="AE138" s="92">
        <f t="shared" si="26"/>
        <v>0</v>
      </c>
      <c r="AF138" s="93">
        <f t="shared" si="30"/>
        <v>0</v>
      </c>
    </row>
    <row r="139" spans="1:32" ht="12.5">
      <c r="A139" s="28">
        <v>123</v>
      </c>
      <c r="B139" s="104" t="s">
        <v>164</v>
      </c>
      <c r="C139" s="116" t="str">
        <f t="shared" si="27"/>
        <v>PTP-Trucking</v>
      </c>
      <c r="D139" s="117" t="s">
        <v>8</v>
      </c>
      <c r="E139" s="116" t="str">
        <f t="shared" si="21"/>
        <v>Fixed Cost</v>
      </c>
      <c r="F139" s="118">
        <f t="shared" si="23"/>
        <v>1.1499999999999999</v>
      </c>
      <c r="G139" s="119"/>
      <c r="J139" s="83">
        <f t="shared" si="18"/>
        <v>0</v>
      </c>
      <c r="K139" s="99">
        <v>123</v>
      </c>
      <c r="L139" s="100">
        <f t="shared" si="31"/>
        <v>1</v>
      </c>
      <c r="M139" s="90">
        <f t="shared" si="31"/>
        <v>0</v>
      </c>
      <c r="N139" s="90">
        <f t="shared" si="31"/>
        <v>0</v>
      </c>
      <c r="O139" s="90">
        <f t="shared" si="31"/>
        <v>0</v>
      </c>
      <c r="P139" s="90">
        <f t="shared" si="31"/>
        <v>0</v>
      </c>
      <c r="Q139" s="90">
        <f t="shared" si="31"/>
        <v>0</v>
      </c>
      <c r="R139" s="90">
        <f t="shared" si="31"/>
        <v>0</v>
      </c>
      <c r="S139" s="90">
        <f t="shared" si="31"/>
        <v>0</v>
      </c>
      <c r="T139" s="90">
        <f t="shared" si="31"/>
        <v>0</v>
      </c>
      <c r="U139" s="101">
        <f t="shared" si="31"/>
        <v>0</v>
      </c>
      <c r="V139" s="71"/>
      <c r="W139" s="102">
        <f t="shared" si="32"/>
        <v>0</v>
      </c>
      <c r="X139" s="102">
        <f t="shared" si="32"/>
        <v>0</v>
      </c>
      <c r="Y139" s="90">
        <f t="shared" si="32"/>
        <v>0</v>
      </c>
      <c r="Z139" s="102">
        <f t="shared" si="32"/>
        <v>0</v>
      </c>
      <c r="AA139" s="101" t="str">
        <f t="shared" si="32"/>
        <v>EA</v>
      </c>
      <c r="AB139" s="71"/>
      <c r="AC139" s="91">
        <v>1</v>
      </c>
      <c r="AD139" s="91">
        <v>1</v>
      </c>
      <c r="AE139" s="92">
        <f t="shared" si="26"/>
        <v>0</v>
      </c>
      <c r="AF139" s="93">
        <f t="shared" si="30"/>
        <v>0</v>
      </c>
    </row>
    <row r="140" spans="1:32" ht="12.5">
      <c r="A140" s="28">
        <v>124</v>
      </c>
      <c r="B140" s="104" t="s">
        <v>165</v>
      </c>
      <c r="C140" s="116" t="str">
        <f t="shared" si="27"/>
        <v>PTP-Trucking</v>
      </c>
      <c r="D140" s="117" t="s">
        <v>8</v>
      </c>
      <c r="E140" s="116" t="str">
        <f t="shared" si="21"/>
        <v>Fixed Cost</v>
      </c>
      <c r="F140" s="118">
        <f t="shared" si="23"/>
        <v>1.1499999999999999</v>
      </c>
      <c r="G140" s="119"/>
      <c r="J140" s="83">
        <f t="shared" si="18"/>
        <v>0</v>
      </c>
      <c r="K140" s="99">
        <v>124</v>
      </c>
      <c r="L140" s="100">
        <f t="shared" si="31"/>
        <v>1</v>
      </c>
      <c r="M140" s="90">
        <f t="shared" si="31"/>
        <v>0</v>
      </c>
      <c r="N140" s="90">
        <f t="shared" si="31"/>
        <v>0</v>
      </c>
      <c r="O140" s="90">
        <f t="shared" si="31"/>
        <v>0</v>
      </c>
      <c r="P140" s="90">
        <f t="shared" si="31"/>
        <v>0</v>
      </c>
      <c r="Q140" s="90">
        <f t="shared" si="31"/>
        <v>0</v>
      </c>
      <c r="R140" s="90">
        <f t="shared" si="31"/>
        <v>0</v>
      </c>
      <c r="S140" s="90">
        <f t="shared" si="31"/>
        <v>0</v>
      </c>
      <c r="T140" s="90">
        <f t="shared" si="31"/>
        <v>0</v>
      </c>
      <c r="U140" s="101">
        <f t="shared" si="31"/>
        <v>0</v>
      </c>
      <c r="V140" s="71"/>
      <c r="W140" s="102">
        <f t="shared" si="32"/>
        <v>0</v>
      </c>
      <c r="X140" s="102">
        <f t="shared" si="32"/>
        <v>0</v>
      </c>
      <c r="Y140" s="90">
        <f t="shared" si="32"/>
        <v>0</v>
      </c>
      <c r="Z140" s="102">
        <f t="shared" si="32"/>
        <v>0</v>
      </c>
      <c r="AA140" s="101" t="str">
        <f t="shared" si="32"/>
        <v>EA</v>
      </c>
      <c r="AB140" s="71"/>
      <c r="AC140" s="91">
        <v>1</v>
      </c>
      <c r="AD140" s="91">
        <v>1</v>
      </c>
      <c r="AE140" s="92">
        <f t="shared" si="26"/>
        <v>0</v>
      </c>
      <c r="AF140" s="93">
        <f t="shared" si="30"/>
        <v>0</v>
      </c>
    </row>
    <row r="141" spans="1:32" ht="12.5">
      <c r="A141" s="28">
        <v>125</v>
      </c>
      <c r="B141" s="104" t="s">
        <v>166</v>
      </c>
      <c r="C141" s="116" t="str">
        <f t="shared" si="27"/>
        <v>PTP-Other</v>
      </c>
      <c r="D141" s="117" t="s">
        <v>11</v>
      </c>
      <c r="E141" s="116" t="str">
        <f t="shared" si="21"/>
        <v>Variable Cost</v>
      </c>
      <c r="F141" s="118">
        <f t="shared" si="23"/>
        <v>1.1499999999999999</v>
      </c>
      <c r="G141" s="119"/>
      <c r="J141" s="83">
        <f t="shared" si="18"/>
        <v>0</v>
      </c>
      <c r="K141" s="99">
        <v>125</v>
      </c>
      <c r="L141" s="100">
        <f t="shared" si="31"/>
        <v>1</v>
      </c>
      <c r="M141" s="90">
        <f t="shared" si="31"/>
        <v>0</v>
      </c>
      <c r="N141" s="90">
        <f t="shared" si="31"/>
        <v>0</v>
      </c>
      <c r="O141" s="90">
        <f t="shared" si="31"/>
        <v>0</v>
      </c>
      <c r="P141" s="90">
        <f t="shared" si="31"/>
        <v>0</v>
      </c>
      <c r="Q141" s="90">
        <f t="shared" si="31"/>
        <v>0</v>
      </c>
      <c r="R141" s="90">
        <f t="shared" si="31"/>
        <v>0</v>
      </c>
      <c r="S141" s="90">
        <f t="shared" si="31"/>
        <v>0</v>
      </c>
      <c r="T141" s="90">
        <f t="shared" si="31"/>
        <v>0</v>
      </c>
      <c r="U141" s="101">
        <f t="shared" si="31"/>
        <v>0</v>
      </c>
      <c r="V141" s="71"/>
      <c r="W141" s="102">
        <f t="shared" si="32"/>
        <v>0</v>
      </c>
      <c r="X141" s="102">
        <f t="shared" si="32"/>
        <v>0</v>
      </c>
      <c r="Y141" s="90">
        <f t="shared" si="32"/>
        <v>0</v>
      </c>
      <c r="Z141" s="102">
        <f t="shared" si="32"/>
        <v>0</v>
      </c>
      <c r="AA141" s="101" t="str">
        <f t="shared" si="32"/>
        <v>EA</v>
      </c>
      <c r="AB141" s="71"/>
      <c r="AC141" s="91">
        <v>1</v>
      </c>
      <c r="AD141" s="91">
        <v>1</v>
      </c>
      <c r="AE141" s="92">
        <f t="shared" si="26"/>
        <v>0</v>
      </c>
      <c r="AF141" s="93">
        <f t="shared" si="30"/>
        <v>0</v>
      </c>
    </row>
    <row r="142" spans="1:32" ht="12.5">
      <c r="A142" s="28">
        <v>126</v>
      </c>
      <c r="B142" s="104" t="s">
        <v>167</v>
      </c>
      <c r="C142" s="116" t="str">
        <f t="shared" si="27"/>
        <v>PTP-Other</v>
      </c>
      <c r="D142" s="117" t="s">
        <v>8</v>
      </c>
      <c r="E142" s="116" t="str">
        <f t="shared" si="21"/>
        <v>Fixed Cost</v>
      </c>
      <c r="F142" s="118">
        <f t="shared" si="23"/>
        <v>1.1499999999999999</v>
      </c>
      <c r="G142" s="119"/>
      <c r="J142" s="83">
        <f t="shared" si="18"/>
        <v>0</v>
      </c>
      <c r="K142" s="99">
        <v>126</v>
      </c>
      <c r="L142" s="100">
        <f t="shared" si="31"/>
        <v>1</v>
      </c>
      <c r="M142" s="90">
        <f t="shared" si="31"/>
        <v>0</v>
      </c>
      <c r="N142" s="90">
        <f t="shared" si="31"/>
        <v>0</v>
      </c>
      <c r="O142" s="90">
        <f t="shared" si="31"/>
        <v>0</v>
      </c>
      <c r="P142" s="90">
        <f t="shared" si="31"/>
        <v>0</v>
      </c>
      <c r="Q142" s="90">
        <f t="shared" si="31"/>
        <v>0</v>
      </c>
      <c r="R142" s="90">
        <f t="shared" si="31"/>
        <v>0</v>
      </c>
      <c r="S142" s="90">
        <f t="shared" si="31"/>
        <v>0</v>
      </c>
      <c r="T142" s="90">
        <f t="shared" si="31"/>
        <v>0</v>
      </c>
      <c r="U142" s="101">
        <f t="shared" si="31"/>
        <v>0</v>
      </c>
      <c r="V142" s="71"/>
      <c r="W142" s="102">
        <f t="shared" si="32"/>
        <v>0</v>
      </c>
      <c r="X142" s="102">
        <f t="shared" si="32"/>
        <v>0</v>
      </c>
      <c r="Y142" s="90">
        <f t="shared" si="32"/>
        <v>0</v>
      </c>
      <c r="Z142" s="102">
        <f t="shared" si="32"/>
        <v>0</v>
      </c>
      <c r="AA142" s="101" t="str">
        <f t="shared" si="32"/>
        <v>EA</v>
      </c>
      <c r="AB142" s="71"/>
      <c r="AC142" s="91">
        <v>1</v>
      </c>
      <c r="AD142" s="91">
        <v>1</v>
      </c>
      <c r="AE142" s="92">
        <f t="shared" si="26"/>
        <v>0</v>
      </c>
      <c r="AF142" s="93">
        <f t="shared" si="30"/>
        <v>0</v>
      </c>
    </row>
    <row r="143" spans="1:32" ht="12.5">
      <c r="A143" s="28">
        <v>127</v>
      </c>
      <c r="B143" s="104" t="s">
        <v>168</v>
      </c>
      <c r="C143" s="116" t="str">
        <f t="shared" si="27"/>
        <v>PTP-Other</v>
      </c>
      <c r="D143" s="117" t="s">
        <v>11</v>
      </c>
      <c r="E143" s="116" t="str">
        <f t="shared" si="21"/>
        <v>Variable Cost</v>
      </c>
      <c r="F143" s="118">
        <f t="shared" si="23"/>
        <v>1.1499999999999999</v>
      </c>
      <c r="G143" s="119"/>
      <c r="J143" s="83">
        <f t="shared" si="18"/>
        <v>0</v>
      </c>
      <c r="K143" s="99">
        <v>127</v>
      </c>
      <c r="L143" s="100">
        <f t="shared" si="31"/>
        <v>1</v>
      </c>
      <c r="M143" s="90">
        <f t="shared" si="31"/>
        <v>0</v>
      </c>
      <c r="N143" s="90">
        <f t="shared" si="31"/>
        <v>0</v>
      </c>
      <c r="O143" s="90">
        <f t="shared" si="31"/>
        <v>0</v>
      </c>
      <c r="P143" s="90">
        <f t="shared" si="31"/>
        <v>0</v>
      </c>
      <c r="Q143" s="90">
        <f t="shared" si="31"/>
        <v>0</v>
      </c>
      <c r="R143" s="90">
        <f t="shared" si="31"/>
        <v>0</v>
      </c>
      <c r="S143" s="90">
        <f t="shared" si="31"/>
        <v>0</v>
      </c>
      <c r="T143" s="90">
        <f t="shared" si="31"/>
        <v>0</v>
      </c>
      <c r="U143" s="101">
        <f t="shared" si="31"/>
        <v>0</v>
      </c>
      <c r="V143" s="71"/>
      <c r="W143" s="102">
        <f t="shared" si="32"/>
        <v>0</v>
      </c>
      <c r="X143" s="102">
        <f t="shared" si="32"/>
        <v>0</v>
      </c>
      <c r="Y143" s="90">
        <f t="shared" si="32"/>
        <v>0</v>
      </c>
      <c r="Z143" s="102">
        <f t="shared" si="32"/>
        <v>0</v>
      </c>
      <c r="AA143" s="101" t="str">
        <f t="shared" si="32"/>
        <v>EA</v>
      </c>
      <c r="AB143" s="71"/>
      <c r="AC143" s="91">
        <v>1</v>
      </c>
      <c r="AD143" s="91">
        <v>1</v>
      </c>
      <c r="AE143" s="92">
        <f t="shared" si="26"/>
        <v>0</v>
      </c>
      <c r="AF143" s="93">
        <f t="shared" si="30"/>
        <v>0</v>
      </c>
    </row>
    <row r="144" spans="1:32" ht="12.5">
      <c r="A144" s="28">
        <v>128</v>
      </c>
      <c r="B144" s="104" t="s">
        <v>169</v>
      </c>
      <c r="C144" s="116" t="str">
        <f t="shared" si="27"/>
        <v>PTP-Other</v>
      </c>
      <c r="D144" s="117" t="s">
        <v>11</v>
      </c>
      <c r="E144" s="116" t="str">
        <f t="shared" si="21"/>
        <v>Variable Cost</v>
      </c>
      <c r="F144" s="118">
        <f t="shared" si="23"/>
        <v>1.1499999999999999</v>
      </c>
      <c r="G144" s="119"/>
      <c r="J144" s="83">
        <f t="shared" si="18"/>
        <v>0</v>
      </c>
      <c r="K144" s="99">
        <v>128</v>
      </c>
      <c r="L144" s="100">
        <f t="shared" si="31"/>
        <v>1</v>
      </c>
      <c r="M144" s="90">
        <f t="shared" si="31"/>
        <v>0</v>
      </c>
      <c r="N144" s="90">
        <f t="shared" si="31"/>
        <v>0</v>
      </c>
      <c r="O144" s="90">
        <f t="shared" si="31"/>
        <v>0</v>
      </c>
      <c r="P144" s="90">
        <f t="shared" si="31"/>
        <v>0</v>
      </c>
      <c r="Q144" s="90">
        <f t="shared" si="31"/>
        <v>0</v>
      </c>
      <c r="R144" s="90">
        <f t="shared" si="31"/>
        <v>0</v>
      </c>
      <c r="S144" s="90">
        <f t="shared" si="31"/>
        <v>0</v>
      </c>
      <c r="T144" s="90">
        <f t="shared" si="31"/>
        <v>0</v>
      </c>
      <c r="U144" s="101">
        <f t="shared" si="31"/>
        <v>0</v>
      </c>
      <c r="V144" s="71"/>
      <c r="W144" s="102">
        <f t="shared" si="32"/>
        <v>0</v>
      </c>
      <c r="X144" s="102">
        <f t="shared" si="32"/>
        <v>0</v>
      </c>
      <c r="Y144" s="90">
        <f t="shared" si="32"/>
        <v>0</v>
      </c>
      <c r="Z144" s="102">
        <f t="shared" si="32"/>
        <v>0</v>
      </c>
      <c r="AA144" s="101" t="str">
        <f t="shared" si="32"/>
        <v>EA</v>
      </c>
      <c r="AB144" s="71"/>
      <c r="AC144" s="91">
        <v>1</v>
      </c>
      <c r="AD144" s="91">
        <v>1</v>
      </c>
      <c r="AE144" s="92">
        <f t="shared" si="26"/>
        <v>0</v>
      </c>
      <c r="AF144" s="93">
        <f t="shared" si="30"/>
        <v>0</v>
      </c>
    </row>
    <row r="145" spans="1:32" ht="12.5">
      <c r="A145" s="28">
        <v>129</v>
      </c>
      <c r="B145" s="104" t="s">
        <v>170</v>
      </c>
      <c r="C145" s="116" t="str">
        <f t="shared" ref="C145:C166" si="33">INDEX(___ServicesMasterList_Symbol,MATCH($B145,___ServicesMasterList,0),1)</f>
        <v>PTP-Other</v>
      </c>
      <c r="D145" s="117" t="s">
        <v>11</v>
      </c>
      <c r="E145" s="116" t="str">
        <f t="shared" si="21"/>
        <v>Variable Cost</v>
      </c>
      <c r="F145" s="118">
        <f t="shared" si="23"/>
        <v>1.1499999999999999</v>
      </c>
      <c r="G145" s="119"/>
      <c r="J145" s="83">
        <f t="shared" ref="J145:J208" si="34">INDEX(J$420:J$1632,MATCH($K145,$K$420:$K$1632,0)+MATCH("Option "&amp;$D$9,$K$420:$K$1230,0)-1,1)</f>
        <v>0</v>
      </c>
      <c r="K145" s="99">
        <v>129</v>
      </c>
      <c r="L145" s="100">
        <f t="shared" ref="L145:U160" si="35">INDEX(L$420:L$1632,MATCH($K145,$K$420:$K$1632,0)+MATCH("Option "&amp;$D$9,$K$420:$K$1230,0)-1,1)</f>
        <v>1</v>
      </c>
      <c r="M145" s="90">
        <f t="shared" si="35"/>
        <v>0</v>
      </c>
      <c r="N145" s="90">
        <f t="shared" si="35"/>
        <v>0</v>
      </c>
      <c r="O145" s="90">
        <f t="shared" si="35"/>
        <v>0</v>
      </c>
      <c r="P145" s="90">
        <f t="shared" si="35"/>
        <v>0</v>
      </c>
      <c r="Q145" s="90">
        <f t="shared" si="35"/>
        <v>0</v>
      </c>
      <c r="R145" s="90">
        <f t="shared" si="35"/>
        <v>0</v>
      </c>
      <c r="S145" s="90">
        <f t="shared" si="35"/>
        <v>0</v>
      </c>
      <c r="T145" s="90">
        <f t="shared" si="35"/>
        <v>0</v>
      </c>
      <c r="U145" s="101">
        <f t="shared" si="35"/>
        <v>0</v>
      </c>
      <c r="V145" s="71"/>
      <c r="W145" s="102">
        <f t="shared" ref="W145:AA160" si="36">INDEX(W$420:W$1632,MATCH($K145,$K$420:$K$1632,0)+MATCH("Option "&amp;$D$9,$K$420:$K$1230,0)-1,1)</f>
        <v>0</v>
      </c>
      <c r="X145" s="102">
        <f t="shared" si="36"/>
        <v>0</v>
      </c>
      <c r="Y145" s="90">
        <f t="shared" si="36"/>
        <v>0</v>
      </c>
      <c r="Z145" s="102">
        <f t="shared" si="36"/>
        <v>0</v>
      </c>
      <c r="AA145" s="101" t="str">
        <f t="shared" si="36"/>
        <v>EA</v>
      </c>
      <c r="AB145" s="71"/>
      <c r="AC145" s="91">
        <v>1</v>
      </c>
      <c r="AD145" s="91">
        <v>1</v>
      </c>
      <c r="AE145" s="92">
        <f t="shared" si="26"/>
        <v>0</v>
      </c>
      <c r="AF145" s="93">
        <f t="shared" si="30"/>
        <v>0</v>
      </c>
    </row>
    <row r="146" spans="1:32" ht="12.5">
      <c r="A146" s="28">
        <v>130</v>
      </c>
      <c r="B146" s="104" t="s">
        <v>175</v>
      </c>
      <c r="C146" s="116" t="str">
        <f t="shared" si="33"/>
        <v>PTP-Bidding</v>
      </c>
      <c r="D146" s="117" t="s">
        <v>8</v>
      </c>
      <c r="E146" s="116" t="str">
        <f t="shared" ref="E146:E177" si="37">IF(D146="lumpsum","Fixed Cost",IF(D146="per day","Variable Cost","None"))</f>
        <v>Fixed Cost</v>
      </c>
      <c r="F146" s="118">
        <f t="shared" si="23"/>
        <v>1.1499999999999999</v>
      </c>
      <c r="G146" s="119"/>
      <c r="J146" s="83">
        <f t="shared" si="34"/>
        <v>0</v>
      </c>
      <c r="K146" s="99">
        <v>130</v>
      </c>
      <c r="L146" s="100">
        <f t="shared" si="35"/>
        <v>1</v>
      </c>
      <c r="M146" s="90">
        <f t="shared" si="35"/>
        <v>0</v>
      </c>
      <c r="N146" s="90">
        <f t="shared" si="35"/>
        <v>0</v>
      </c>
      <c r="O146" s="90">
        <f t="shared" si="35"/>
        <v>0</v>
      </c>
      <c r="P146" s="90">
        <f t="shared" si="35"/>
        <v>0</v>
      </c>
      <c r="Q146" s="90">
        <f t="shared" si="35"/>
        <v>0</v>
      </c>
      <c r="R146" s="90">
        <f t="shared" si="35"/>
        <v>0</v>
      </c>
      <c r="S146" s="90">
        <f t="shared" si="35"/>
        <v>0</v>
      </c>
      <c r="T146" s="90">
        <f t="shared" si="35"/>
        <v>0</v>
      </c>
      <c r="U146" s="101">
        <f t="shared" si="35"/>
        <v>0</v>
      </c>
      <c r="V146" s="71"/>
      <c r="W146" s="102">
        <f t="shared" si="36"/>
        <v>0</v>
      </c>
      <c r="X146" s="102">
        <f t="shared" si="36"/>
        <v>0</v>
      </c>
      <c r="Y146" s="90">
        <f t="shared" si="36"/>
        <v>0</v>
      </c>
      <c r="Z146" s="102">
        <f t="shared" si="36"/>
        <v>0</v>
      </c>
      <c r="AA146" s="101" t="str">
        <f t="shared" si="36"/>
        <v>EA</v>
      </c>
      <c r="AB146" s="71"/>
      <c r="AC146" s="91">
        <v>1</v>
      </c>
      <c r="AD146" s="91">
        <v>1</v>
      </c>
      <c r="AE146" s="92">
        <f t="shared" si="26"/>
        <v>0</v>
      </c>
      <c r="AF146" s="93">
        <f t="shared" si="30"/>
        <v>0</v>
      </c>
    </row>
    <row r="147" spans="1:32" ht="12.5">
      <c r="A147" s="28">
        <v>131</v>
      </c>
      <c r="B147" s="104" t="s">
        <v>173</v>
      </c>
      <c r="C147" s="116" t="str">
        <f t="shared" si="33"/>
        <v>PTP-Annex</v>
      </c>
      <c r="D147" s="117" t="s">
        <v>11</v>
      </c>
      <c r="E147" s="116" t="str">
        <f t="shared" si="37"/>
        <v>Variable Cost</v>
      </c>
      <c r="F147" s="118">
        <f t="shared" si="23"/>
        <v>1.1499999999999999</v>
      </c>
      <c r="G147" s="119"/>
      <c r="J147" s="83">
        <f t="shared" si="34"/>
        <v>0</v>
      </c>
      <c r="K147" s="99">
        <v>131</v>
      </c>
      <c r="L147" s="100">
        <f t="shared" si="35"/>
        <v>1</v>
      </c>
      <c r="M147" s="90">
        <f t="shared" si="35"/>
        <v>0</v>
      </c>
      <c r="N147" s="90">
        <f t="shared" si="35"/>
        <v>0</v>
      </c>
      <c r="O147" s="90">
        <f t="shared" si="35"/>
        <v>0</v>
      </c>
      <c r="P147" s="90">
        <f t="shared" si="35"/>
        <v>0</v>
      </c>
      <c r="Q147" s="90">
        <f t="shared" si="35"/>
        <v>0</v>
      </c>
      <c r="R147" s="90">
        <f t="shared" si="35"/>
        <v>0</v>
      </c>
      <c r="S147" s="90">
        <f t="shared" si="35"/>
        <v>0</v>
      </c>
      <c r="T147" s="90">
        <f t="shared" si="35"/>
        <v>0</v>
      </c>
      <c r="U147" s="101">
        <f t="shared" si="35"/>
        <v>0</v>
      </c>
      <c r="V147" s="71"/>
      <c r="W147" s="102">
        <f t="shared" si="36"/>
        <v>0</v>
      </c>
      <c r="X147" s="102">
        <f t="shared" si="36"/>
        <v>0</v>
      </c>
      <c r="Y147" s="90">
        <f t="shared" si="36"/>
        <v>0</v>
      </c>
      <c r="Z147" s="102">
        <f t="shared" si="36"/>
        <v>0</v>
      </c>
      <c r="AA147" s="101" t="str">
        <f t="shared" si="36"/>
        <v>EA</v>
      </c>
      <c r="AB147" s="71"/>
      <c r="AC147" s="91">
        <v>1</v>
      </c>
      <c r="AD147" s="91">
        <v>1</v>
      </c>
      <c r="AE147" s="92">
        <f t="shared" si="26"/>
        <v>0</v>
      </c>
      <c r="AF147" s="93">
        <f t="shared" si="30"/>
        <v>0</v>
      </c>
    </row>
    <row r="148" spans="1:32" ht="12.5">
      <c r="A148" s="28">
        <v>132</v>
      </c>
      <c r="B148" s="104" t="s">
        <v>175</v>
      </c>
      <c r="C148" s="116" t="str">
        <f t="shared" si="33"/>
        <v>PTP-Bidding</v>
      </c>
      <c r="D148" s="117" t="s">
        <v>11</v>
      </c>
      <c r="E148" s="116" t="str">
        <f t="shared" si="37"/>
        <v>Variable Cost</v>
      </c>
      <c r="F148" s="118">
        <f t="shared" si="23"/>
        <v>1.1499999999999999</v>
      </c>
      <c r="G148" s="119"/>
      <c r="J148" s="83">
        <f t="shared" si="34"/>
        <v>0</v>
      </c>
      <c r="K148" s="99">
        <v>132</v>
      </c>
      <c r="L148" s="100">
        <f t="shared" si="35"/>
        <v>1</v>
      </c>
      <c r="M148" s="90">
        <f t="shared" si="35"/>
        <v>0</v>
      </c>
      <c r="N148" s="90">
        <f t="shared" si="35"/>
        <v>0</v>
      </c>
      <c r="O148" s="90">
        <f t="shared" si="35"/>
        <v>0</v>
      </c>
      <c r="P148" s="90">
        <f t="shared" si="35"/>
        <v>0</v>
      </c>
      <c r="Q148" s="90">
        <f t="shared" si="35"/>
        <v>0</v>
      </c>
      <c r="R148" s="90">
        <f t="shared" si="35"/>
        <v>0</v>
      </c>
      <c r="S148" s="90">
        <f t="shared" si="35"/>
        <v>0</v>
      </c>
      <c r="T148" s="90">
        <f t="shared" si="35"/>
        <v>0</v>
      </c>
      <c r="U148" s="101">
        <f t="shared" si="35"/>
        <v>0</v>
      </c>
      <c r="V148" s="71"/>
      <c r="W148" s="102">
        <f t="shared" si="36"/>
        <v>0</v>
      </c>
      <c r="X148" s="102">
        <f t="shared" si="36"/>
        <v>0</v>
      </c>
      <c r="Y148" s="90">
        <f t="shared" si="36"/>
        <v>0</v>
      </c>
      <c r="Z148" s="102">
        <f t="shared" si="36"/>
        <v>0</v>
      </c>
      <c r="AA148" s="101" t="str">
        <f t="shared" si="36"/>
        <v>EA</v>
      </c>
      <c r="AB148" s="71"/>
      <c r="AC148" s="91">
        <v>1</v>
      </c>
      <c r="AD148" s="91">
        <v>1</v>
      </c>
      <c r="AE148" s="92">
        <f t="shared" si="26"/>
        <v>0</v>
      </c>
      <c r="AF148" s="93">
        <f t="shared" si="30"/>
        <v>0</v>
      </c>
    </row>
    <row r="149" spans="1:32" ht="12.5">
      <c r="A149" s="28">
        <v>133</v>
      </c>
      <c r="B149" s="104" t="s">
        <v>177</v>
      </c>
      <c r="C149" s="116" t="str">
        <f t="shared" si="33"/>
        <v>PTP-Bidding</v>
      </c>
      <c r="D149" s="117" t="s">
        <v>8</v>
      </c>
      <c r="E149" s="116" t="str">
        <f t="shared" si="37"/>
        <v>Fixed Cost</v>
      </c>
      <c r="F149" s="118">
        <f t="shared" si="23"/>
        <v>1.1499999999999999</v>
      </c>
      <c r="G149" s="119"/>
      <c r="J149" s="83">
        <f t="shared" si="34"/>
        <v>0</v>
      </c>
      <c r="K149" s="99">
        <v>133</v>
      </c>
      <c r="L149" s="100">
        <f t="shared" si="35"/>
        <v>1</v>
      </c>
      <c r="M149" s="90">
        <f t="shared" si="35"/>
        <v>0</v>
      </c>
      <c r="N149" s="90">
        <f t="shared" si="35"/>
        <v>0</v>
      </c>
      <c r="O149" s="90">
        <f t="shared" si="35"/>
        <v>0</v>
      </c>
      <c r="P149" s="90">
        <f t="shared" si="35"/>
        <v>0</v>
      </c>
      <c r="Q149" s="90">
        <f t="shared" si="35"/>
        <v>0</v>
      </c>
      <c r="R149" s="90">
        <f t="shared" si="35"/>
        <v>0</v>
      </c>
      <c r="S149" s="90">
        <f t="shared" si="35"/>
        <v>0</v>
      </c>
      <c r="T149" s="90">
        <f t="shared" si="35"/>
        <v>0</v>
      </c>
      <c r="U149" s="101">
        <f t="shared" si="35"/>
        <v>0</v>
      </c>
      <c r="V149" s="71"/>
      <c r="W149" s="102">
        <f t="shared" si="36"/>
        <v>0</v>
      </c>
      <c r="X149" s="102">
        <f t="shared" si="36"/>
        <v>0</v>
      </c>
      <c r="Y149" s="90">
        <f t="shared" si="36"/>
        <v>0</v>
      </c>
      <c r="Z149" s="102">
        <f t="shared" si="36"/>
        <v>0</v>
      </c>
      <c r="AA149" s="101" t="str">
        <f t="shared" si="36"/>
        <v>EA</v>
      </c>
      <c r="AB149" s="71"/>
      <c r="AC149" s="91">
        <v>1</v>
      </c>
      <c r="AD149" s="91">
        <v>1</v>
      </c>
      <c r="AE149" s="92">
        <f t="shared" si="26"/>
        <v>0</v>
      </c>
      <c r="AF149" s="93">
        <f t="shared" si="30"/>
        <v>0</v>
      </c>
    </row>
    <row r="150" spans="1:32" ht="12.5">
      <c r="A150" s="28">
        <v>134</v>
      </c>
      <c r="B150" s="104" t="s">
        <v>178</v>
      </c>
      <c r="C150" s="116" t="str">
        <f t="shared" si="33"/>
        <v>PTP-Bidding</v>
      </c>
      <c r="D150" s="117" t="s">
        <v>11</v>
      </c>
      <c r="E150" s="116" t="str">
        <f t="shared" si="37"/>
        <v>Variable Cost</v>
      </c>
      <c r="F150" s="118">
        <f t="shared" si="23"/>
        <v>1.1499999999999999</v>
      </c>
      <c r="G150" s="119"/>
      <c r="J150" s="83">
        <f t="shared" si="34"/>
        <v>0</v>
      </c>
      <c r="K150" s="99">
        <v>134</v>
      </c>
      <c r="L150" s="100">
        <f t="shared" si="35"/>
        <v>1</v>
      </c>
      <c r="M150" s="90">
        <f t="shared" si="35"/>
        <v>0</v>
      </c>
      <c r="N150" s="90">
        <f t="shared" si="35"/>
        <v>0</v>
      </c>
      <c r="O150" s="90">
        <f t="shared" si="35"/>
        <v>0</v>
      </c>
      <c r="P150" s="90">
        <f t="shared" si="35"/>
        <v>0</v>
      </c>
      <c r="Q150" s="90">
        <f t="shared" si="35"/>
        <v>0</v>
      </c>
      <c r="R150" s="90">
        <f t="shared" si="35"/>
        <v>0</v>
      </c>
      <c r="S150" s="90">
        <f t="shared" si="35"/>
        <v>0</v>
      </c>
      <c r="T150" s="90">
        <f t="shared" si="35"/>
        <v>0</v>
      </c>
      <c r="U150" s="101">
        <f t="shared" si="35"/>
        <v>0</v>
      </c>
      <c r="V150" s="71"/>
      <c r="W150" s="102">
        <f t="shared" si="36"/>
        <v>0</v>
      </c>
      <c r="X150" s="102">
        <f t="shared" si="36"/>
        <v>0</v>
      </c>
      <c r="Y150" s="90">
        <f t="shared" si="36"/>
        <v>0</v>
      </c>
      <c r="Z150" s="102">
        <f t="shared" si="36"/>
        <v>0</v>
      </c>
      <c r="AA150" s="101" t="str">
        <f t="shared" si="36"/>
        <v>EA</v>
      </c>
      <c r="AB150" s="71"/>
      <c r="AC150" s="91">
        <v>1</v>
      </c>
      <c r="AD150" s="91">
        <v>1</v>
      </c>
      <c r="AE150" s="92">
        <f t="shared" si="26"/>
        <v>0</v>
      </c>
      <c r="AF150" s="93">
        <f t="shared" si="30"/>
        <v>0</v>
      </c>
    </row>
    <row r="151" spans="1:32" ht="12.5">
      <c r="A151" s="28">
        <v>135</v>
      </c>
      <c r="B151" s="104" t="s">
        <v>179</v>
      </c>
      <c r="C151" s="116" t="str">
        <f t="shared" si="33"/>
        <v>PTP-Bidding</v>
      </c>
      <c r="D151" s="117" t="s">
        <v>11</v>
      </c>
      <c r="E151" s="116" t="str">
        <f t="shared" si="37"/>
        <v>Variable Cost</v>
      </c>
      <c r="F151" s="118">
        <f t="shared" si="23"/>
        <v>1.1499999999999999</v>
      </c>
      <c r="G151" s="119"/>
      <c r="J151" s="83">
        <f t="shared" si="34"/>
        <v>0</v>
      </c>
      <c r="K151" s="99">
        <v>135</v>
      </c>
      <c r="L151" s="100">
        <f t="shared" si="35"/>
        <v>1</v>
      </c>
      <c r="M151" s="90">
        <f t="shared" si="35"/>
        <v>0</v>
      </c>
      <c r="N151" s="90">
        <f t="shared" si="35"/>
        <v>0</v>
      </c>
      <c r="O151" s="90">
        <f t="shared" si="35"/>
        <v>0</v>
      </c>
      <c r="P151" s="90">
        <f t="shared" si="35"/>
        <v>0</v>
      </c>
      <c r="Q151" s="90">
        <f t="shared" si="35"/>
        <v>0</v>
      </c>
      <c r="R151" s="90">
        <f t="shared" si="35"/>
        <v>0</v>
      </c>
      <c r="S151" s="90">
        <f t="shared" si="35"/>
        <v>0</v>
      </c>
      <c r="T151" s="90">
        <f t="shared" si="35"/>
        <v>0</v>
      </c>
      <c r="U151" s="101">
        <f t="shared" si="35"/>
        <v>0</v>
      </c>
      <c r="V151" s="71"/>
      <c r="W151" s="102">
        <f t="shared" si="36"/>
        <v>0</v>
      </c>
      <c r="X151" s="102">
        <f t="shared" si="36"/>
        <v>0</v>
      </c>
      <c r="Y151" s="90">
        <f t="shared" si="36"/>
        <v>0</v>
      </c>
      <c r="Z151" s="102">
        <f t="shared" si="36"/>
        <v>0</v>
      </c>
      <c r="AA151" s="101" t="str">
        <f t="shared" si="36"/>
        <v>EA</v>
      </c>
      <c r="AB151" s="71"/>
      <c r="AC151" s="91">
        <v>1</v>
      </c>
      <c r="AD151" s="91">
        <v>1</v>
      </c>
      <c r="AE151" s="92">
        <f t="shared" si="26"/>
        <v>0</v>
      </c>
      <c r="AF151" s="93">
        <f t="shared" si="30"/>
        <v>0</v>
      </c>
    </row>
    <row r="152" spans="1:32" ht="12.5">
      <c r="A152" s="28">
        <v>136</v>
      </c>
      <c r="B152" s="104" t="s">
        <v>180</v>
      </c>
      <c r="C152" s="116" t="str">
        <f t="shared" si="33"/>
        <v>PTP-Community</v>
      </c>
      <c r="D152" s="117" t="s">
        <v>11</v>
      </c>
      <c r="E152" s="116" t="str">
        <f t="shared" si="37"/>
        <v>Variable Cost</v>
      </c>
      <c r="F152" s="118">
        <f t="shared" si="23"/>
        <v>1.1499999999999999</v>
      </c>
      <c r="G152" s="119"/>
      <c r="J152" s="83">
        <f t="shared" si="34"/>
        <v>0</v>
      </c>
      <c r="K152" s="99">
        <v>136</v>
      </c>
      <c r="L152" s="100">
        <f t="shared" si="35"/>
        <v>1</v>
      </c>
      <c r="M152" s="90">
        <f t="shared" si="35"/>
        <v>0</v>
      </c>
      <c r="N152" s="90">
        <f t="shared" si="35"/>
        <v>0</v>
      </c>
      <c r="O152" s="90">
        <f t="shared" si="35"/>
        <v>0</v>
      </c>
      <c r="P152" s="90">
        <f t="shared" si="35"/>
        <v>0</v>
      </c>
      <c r="Q152" s="90">
        <f t="shared" si="35"/>
        <v>0</v>
      </c>
      <c r="R152" s="90">
        <f t="shared" si="35"/>
        <v>0</v>
      </c>
      <c r="S152" s="90">
        <f t="shared" si="35"/>
        <v>0</v>
      </c>
      <c r="T152" s="90">
        <f t="shared" si="35"/>
        <v>0</v>
      </c>
      <c r="U152" s="101">
        <f t="shared" si="35"/>
        <v>0</v>
      </c>
      <c r="V152" s="71"/>
      <c r="W152" s="102">
        <f t="shared" si="36"/>
        <v>0</v>
      </c>
      <c r="X152" s="102">
        <f t="shared" si="36"/>
        <v>0</v>
      </c>
      <c r="Y152" s="90">
        <f t="shared" si="36"/>
        <v>0</v>
      </c>
      <c r="Z152" s="102">
        <f t="shared" si="36"/>
        <v>0</v>
      </c>
      <c r="AA152" s="101" t="str">
        <f t="shared" si="36"/>
        <v>EA</v>
      </c>
      <c r="AB152" s="71"/>
      <c r="AC152" s="91">
        <v>1</v>
      </c>
      <c r="AD152" s="91">
        <v>1</v>
      </c>
      <c r="AE152" s="92">
        <f t="shared" si="26"/>
        <v>0</v>
      </c>
      <c r="AF152" s="93">
        <f t="shared" si="30"/>
        <v>0</v>
      </c>
    </row>
    <row r="153" spans="1:32" ht="12.5">
      <c r="A153" s="28">
        <v>137</v>
      </c>
      <c r="B153" s="104" t="s">
        <v>182</v>
      </c>
      <c r="C153" s="116" t="str">
        <f t="shared" si="33"/>
        <v>PTP-Community</v>
      </c>
      <c r="D153" s="117" t="s">
        <v>11</v>
      </c>
      <c r="E153" s="116" t="str">
        <f t="shared" si="37"/>
        <v>Variable Cost</v>
      </c>
      <c r="F153" s="118">
        <f t="shared" si="23"/>
        <v>1.1499999999999999</v>
      </c>
      <c r="G153" s="119"/>
      <c r="J153" s="83">
        <f t="shared" si="34"/>
        <v>0</v>
      </c>
      <c r="K153" s="99">
        <v>137</v>
      </c>
      <c r="L153" s="100">
        <f t="shared" si="35"/>
        <v>1</v>
      </c>
      <c r="M153" s="90">
        <f t="shared" si="35"/>
        <v>0</v>
      </c>
      <c r="N153" s="90">
        <f t="shared" si="35"/>
        <v>0</v>
      </c>
      <c r="O153" s="90">
        <f t="shared" si="35"/>
        <v>0</v>
      </c>
      <c r="P153" s="90">
        <f t="shared" si="35"/>
        <v>0</v>
      </c>
      <c r="Q153" s="90">
        <f t="shared" si="35"/>
        <v>0</v>
      </c>
      <c r="R153" s="90">
        <f t="shared" si="35"/>
        <v>0</v>
      </c>
      <c r="S153" s="90">
        <f t="shared" si="35"/>
        <v>0</v>
      </c>
      <c r="T153" s="90">
        <f t="shared" si="35"/>
        <v>0</v>
      </c>
      <c r="U153" s="101">
        <f t="shared" si="35"/>
        <v>0</v>
      </c>
      <c r="V153" s="71"/>
      <c r="W153" s="102">
        <f t="shared" si="36"/>
        <v>0</v>
      </c>
      <c r="X153" s="102">
        <f t="shared" si="36"/>
        <v>0</v>
      </c>
      <c r="Y153" s="90">
        <f t="shared" si="36"/>
        <v>0</v>
      </c>
      <c r="Z153" s="102">
        <f t="shared" si="36"/>
        <v>0</v>
      </c>
      <c r="AA153" s="101" t="str">
        <f t="shared" si="36"/>
        <v>EA</v>
      </c>
      <c r="AB153" s="71"/>
      <c r="AC153" s="91">
        <v>1</v>
      </c>
      <c r="AD153" s="91">
        <v>1</v>
      </c>
      <c r="AE153" s="92">
        <f t="shared" si="26"/>
        <v>0</v>
      </c>
      <c r="AF153" s="93">
        <f t="shared" si="30"/>
        <v>0</v>
      </c>
    </row>
    <row r="154" spans="1:32" ht="12.5">
      <c r="A154" s="28">
        <v>138</v>
      </c>
      <c r="B154" s="104" t="s">
        <v>183</v>
      </c>
      <c r="C154" s="116" t="str">
        <f t="shared" si="33"/>
        <v>PTP-Financing</v>
      </c>
      <c r="D154" s="117" t="s">
        <v>11</v>
      </c>
      <c r="E154" s="116" t="str">
        <f t="shared" si="37"/>
        <v>Variable Cost</v>
      </c>
      <c r="F154" s="118">
        <f t="shared" si="23"/>
        <v>1.1499999999999999</v>
      </c>
      <c r="G154" s="119"/>
      <c r="J154" s="83">
        <f t="shared" si="34"/>
        <v>0</v>
      </c>
      <c r="K154" s="99">
        <v>138</v>
      </c>
      <c r="L154" s="100">
        <f t="shared" si="35"/>
        <v>1</v>
      </c>
      <c r="M154" s="90">
        <f t="shared" si="35"/>
        <v>0</v>
      </c>
      <c r="N154" s="90">
        <f t="shared" si="35"/>
        <v>0</v>
      </c>
      <c r="O154" s="90">
        <f t="shared" si="35"/>
        <v>0</v>
      </c>
      <c r="P154" s="90">
        <f t="shared" si="35"/>
        <v>0</v>
      </c>
      <c r="Q154" s="90">
        <f t="shared" si="35"/>
        <v>0</v>
      </c>
      <c r="R154" s="90">
        <f t="shared" si="35"/>
        <v>0</v>
      </c>
      <c r="S154" s="90">
        <f t="shared" si="35"/>
        <v>0</v>
      </c>
      <c r="T154" s="90">
        <f t="shared" si="35"/>
        <v>0</v>
      </c>
      <c r="U154" s="101">
        <f t="shared" si="35"/>
        <v>0</v>
      </c>
      <c r="V154" s="71"/>
      <c r="W154" s="102">
        <f t="shared" si="36"/>
        <v>0</v>
      </c>
      <c r="X154" s="102">
        <f t="shared" si="36"/>
        <v>0</v>
      </c>
      <c r="Y154" s="90">
        <f t="shared" si="36"/>
        <v>0</v>
      </c>
      <c r="Z154" s="102">
        <f t="shared" si="36"/>
        <v>0</v>
      </c>
      <c r="AA154" s="101" t="str">
        <f t="shared" si="36"/>
        <v>EA</v>
      </c>
      <c r="AB154" s="71"/>
      <c r="AC154" s="91">
        <v>1</v>
      </c>
      <c r="AD154" s="91">
        <v>1</v>
      </c>
      <c r="AE154" s="92">
        <f t="shared" si="26"/>
        <v>0</v>
      </c>
      <c r="AF154" s="93">
        <f t="shared" si="30"/>
        <v>0</v>
      </c>
    </row>
    <row r="155" spans="1:32" ht="12.5">
      <c r="A155" s="28">
        <v>139</v>
      </c>
      <c r="B155" s="104" t="s">
        <v>185</v>
      </c>
      <c r="C155" s="116" t="str">
        <f t="shared" si="33"/>
        <v>PTP-CemWL</v>
      </c>
      <c r="D155" s="117" t="s">
        <v>8</v>
      </c>
      <c r="E155" s="116" t="str">
        <f t="shared" si="37"/>
        <v>Fixed Cost</v>
      </c>
      <c r="F155" s="118">
        <f t="shared" si="23"/>
        <v>1.1499999999999999</v>
      </c>
      <c r="G155" s="119"/>
      <c r="J155" s="83">
        <f t="shared" si="34"/>
        <v>0</v>
      </c>
      <c r="K155" s="99">
        <v>139</v>
      </c>
      <c r="L155" s="100">
        <f t="shared" si="35"/>
        <v>1</v>
      </c>
      <c r="M155" s="90">
        <f t="shared" si="35"/>
        <v>0</v>
      </c>
      <c r="N155" s="90">
        <f t="shared" si="35"/>
        <v>0</v>
      </c>
      <c r="O155" s="90">
        <f t="shared" si="35"/>
        <v>0</v>
      </c>
      <c r="P155" s="90">
        <f t="shared" si="35"/>
        <v>0</v>
      </c>
      <c r="Q155" s="90">
        <f t="shared" si="35"/>
        <v>0</v>
      </c>
      <c r="R155" s="90">
        <f t="shared" si="35"/>
        <v>0</v>
      </c>
      <c r="S155" s="90">
        <f t="shared" si="35"/>
        <v>0</v>
      </c>
      <c r="T155" s="90">
        <f t="shared" si="35"/>
        <v>0</v>
      </c>
      <c r="U155" s="101">
        <f t="shared" si="35"/>
        <v>0</v>
      </c>
      <c r="V155" s="71"/>
      <c r="W155" s="102">
        <f t="shared" si="36"/>
        <v>0</v>
      </c>
      <c r="X155" s="102">
        <f t="shared" si="36"/>
        <v>0</v>
      </c>
      <c r="Y155" s="90">
        <f t="shared" si="36"/>
        <v>0</v>
      </c>
      <c r="Z155" s="102">
        <f t="shared" si="36"/>
        <v>0</v>
      </c>
      <c r="AA155" s="101" t="str">
        <f t="shared" si="36"/>
        <v>EA</v>
      </c>
      <c r="AB155" s="71"/>
      <c r="AC155" s="91">
        <v>1</v>
      </c>
      <c r="AD155" s="91">
        <v>1</v>
      </c>
      <c r="AE155" s="92">
        <f t="shared" si="26"/>
        <v>0</v>
      </c>
      <c r="AF155" s="93">
        <f t="shared" si="30"/>
        <v>0</v>
      </c>
    </row>
    <row r="156" spans="1:32" ht="12.5">
      <c r="A156" s="28">
        <v>140</v>
      </c>
      <c r="B156" s="104" t="s">
        <v>187</v>
      </c>
      <c r="C156" s="116" t="str">
        <f t="shared" si="33"/>
        <v>PTP-CemWL</v>
      </c>
      <c r="D156" s="117" t="s">
        <v>8</v>
      </c>
      <c r="E156" s="116" t="str">
        <f t="shared" si="37"/>
        <v>Fixed Cost</v>
      </c>
      <c r="F156" s="118">
        <f t="shared" si="23"/>
        <v>1.1499999999999999</v>
      </c>
      <c r="G156" s="119"/>
      <c r="J156" s="83">
        <f t="shared" si="34"/>
        <v>0</v>
      </c>
      <c r="K156" s="99">
        <v>140</v>
      </c>
      <c r="L156" s="100">
        <f t="shared" si="35"/>
        <v>1</v>
      </c>
      <c r="M156" s="90">
        <f t="shared" si="35"/>
        <v>0</v>
      </c>
      <c r="N156" s="90">
        <f t="shared" si="35"/>
        <v>0</v>
      </c>
      <c r="O156" s="90">
        <f t="shared" si="35"/>
        <v>0</v>
      </c>
      <c r="P156" s="90">
        <f t="shared" si="35"/>
        <v>0</v>
      </c>
      <c r="Q156" s="90">
        <f t="shared" si="35"/>
        <v>0</v>
      </c>
      <c r="R156" s="90">
        <f t="shared" si="35"/>
        <v>0</v>
      </c>
      <c r="S156" s="90">
        <f t="shared" si="35"/>
        <v>0</v>
      </c>
      <c r="T156" s="90">
        <f t="shared" si="35"/>
        <v>0</v>
      </c>
      <c r="U156" s="101">
        <f t="shared" si="35"/>
        <v>0</v>
      </c>
      <c r="V156" s="71"/>
      <c r="W156" s="102">
        <f t="shared" si="36"/>
        <v>0</v>
      </c>
      <c r="X156" s="102">
        <f t="shared" si="36"/>
        <v>0</v>
      </c>
      <c r="Y156" s="90">
        <f t="shared" si="36"/>
        <v>0</v>
      </c>
      <c r="Z156" s="102">
        <f t="shared" si="36"/>
        <v>0</v>
      </c>
      <c r="AA156" s="101" t="str">
        <f t="shared" si="36"/>
        <v>EA</v>
      </c>
      <c r="AB156" s="71"/>
      <c r="AC156" s="91">
        <v>1</v>
      </c>
      <c r="AD156" s="91">
        <v>1</v>
      </c>
      <c r="AE156" s="92">
        <f t="shared" si="26"/>
        <v>0</v>
      </c>
      <c r="AF156" s="93">
        <f t="shared" si="30"/>
        <v>0</v>
      </c>
    </row>
    <row r="157" spans="1:32" ht="12.5">
      <c r="A157" s="28">
        <v>141</v>
      </c>
      <c r="B157" s="104" t="s">
        <v>188</v>
      </c>
      <c r="C157" s="116" t="str">
        <f t="shared" si="33"/>
        <v>PTP-Other</v>
      </c>
      <c r="D157" s="117" t="s">
        <v>8</v>
      </c>
      <c r="E157" s="116" t="str">
        <f t="shared" si="37"/>
        <v>Fixed Cost</v>
      </c>
      <c r="F157" s="118">
        <f t="shared" si="23"/>
        <v>1.1499999999999999</v>
      </c>
      <c r="G157" s="119"/>
      <c r="J157" s="83">
        <f t="shared" si="34"/>
        <v>0</v>
      </c>
      <c r="K157" s="99">
        <v>141</v>
      </c>
      <c r="L157" s="100">
        <f t="shared" si="35"/>
        <v>1</v>
      </c>
      <c r="M157" s="90">
        <f t="shared" si="35"/>
        <v>0</v>
      </c>
      <c r="N157" s="90">
        <f t="shared" si="35"/>
        <v>0</v>
      </c>
      <c r="O157" s="90">
        <f t="shared" si="35"/>
        <v>0</v>
      </c>
      <c r="P157" s="90">
        <f t="shared" si="35"/>
        <v>0</v>
      </c>
      <c r="Q157" s="90">
        <f t="shared" si="35"/>
        <v>0</v>
      </c>
      <c r="R157" s="90">
        <f t="shared" si="35"/>
        <v>0</v>
      </c>
      <c r="S157" s="90">
        <f t="shared" si="35"/>
        <v>0</v>
      </c>
      <c r="T157" s="90">
        <f t="shared" si="35"/>
        <v>0</v>
      </c>
      <c r="U157" s="101">
        <f t="shared" si="35"/>
        <v>0</v>
      </c>
      <c r="V157" s="71"/>
      <c r="W157" s="102">
        <f t="shared" si="36"/>
        <v>0</v>
      </c>
      <c r="X157" s="102">
        <f t="shared" si="36"/>
        <v>0</v>
      </c>
      <c r="Y157" s="90">
        <f t="shared" si="36"/>
        <v>0</v>
      </c>
      <c r="Z157" s="102">
        <f t="shared" si="36"/>
        <v>0</v>
      </c>
      <c r="AA157" s="101" t="str">
        <f t="shared" si="36"/>
        <v>EA</v>
      </c>
      <c r="AB157" s="71"/>
      <c r="AC157" s="91">
        <v>1</v>
      </c>
      <c r="AD157" s="91">
        <v>1</v>
      </c>
      <c r="AE157" s="92">
        <f t="shared" si="26"/>
        <v>0</v>
      </c>
      <c r="AF157" s="93">
        <f t="shared" si="30"/>
        <v>0</v>
      </c>
    </row>
    <row r="158" spans="1:32" ht="12.5">
      <c r="A158" s="28">
        <v>142</v>
      </c>
      <c r="B158" s="104" t="s">
        <v>189</v>
      </c>
      <c r="C158" s="116" t="str">
        <f t="shared" si="33"/>
        <v>PTP-CemWL</v>
      </c>
      <c r="D158" s="117" t="s">
        <v>8</v>
      </c>
      <c r="E158" s="116" t="str">
        <f t="shared" si="37"/>
        <v>Fixed Cost</v>
      </c>
      <c r="F158" s="118">
        <f t="shared" si="23"/>
        <v>1.1499999999999999</v>
      </c>
      <c r="G158" s="119"/>
      <c r="J158" s="83">
        <f t="shared" si="34"/>
        <v>0</v>
      </c>
      <c r="K158" s="99">
        <v>142</v>
      </c>
      <c r="L158" s="100">
        <f t="shared" si="35"/>
        <v>1</v>
      </c>
      <c r="M158" s="90">
        <f t="shared" si="35"/>
        <v>0</v>
      </c>
      <c r="N158" s="90">
        <f t="shared" si="35"/>
        <v>0</v>
      </c>
      <c r="O158" s="90">
        <f t="shared" si="35"/>
        <v>0</v>
      </c>
      <c r="P158" s="90">
        <f t="shared" si="35"/>
        <v>0</v>
      </c>
      <c r="Q158" s="90">
        <f t="shared" si="35"/>
        <v>0</v>
      </c>
      <c r="R158" s="90">
        <f t="shared" si="35"/>
        <v>0</v>
      </c>
      <c r="S158" s="90">
        <f t="shared" si="35"/>
        <v>0</v>
      </c>
      <c r="T158" s="90">
        <f t="shared" si="35"/>
        <v>0</v>
      </c>
      <c r="U158" s="101">
        <f t="shared" si="35"/>
        <v>0</v>
      </c>
      <c r="V158" s="71"/>
      <c r="W158" s="102">
        <f t="shared" si="36"/>
        <v>0</v>
      </c>
      <c r="X158" s="102">
        <f t="shared" si="36"/>
        <v>0</v>
      </c>
      <c r="Y158" s="90">
        <f t="shared" si="36"/>
        <v>0</v>
      </c>
      <c r="Z158" s="102">
        <f t="shared" si="36"/>
        <v>0</v>
      </c>
      <c r="AA158" s="101" t="str">
        <f t="shared" si="36"/>
        <v>EA</v>
      </c>
      <c r="AB158" s="71"/>
      <c r="AC158" s="91">
        <v>1</v>
      </c>
      <c r="AD158" s="91">
        <v>1</v>
      </c>
      <c r="AE158" s="92">
        <f t="shared" si="26"/>
        <v>0</v>
      </c>
      <c r="AF158" s="93">
        <f t="shared" si="30"/>
        <v>0</v>
      </c>
    </row>
    <row r="159" spans="1:32" ht="12.5">
      <c r="A159" s="28">
        <v>143</v>
      </c>
      <c r="B159" s="104" t="s">
        <v>190</v>
      </c>
      <c r="C159" s="116" t="str">
        <f t="shared" si="33"/>
        <v>PTP-CemWL</v>
      </c>
      <c r="D159" s="117" t="s">
        <v>8</v>
      </c>
      <c r="E159" s="116" t="str">
        <f t="shared" si="37"/>
        <v>Fixed Cost</v>
      </c>
      <c r="F159" s="118">
        <f t="shared" si="23"/>
        <v>1.1499999999999999</v>
      </c>
      <c r="G159" s="119"/>
      <c r="J159" s="83">
        <f t="shared" si="34"/>
        <v>0</v>
      </c>
      <c r="K159" s="99">
        <v>143</v>
      </c>
      <c r="L159" s="100">
        <f t="shared" si="35"/>
        <v>1</v>
      </c>
      <c r="M159" s="90">
        <f t="shared" si="35"/>
        <v>0</v>
      </c>
      <c r="N159" s="90">
        <f t="shared" si="35"/>
        <v>0</v>
      </c>
      <c r="O159" s="90">
        <f t="shared" si="35"/>
        <v>0</v>
      </c>
      <c r="P159" s="90">
        <f t="shared" si="35"/>
        <v>0</v>
      </c>
      <c r="Q159" s="90">
        <f t="shared" si="35"/>
        <v>0</v>
      </c>
      <c r="R159" s="90">
        <f t="shared" si="35"/>
        <v>0</v>
      </c>
      <c r="S159" s="90">
        <f t="shared" si="35"/>
        <v>0</v>
      </c>
      <c r="T159" s="90">
        <f t="shared" si="35"/>
        <v>0</v>
      </c>
      <c r="U159" s="101">
        <f t="shared" si="35"/>
        <v>0</v>
      </c>
      <c r="V159" s="71"/>
      <c r="W159" s="102">
        <f t="shared" si="36"/>
        <v>0</v>
      </c>
      <c r="X159" s="102">
        <f t="shared" si="36"/>
        <v>0</v>
      </c>
      <c r="Y159" s="90">
        <f t="shared" si="36"/>
        <v>0</v>
      </c>
      <c r="Z159" s="102">
        <f t="shared" si="36"/>
        <v>0</v>
      </c>
      <c r="AA159" s="101" t="str">
        <f t="shared" si="36"/>
        <v>EA</v>
      </c>
      <c r="AB159" s="71"/>
      <c r="AC159" s="91">
        <v>1</v>
      </c>
      <c r="AD159" s="91">
        <v>1</v>
      </c>
      <c r="AE159" s="92">
        <f t="shared" si="26"/>
        <v>0</v>
      </c>
      <c r="AF159" s="93">
        <f t="shared" si="30"/>
        <v>0</v>
      </c>
    </row>
    <row r="160" spans="1:32" ht="12.5">
      <c r="A160" s="28">
        <v>144</v>
      </c>
      <c r="B160" s="104" t="s">
        <v>191</v>
      </c>
      <c r="C160" s="116" t="str">
        <f t="shared" si="33"/>
        <v>PTP-Rig</v>
      </c>
      <c r="D160" s="117" t="s">
        <v>8</v>
      </c>
      <c r="E160" s="116" t="str">
        <f t="shared" si="37"/>
        <v>Fixed Cost</v>
      </c>
      <c r="F160" s="118">
        <f t="shared" si="23"/>
        <v>1.1499999999999999</v>
      </c>
      <c r="G160" s="119"/>
      <c r="J160" s="83">
        <f t="shared" si="34"/>
        <v>0</v>
      </c>
      <c r="K160" s="99">
        <v>144</v>
      </c>
      <c r="L160" s="100">
        <f t="shared" si="35"/>
        <v>1</v>
      </c>
      <c r="M160" s="90">
        <f t="shared" si="35"/>
        <v>0</v>
      </c>
      <c r="N160" s="90">
        <f t="shared" si="35"/>
        <v>0</v>
      </c>
      <c r="O160" s="90">
        <f t="shared" si="35"/>
        <v>0</v>
      </c>
      <c r="P160" s="90">
        <f t="shared" si="35"/>
        <v>0</v>
      </c>
      <c r="Q160" s="90">
        <f t="shared" si="35"/>
        <v>0</v>
      </c>
      <c r="R160" s="90">
        <f t="shared" si="35"/>
        <v>0</v>
      </c>
      <c r="S160" s="90">
        <f t="shared" si="35"/>
        <v>0</v>
      </c>
      <c r="T160" s="90">
        <f t="shared" si="35"/>
        <v>0</v>
      </c>
      <c r="U160" s="101">
        <f t="shared" si="35"/>
        <v>0</v>
      </c>
      <c r="V160" s="71"/>
      <c r="W160" s="102">
        <f t="shared" si="36"/>
        <v>0</v>
      </c>
      <c r="X160" s="102">
        <f t="shared" si="36"/>
        <v>0</v>
      </c>
      <c r="Y160" s="90">
        <f t="shared" si="36"/>
        <v>0</v>
      </c>
      <c r="Z160" s="102">
        <f t="shared" si="36"/>
        <v>0</v>
      </c>
      <c r="AA160" s="101" t="str">
        <f t="shared" si="36"/>
        <v>EA</v>
      </c>
      <c r="AB160" s="71"/>
      <c r="AC160" s="91">
        <v>1</v>
      </c>
      <c r="AD160" s="91">
        <v>1</v>
      </c>
      <c r="AE160" s="92">
        <f t="shared" si="26"/>
        <v>0</v>
      </c>
      <c r="AF160" s="93">
        <f t="shared" si="30"/>
        <v>0</v>
      </c>
    </row>
    <row r="161" spans="1:32" ht="12.5">
      <c r="A161" s="28">
        <v>145</v>
      </c>
      <c r="B161" s="104" t="s">
        <v>192</v>
      </c>
      <c r="C161" s="116" t="str">
        <f t="shared" si="33"/>
        <v>PTP-Trucking</v>
      </c>
      <c r="D161" s="117" t="s">
        <v>8</v>
      </c>
      <c r="E161" s="116" t="str">
        <f t="shared" si="37"/>
        <v>Fixed Cost</v>
      </c>
      <c r="F161" s="118">
        <f t="shared" si="23"/>
        <v>1.1499999999999999</v>
      </c>
      <c r="G161" s="119"/>
      <c r="J161" s="83">
        <f t="shared" si="34"/>
        <v>0</v>
      </c>
      <c r="K161" s="99">
        <v>145</v>
      </c>
      <c r="L161" s="100">
        <f t="shared" ref="L161:U176" si="38">INDEX(L$420:L$1632,MATCH($K161,$K$420:$K$1632,0)+MATCH("Option "&amp;$D$9,$K$420:$K$1230,0)-1,1)</f>
        <v>1</v>
      </c>
      <c r="M161" s="90">
        <f t="shared" si="38"/>
        <v>0</v>
      </c>
      <c r="N161" s="90">
        <f t="shared" si="38"/>
        <v>0</v>
      </c>
      <c r="O161" s="90">
        <f t="shared" si="38"/>
        <v>0</v>
      </c>
      <c r="P161" s="90">
        <f t="shared" si="38"/>
        <v>0</v>
      </c>
      <c r="Q161" s="90">
        <f t="shared" si="38"/>
        <v>0</v>
      </c>
      <c r="R161" s="90">
        <f t="shared" si="38"/>
        <v>0</v>
      </c>
      <c r="S161" s="90">
        <f t="shared" si="38"/>
        <v>0</v>
      </c>
      <c r="T161" s="90">
        <f t="shared" si="38"/>
        <v>0</v>
      </c>
      <c r="U161" s="101">
        <f t="shared" si="38"/>
        <v>0</v>
      </c>
      <c r="V161" s="71"/>
      <c r="W161" s="102">
        <f t="shared" ref="W161:AA176" si="39">INDEX(W$420:W$1632,MATCH($K161,$K$420:$K$1632,0)+MATCH("Option "&amp;$D$9,$K$420:$K$1230,0)-1,1)</f>
        <v>0</v>
      </c>
      <c r="X161" s="102">
        <f t="shared" si="39"/>
        <v>0</v>
      </c>
      <c r="Y161" s="90">
        <f t="shared" si="39"/>
        <v>0</v>
      </c>
      <c r="Z161" s="102">
        <f t="shared" si="39"/>
        <v>0</v>
      </c>
      <c r="AA161" s="101" t="str">
        <f t="shared" si="39"/>
        <v>EA</v>
      </c>
      <c r="AB161" s="71"/>
      <c r="AC161" s="91">
        <v>1</v>
      </c>
      <c r="AD161" s="91">
        <v>1</v>
      </c>
      <c r="AE161" s="92">
        <f t="shared" si="26"/>
        <v>0</v>
      </c>
      <c r="AF161" s="93">
        <f t="shared" si="30"/>
        <v>0</v>
      </c>
    </row>
    <row r="162" spans="1:32" ht="12.5">
      <c r="A162" s="28">
        <v>146</v>
      </c>
      <c r="B162" s="104" t="s">
        <v>92</v>
      </c>
      <c r="C162" s="116" t="s">
        <v>112</v>
      </c>
      <c r="D162" s="117" t="s">
        <v>8</v>
      </c>
      <c r="E162" s="116" t="str">
        <f t="shared" si="37"/>
        <v>Fixed Cost</v>
      </c>
      <c r="F162" s="118">
        <f t="shared" si="23"/>
        <v>1.1499999999999999</v>
      </c>
      <c r="G162" s="119"/>
      <c r="J162" s="83">
        <f t="shared" si="34"/>
        <v>0</v>
      </c>
      <c r="K162" s="99">
        <v>146</v>
      </c>
      <c r="L162" s="100">
        <f t="shared" si="38"/>
        <v>1</v>
      </c>
      <c r="M162" s="90">
        <f t="shared" si="38"/>
        <v>0</v>
      </c>
      <c r="N162" s="90">
        <f t="shared" si="38"/>
        <v>0</v>
      </c>
      <c r="O162" s="90">
        <f t="shared" si="38"/>
        <v>0</v>
      </c>
      <c r="P162" s="90">
        <f t="shared" si="38"/>
        <v>0</v>
      </c>
      <c r="Q162" s="90">
        <f t="shared" si="38"/>
        <v>0</v>
      </c>
      <c r="R162" s="90">
        <f t="shared" si="38"/>
        <v>0</v>
      </c>
      <c r="S162" s="90">
        <f t="shared" si="38"/>
        <v>0</v>
      </c>
      <c r="T162" s="90">
        <f t="shared" si="38"/>
        <v>0</v>
      </c>
      <c r="U162" s="101">
        <f t="shared" si="38"/>
        <v>0</v>
      </c>
      <c r="V162" s="71"/>
      <c r="W162" s="102">
        <f t="shared" si="39"/>
        <v>0</v>
      </c>
      <c r="X162" s="102">
        <f t="shared" si="39"/>
        <v>0</v>
      </c>
      <c r="Y162" s="90">
        <f t="shared" si="39"/>
        <v>0</v>
      </c>
      <c r="Z162" s="102">
        <f t="shared" si="39"/>
        <v>0</v>
      </c>
      <c r="AA162" s="101" t="str">
        <f t="shared" si="39"/>
        <v>EA</v>
      </c>
      <c r="AB162" s="71"/>
      <c r="AC162" s="91">
        <v>1</v>
      </c>
      <c r="AD162" s="91">
        <v>1</v>
      </c>
      <c r="AE162" s="92">
        <f t="shared" si="26"/>
        <v>0</v>
      </c>
      <c r="AF162" s="93">
        <f t="shared" si="30"/>
        <v>0</v>
      </c>
    </row>
    <row r="163" spans="1:32" ht="12.5">
      <c r="A163" s="28">
        <v>147</v>
      </c>
      <c r="B163" s="104" t="s">
        <v>193</v>
      </c>
      <c r="C163" s="116" t="str">
        <f t="shared" si="33"/>
        <v>PTP-Rig</v>
      </c>
      <c r="D163" s="117" t="s">
        <v>8</v>
      </c>
      <c r="E163" s="116" t="str">
        <f t="shared" si="37"/>
        <v>Fixed Cost</v>
      </c>
      <c r="F163" s="118">
        <f t="shared" si="23"/>
        <v>1.1499999999999999</v>
      </c>
      <c r="G163" s="119"/>
      <c r="J163" s="83">
        <f t="shared" si="34"/>
        <v>0</v>
      </c>
      <c r="K163" s="99">
        <v>147</v>
      </c>
      <c r="L163" s="100">
        <f t="shared" si="38"/>
        <v>1</v>
      </c>
      <c r="M163" s="90">
        <f t="shared" si="38"/>
        <v>0</v>
      </c>
      <c r="N163" s="90">
        <f t="shared" si="38"/>
        <v>0</v>
      </c>
      <c r="O163" s="90">
        <f t="shared" si="38"/>
        <v>0</v>
      </c>
      <c r="P163" s="90">
        <f t="shared" si="38"/>
        <v>0</v>
      </c>
      <c r="Q163" s="90">
        <f t="shared" si="38"/>
        <v>0</v>
      </c>
      <c r="R163" s="90">
        <f t="shared" si="38"/>
        <v>0</v>
      </c>
      <c r="S163" s="90">
        <f t="shared" si="38"/>
        <v>0</v>
      </c>
      <c r="T163" s="90">
        <f t="shared" si="38"/>
        <v>0</v>
      </c>
      <c r="U163" s="101">
        <f t="shared" si="38"/>
        <v>0</v>
      </c>
      <c r="V163" s="71"/>
      <c r="W163" s="102">
        <f t="shared" si="39"/>
        <v>0</v>
      </c>
      <c r="X163" s="102">
        <f t="shared" si="39"/>
        <v>0</v>
      </c>
      <c r="Y163" s="90">
        <f t="shared" si="39"/>
        <v>0</v>
      </c>
      <c r="Z163" s="102">
        <f t="shared" si="39"/>
        <v>0</v>
      </c>
      <c r="AA163" s="101" t="str">
        <f t="shared" si="39"/>
        <v>EA</v>
      </c>
      <c r="AB163" s="71"/>
      <c r="AC163" s="91">
        <v>1</v>
      </c>
      <c r="AD163" s="91">
        <v>1</v>
      </c>
      <c r="AE163" s="92">
        <f t="shared" si="26"/>
        <v>0</v>
      </c>
      <c r="AF163" s="93">
        <f t="shared" si="30"/>
        <v>0</v>
      </c>
    </row>
    <row r="164" spans="1:32" ht="12.5">
      <c r="A164" s="28">
        <v>148</v>
      </c>
      <c r="B164" s="104" t="s">
        <v>194</v>
      </c>
      <c r="C164" s="116" t="str">
        <f t="shared" si="33"/>
        <v>PTP-Other</v>
      </c>
      <c r="D164" s="117" t="s">
        <v>8</v>
      </c>
      <c r="E164" s="116" t="str">
        <f t="shared" si="37"/>
        <v>Fixed Cost</v>
      </c>
      <c r="F164" s="118">
        <f t="shared" si="23"/>
        <v>1.1499999999999999</v>
      </c>
      <c r="G164" s="119"/>
      <c r="J164" s="83">
        <f t="shared" si="34"/>
        <v>0</v>
      </c>
      <c r="K164" s="99">
        <v>148</v>
      </c>
      <c r="L164" s="100">
        <f t="shared" si="38"/>
        <v>1</v>
      </c>
      <c r="M164" s="90">
        <f t="shared" si="38"/>
        <v>0</v>
      </c>
      <c r="N164" s="90">
        <f t="shared" si="38"/>
        <v>0</v>
      </c>
      <c r="O164" s="90">
        <f t="shared" si="38"/>
        <v>0</v>
      </c>
      <c r="P164" s="90">
        <f t="shared" si="38"/>
        <v>0</v>
      </c>
      <c r="Q164" s="90">
        <f t="shared" si="38"/>
        <v>0</v>
      </c>
      <c r="R164" s="90">
        <f t="shared" si="38"/>
        <v>0</v>
      </c>
      <c r="S164" s="90">
        <f t="shared" si="38"/>
        <v>0</v>
      </c>
      <c r="T164" s="90">
        <f t="shared" si="38"/>
        <v>0</v>
      </c>
      <c r="U164" s="101">
        <f t="shared" si="38"/>
        <v>0</v>
      </c>
      <c r="V164" s="71"/>
      <c r="W164" s="102">
        <f t="shared" si="39"/>
        <v>0</v>
      </c>
      <c r="X164" s="102">
        <f t="shared" si="39"/>
        <v>0</v>
      </c>
      <c r="Y164" s="90">
        <f t="shared" si="39"/>
        <v>0</v>
      </c>
      <c r="Z164" s="102">
        <f t="shared" si="39"/>
        <v>0</v>
      </c>
      <c r="AA164" s="101" t="str">
        <f t="shared" si="39"/>
        <v>EA</v>
      </c>
      <c r="AB164" s="71"/>
      <c r="AC164" s="91">
        <v>1</v>
      </c>
      <c r="AD164" s="91">
        <v>1</v>
      </c>
      <c r="AE164" s="92">
        <f t="shared" si="26"/>
        <v>0</v>
      </c>
      <c r="AF164" s="93">
        <f t="shared" si="30"/>
        <v>0</v>
      </c>
    </row>
    <row r="165" spans="1:32" ht="12.5">
      <c r="A165" s="28">
        <v>149</v>
      </c>
      <c r="B165" s="104" t="s">
        <v>195</v>
      </c>
      <c r="C165" s="116" t="str">
        <f t="shared" si="33"/>
        <v>PTP-Other</v>
      </c>
      <c r="D165" s="117" t="s">
        <v>8</v>
      </c>
      <c r="E165" s="116" t="str">
        <f t="shared" si="37"/>
        <v>Fixed Cost</v>
      </c>
      <c r="F165" s="118">
        <f t="shared" si="23"/>
        <v>1.1499999999999999</v>
      </c>
      <c r="G165" s="119"/>
      <c r="J165" s="83">
        <f t="shared" si="34"/>
        <v>0</v>
      </c>
      <c r="K165" s="99">
        <v>149</v>
      </c>
      <c r="L165" s="100">
        <f t="shared" si="38"/>
        <v>1</v>
      </c>
      <c r="M165" s="90">
        <f t="shared" si="38"/>
        <v>0</v>
      </c>
      <c r="N165" s="90">
        <f t="shared" si="38"/>
        <v>0</v>
      </c>
      <c r="O165" s="90">
        <f t="shared" si="38"/>
        <v>0</v>
      </c>
      <c r="P165" s="90">
        <f t="shared" si="38"/>
        <v>0</v>
      </c>
      <c r="Q165" s="90">
        <f t="shared" si="38"/>
        <v>0</v>
      </c>
      <c r="R165" s="90">
        <f t="shared" si="38"/>
        <v>0</v>
      </c>
      <c r="S165" s="90">
        <f t="shared" si="38"/>
        <v>0</v>
      </c>
      <c r="T165" s="90">
        <f t="shared" si="38"/>
        <v>0</v>
      </c>
      <c r="U165" s="101">
        <f t="shared" si="38"/>
        <v>0</v>
      </c>
      <c r="V165" s="71"/>
      <c r="W165" s="102">
        <f t="shared" si="39"/>
        <v>0</v>
      </c>
      <c r="X165" s="102">
        <f t="shared" si="39"/>
        <v>0</v>
      </c>
      <c r="Y165" s="90">
        <f t="shared" si="39"/>
        <v>0</v>
      </c>
      <c r="Z165" s="102">
        <f t="shared" si="39"/>
        <v>0</v>
      </c>
      <c r="AA165" s="101" t="str">
        <f t="shared" si="39"/>
        <v>EA</v>
      </c>
      <c r="AB165" s="71"/>
      <c r="AC165" s="91">
        <v>1</v>
      </c>
      <c r="AD165" s="91">
        <v>1</v>
      </c>
      <c r="AE165" s="92">
        <f t="shared" si="26"/>
        <v>0</v>
      </c>
      <c r="AF165" s="93">
        <f t="shared" si="30"/>
        <v>0</v>
      </c>
    </row>
    <row r="166" spans="1:32" ht="13" thickBot="1">
      <c r="A166" s="28">
        <v>150</v>
      </c>
      <c r="B166" s="104" t="s">
        <v>196</v>
      </c>
      <c r="C166" s="116" t="str">
        <f t="shared" si="33"/>
        <v>PTP-Other</v>
      </c>
      <c r="D166" s="117" t="s">
        <v>8</v>
      </c>
      <c r="E166" s="122" t="str">
        <f t="shared" si="37"/>
        <v>Fixed Cost</v>
      </c>
      <c r="F166" s="123">
        <f t="shared" si="23"/>
        <v>1.1499999999999999</v>
      </c>
      <c r="G166" s="124"/>
      <c r="J166" s="83">
        <f t="shared" si="34"/>
        <v>0</v>
      </c>
      <c r="K166" s="99">
        <v>150</v>
      </c>
      <c r="L166" s="100">
        <f t="shared" si="38"/>
        <v>1</v>
      </c>
      <c r="M166" s="90">
        <f t="shared" si="38"/>
        <v>0</v>
      </c>
      <c r="N166" s="90">
        <f t="shared" si="38"/>
        <v>0</v>
      </c>
      <c r="O166" s="90">
        <f t="shared" si="38"/>
        <v>0</v>
      </c>
      <c r="P166" s="90">
        <f t="shared" si="38"/>
        <v>0</v>
      </c>
      <c r="Q166" s="90">
        <f t="shared" si="38"/>
        <v>0</v>
      </c>
      <c r="R166" s="90">
        <f t="shared" si="38"/>
        <v>0</v>
      </c>
      <c r="S166" s="90">
        <f t="shared" si="38"/>
        <v>0</v>
      </c>
      <c r="T166" s="90">
        <f t="shared" si="38"/>
        <v>0</v>
      </c>
      <c r="U166" s="101">
        <f t="shared" si="38"/>
        <v>0</v>
      </c>
      <c r="V166" s="71"/>
      <c r="W166" s="102">
        <f t="shared" si="39"/>
        <v>0</v>
      </c>
      <c r="X166" s="102">
        <f t="shared" si="39"/>
        <v>0</v>
      </c>
      <c r="Y166" s="90">
        <f t="shared" si="39"/>
        <v>0</v>
      </c>
      <c r="Z166" s="102">
        <f t="shared" si="39"/>
        <v>0</v>
      </c>
      <c r="AA166" s="101" t="str">
        <f t="shared" si="39"/>
        <v>EA</v>
      </c>
      <c r="AB166" s="71"/>
      <c r="AC166" s="91">
        <v>1</v>
      </c>
      <c r="AD166" s="91">
        <v>1</v>
      </c>
      <c r="AE166" s="92">
        <f t="shared" si="26"/>
        <v>0</v>
      </c>
      <c r="AF166" s="93">
        <f t="shared" si="30"/>
        <v>0</v>
      </c>
    </row>
    <row r="167" spans="1:32" ht="12.5">
      <c r="A167" s="28">
        <v>151</v>
      </c>
      <c r="B167" s="125" t="s">
        <v>197</v>
      </c>
      <c r="C167" s="125" t="str">
        <f t="shared" ref="C167:C168" si="40">INDEX(___ServicesMasterList_Symbol,MATCH($B167,___ServicesMasterList,0),1)</f>
        <v>PPP</v>
      </c>
      <c r="D167" s="125" t="s">
        <v>8</v>
      </c>
      <c r="E167" s="125" t="str">
        <f t="shared" si="37"/>
        <v>Fixed Cost</v>
      </c>
      <c r="F167" s="126">
        <v>1</v>
      </c>
      <c r="J167" s="83">
        <f t="shared" si="34"/>
        <v>0</v>
      </c>
      <c r="K167" s="99">
        <v>151</v>
      </c>
      <c r="L167" s="100">
        <f t="shared" si="38"/>
        <v>1</v>
      </c>
      <c r="M167" s="90">
        <f t="shared" si="38"/>
        <v>0</v>
      </c>
      <c r="N167" s="90">
        <f t="shared" si="38"/>
        <v>0</v>
      </c>
      <c r="O167" s="90">
        <f t="shared" si="38"/>
        <v>0</v>
      </c>
      <c r="P167" s="90">
        <f t="shared" si="38"/>
        <v>0</v>
      </c>
      <c r="Q167" s="90">
        <f t="shared" si="38"/>
        <v>0</v>
      </c>
      <c r="R167" s="90">
        <f t="shared" si="38"/>
        <v>0</v>
      </c>
      <c r="S167" s="90">
        <f t="shared" si="38"/>
        <v>0</v>
      </c>
      <c r="T167" s="90">
        <f t="shared" si="38"/>
        <v>0</v>
      </c>
      <c r="U167" s="101">
        <f t="shared" si="38"/>
        <v>0</v>
      </c>
      <c r="V167" s="71"/>
      <c r="W167" s="102">
        <f t="shared" si="39"/>
        <v>0</v>
      </c>
      <c r="X167" s="102">
        <f t="shared" si="39"/>
        <v>0</v>
      </c>
      <c r="Y167" s="90">
        <f t="shared" si="39"/>
        <v>0</v>
      </c>
      <c r="Z167" s="102">
        <f t="shared" si="39"/>
        <v>0</v>
      </c>
      <c r="AA167" s="101" t="str">
        <f t="shared" si="39"/>
        <v>EA</v>
      </c>
      <c r="AB167" s="71"/>
      <c r="AC167" s="91">
        <v>1</v>
      </c>
      <c r="AD167" s="91">
        <v>1</v>
      </c>
      <c r="AE167" s="92">
        <f t="shared" si="26"/>
        <v>0</v>
      </c>
      <c r="AF167" s="93">
        <f t="shared" si="30"/>
        <v>0</v>
      </c>
    </row>
    <row r="168" spans="1:32" ht="12.5">
      <c r="A168" s="28">
        <v>152</v>
      </c>
      <c r="B168" s="127" t="s">
        <v>199</v>
      </c>
      <c r="C168" s="127" t="str">
        <f t="shared" si="40"/>
        <v>PPP</v>
      </c>
      <c r="D168" s="127" t="s">
        <v>8</v>
      </c>
      <c r="E168" s="127" t="str">
        <f t="shared" si="37"/>
        <v>Fixed Cost</v>
      </c>
      <c r="F168" s="128">
        <f>F167</f>
        <v>1</v>
      </c>
      <c r="J168" s="83">
        <f t="shared" si="34"/>
        <v>0</v>
      </c>
      <c r="K168" s="99">
        <v>152</v>
      </c>
      <c r="L168" s="100">
        <f t="shared" si="38"/>
        <v>1</v>
      </c>
      <c r="M168" s="90">
        <f t="shared" si="38"/>
        <v>0</v>
      </c>
      <c r="N168" s="90">
        <f t="shared" si="38"/>
        <v>0</v>
      </c>
      <c r="O168" s="90">
        <f t="shared" si="38"/>
        <v>0</v>
      </c>
      <c r="P168" s="90">
        <f t="shared" si="38"/>
        <v>0</v>
      </c>
      <c r="Q168" s="90">
        <f t="shared" si="38"/>
        <v>0</v>
      </c>
      <c r="R168" s="90">
        <f t="shared" si="38"/>
        <v>0</v>
      </c>
      <c r="S168" s="90">
        <f t="shared" si="38"/>
        <v>0</v>
      </c>
      <c r="T168" s="90">
        <f t="shared" si="38"/>
        <v>0</v>
      </c>
      <c r="U168" s="101">
        <f t="shared" si="38"/>
        <v>0</v>
      </c>
      <c r="V168" s="71"/>
      <c r="W168" s="102">
        <f t="shared" si="39"/>
        <v>0</v>
      </c>
      <c r="X168" s="102">
        <f t="shared" si="39"/>
        <v>0</v>
      </c>
      <c r="Y168" s="90">
        <f t="shared" si="39"/>
        <v>0</v>
      </c>
      <c r="Z168" s="102">
        <f t="shared" si="39"/>
        <v>0</v>
      </c>
      <c r="AA168" s="101" t="str">
        <f t="shared" si="39"/>
        <v>EA</v>
      </c>
      <c r="AB168" s="71"/>
      <c r="AC168" s="91">
        <v>1</v>
      </c>
      <c r="AD168" s="91">
        <v>1</v>
      </c>
      <c r="AE168" s="92">
        <f t="shared" si="26"/>
        <v>0</v>
      </c>
      <c r="AF168" s="93">
        <f t="shared" si="30"/>
        <v>0</v>
      </c>
    </row>
    <row r="169" spans="1:32" ht="12.5">
      <c r="A169" s="28">
        <v>153</v>
      </c>
      <c r="B169" s="129" t="s">
        <v>267</v>
      </c>
      <c r="C169" s="129"/>
      <c r="D169" s="130"/>
      <c r="E169" s="130"/>
      <c r="F169" s="129"/>
      <c r="J169" s="83">
        <f t="shared" si="34"/>
        <v>0</v>
      </c>
      <c r="K169" s="99">
        <v>153</v>
      </c>
      <c r="L169" s="100">
        <f t="shared" si="38"/>
        <v>1</v>
      </c>
      <c r="M169" s="90">
        <f t="shared" si="38"/>
        <v>0</v>
      </c>
      <c r="N169" s="90">
        <f t="shared" si="38"/>
        <v>0</v>
      </c>
      <c r="O169" s="90">
        <f t="shared" si="38"/>
        <v>0</v>
      </c>
      <c r="P169" s="90">
        <f t="shared" si="38"/>
        <v>0</v>
      </c>
      <c r="Q169" s="90">
        <f t="shared" si="38"/>
        <v>0</v>
      </c>
      <c r="R169" s="90">
        <f t="shared" si="38"/>
        <v>0</v>
      </c>
      <c r="S169" s="90">
        <f t="shared" si="38"/>
        <v>0</v>
      </c>
      <c r="T169" s="90">
        <f t="shared" si="38"/>
        <v>0</v>
      </c>
      <c r="U169" s="101">
        <f t="shared" si="38"/>
        <v>0</v>
      </c>
      <c r="V169" s="71"/>
      <c r="W169" s="102">
        <f t="shared" si="39"/>
        <v>0</v>
      </c>
      <c r="X169" s="102">
        <f t="shared" si="39"/>
        <v>0</v>
      </c>
      <c r="Y169" s="90">
        <f t="shared" si="39"/>
        <v>0</v>
      </c>
      <c r="Z169" s="102">
        <f t="shared" si="39"/>
        <v>0</v>
      </c>
      <c r="AA169" s="101" t="str">
        <f t="shared" si="39"/>
        <v>EA</v>
      </c>
      <c r="AB169" s="71"/>
      <c r="AC169" s="91">
        <v>1</v>
      </c>
      <c r="AD169" s="91">
        <v>1</v>
      </c>
      <c r="AE169" s="92">
        <f t="shared" si="26"/>
        <v>0</v>
      </c>
      <c r="AF169" s="93">
        <f t="shared" si="30"/>
        <v>0</v>
      </c>
    </row>
    <row r="170" spans="1:32" ht="12.5">
      <c r="A170" s="28">
        <v>154</v>
      </c>
      <c r="D170" s="32"/>
      <c r="E170" s="32"/>
      <c r="F170" s="32"/>
      <c r="J170" s="83">
        <f t="shared" si="34"/>
        <v>0</v>
      </c>
      <c r="K170" s="99">
        <v>154</v>
      </c>
      <c r="L170" s="100">
        <f t="shared" si="38"/>
        <v>1</v>
      </c>
      <c r="M170" s="90">
        <f t="shared" si="38"/>
        <v>0</v>
      </c>
      <c r="N170" s="90">
        <f t="shared" si="38"/>
        <v>0</v>
      </c>
      <c r="O170" s="90">
        <f t="shared" si="38"/>
        <v>0</v>
      </c>
      <c r="P170" s="90">
        <f t="shared" si="38"/>
        <v>0</v>
      </c>
      <c r="Q170" s="90">
        <f t="shared" si="38"/>
        <v>0</v>
      </c>
      <c r="R170" s="90">
        <f t="shared" si="38"/>
        <v>0</v>
      </c>
      <c r="S170" s="90">
        <f t="shared" si="38"/>
        <v>0</v>
      </c>
      <c r="T170" s="90">
        <f t="shared" si="38"/>
        <v>0</v>
      </c>
      <c r="U170" s="101">
        <f t="shared" si="38"/>
        <v>0</v>
      </c>
      <c r="V170" s="71"/>
      <c r="W170" s="102">
        <f t="shared" si="39"/>
        <v>0</v>
      </c>
      <c r="X170" s="102">
        <f t="shared" si="39"/>
        <v>0</v>
      </c>
      <c r="Y170" s="90">
        <f t="shared" si="39"/>
        <v>0</v>
      </c>
      <c r="Z170" s="102">
        <f t="shared" si="39"/>
        <v>0</v>
      </c>
      <c r="AA170" s="101" t="str">
        <f t="shared" si="39"/>
        <v>EA</v>
      </c>
      <c r="AB170" s="71"/>
      <c r="AC170" s="91">
        <v>1</v>
      </c>
      <c r="AD170" s="91">
        <v>1</v>
      </c>
      <c r="AE170" s="92">
        <f t="shared" ref="AE170:AE233" si="41">$M170</f>
        <v>0</v>
      </c>
      <c r="AF170" s="93">
        <f t="shared" si="30"/>
        <v>0</v>
      </c>
    </row>
    <row r="171" spans="1:32" ht="12.5">
      <c r="A171" s="28">
        <v>155</v>
      </c>
      <c r="J171" s="83">
        <f t="shared" si="34"/>
        <v>0</v>
      </c>
      <c r="K171" s="99">
        <v>155</v>
      </c>
      <c r="L171" s="100">
        <f t="shared" si="38"/>
        <v>1</v>
      </c>
      <c r="M171" s="90">
        <f t="shared" si="38"/>
        <v>0</v>
      </c>
      <c r="N171" s="90">
        <f t="shared" si="38"/>
        <v>0</v>
      </c>
      <c r="O171" s="90">
        <f t="shared" si="38"/>
        <v>0</v>
      </c>
      <c r="P171" s="90">
        <f t="shared" si="38"/>
        <v>0</v>
      </c>
      <c r="Q171" s="90">
        <f t="shared" si="38"/>
        <v>0</v>
      </c>
      <c r="R171" s="90">
        <f t="shared" si="38"/>
        <v>0</v>
      </c>
      <c r="S171" s="90">
        <f t="shared" si="38"/>
        <v>0</v>
      </c>
      <c r="T171" s="90">
        <f t="shared" si="38"/>
        <v>0</v>
      </c>
      <c r="U171" s="101">
        <f t="shared" si="38"/>
        <v>0</v>
      </c>
      <c r="V171" s="71"/>
      <c r="W171" s="102">
        <f t="shared" si="39"/>
        <v>0</v>
      </c>
      <c r="X171" s="102">
        <f t="shared" si="39"/>
        <v>0</v>
      </c>
      <c r="Y171" s="90">
        <f t="shared" si="39"/>
        <v>0</v>
      </c>
      <c r="Z171" s="102">
        <f t="shared" si="39"/>
        <v>0</v>
      </c>
      <c r="AA171" s="101" t="str">
        <f t="shared" si="39"/>
        <v>EA</v>
      </c>
      <c r="AB171" s="71"/>
      <c r="AC171" s="91">
        <v>1</v>
      </c>
      <c r="AD171" s="91">
        <v>1</v>
      </c>
      <c r="AE171" s="92">
        <f t="shared" si="41"/>
        <v>0</v>
      </c>
      <c r="AF171" s="93">
        <f t="shared" si="30"/>
        <v>0</v>
      </c>
    </row>
    <row r="172" spans="1:32" ht="12.5">
      <c r="A172" s="28">
        <v>156</v>
      </c>
      <c r="D172" s="32"/>
      <c r="E172" s="32"/>
      <c r="F172" s="32"/>
      <c r="J172" s="83">
        <f t="shared" si="34"/>
        <v>0</v>
      </c>
      <c r="K172" s="99">
        <v>156</v>
      </c>
      <c r="L172" s="100">
        <f t="shared" si="38"/>
        <v>1</v>
      </c>
      <c r="M172" s="90">
        <f t="shared" si="38"/>
        <v>0</v>
      </c>
      <c r="N172" s="90">
        <f t="shared" si="38"/>
        <v>0</v>
      </c>
      <c r="O172" s="90">
        <f t="shared" si="38"/>
        <v>0</v>
      </c>
      <c r="P172" s="90">
        <f t="shared" si="38"/>
        <v>0</v>
      </c>
      <c r="Q172" s="90">
        <f t="shared" si="38"/>
        <v>0</v>
      </c>
      <c r="R172" s="90">
        <f t="shared" si="38"/>
        <v>0</v>
      </c>
      <c r="S172" s="90">
        <f t="shared" si="38"/>
        <v>0</v>
      </c>
      <c r="T172" s="90">
        <f t="shared" si="38"/>
        <v>0</v>
      </c>
      <c r="U172" s="101">
        <f t="shared" si="38"/>
        <v>0</v>
      </c>
      <c r="V172" s="71"/>
      <c r="W172" s="102">
        <f t="shared" si="39"/>
        <v>0</v>
      </c>
      <c r="X172" s="102">
        <f t="shared" si="39"/>
        <v>0</v>
      </c>
      <c r="Y172" s="90">
        <f t="shared" si="39"/>
        <v>0</v>
      </c>
      <c r="Z172" s="102">
        <f t="shared" si="39"/>
        <v>0</v>
      </c>
      <c r="AA172" s="101" t="str">
        <f t="shared" si="39"/>
        <v>EA</v>
      </c>
      <c r="AB172" s="71"/>
      <c r="AC172" s="91">
        <v>1</v>
      </c>
      <c r="AD172" s="91">
        <v>1</v>
      </c>
      <c r="AE172" s="92">
        <f t="shared" si="41"/>
        <v>0</v>
      </c>
      <c r="AF172" s="93">
        <f t="shared" si="30"/>
        <v>0</v>
      </c>
    </row>
    <row r="173" spans="1:32" ht="12.5">
      <c r="A173" s="28">
        <v>157</v>
      </c>
      <c r="D173" s="32"/>
      <c r="E173" s="32"/>
      <c r="F173" s="32"/>
      <c r="J173" s="83">
        <f t="shared" si="34"/>
        <v>0</v>
      </c>
      <c r="K173" s="99">
        <v>157</v>
      </c>
      <c r="L173" s="100">
        <f t="shared" si="38"/>
        <v>1</v>
      </c>
      <c r="M173" s="90">
        <f t="shared" si="38"/>
        <v>0</v>
      </c>
      <c r="N173" s="90">
        <f t="shared" si="38"/>
        <v>0</v>
      </c>
      <c r="O173" s="90">
        <f t="shared" si="38"/>
        <v>0</v>
      </c>
      <c r="P173" s="90">
        <f t="shared" si="38"/>
        <v>0</v>
      </c>
      <c r="Q173" s="90">
        <f t="shared" si="38"/>
        <v>0</v>
      </c>
      <c r="R173" s="90">
        <f t="shared" si="38"/>
        <v>0</v>
      </c>
      <c r="S173" s="90">
        <f t="shared" si="38"/>
        <v>0</v>
      </c>
      <c r="T173" s="90">
        <f t="shared" si="38"/>
        <v>0</v>
      </c>
      <c r="U173" s="101">
        <f t="shared" si="38"/>
        <v>0</v>
      </c>
      <c r="V173" s="71"/>
      <c r="W173" s="102">
        <f t="shared" si="39"/>
        <v>0</v>
      </c>
      <c r="X173" s="102">
        <f t="shared" si="39"/>
        <v>0</v>
      </c>
      <c r="Y173" s="90">
        <f t="shared" si="39"/>
        <v>0</v>
      </c>
      <c r="Z173" s="102">
        <f t="shared" si="39"/>
        <v>0</v>
      </c>
      <c r="AA173" s="101" t="str">
        <f t="shared" si="39"/>
        <v>EA</v>
      </c>
      <c r="AB173" s="71"/>
      <c r="AC173" s="91">
        <v>1</v>
      </c>
      <c r="AD173" s="91">
        <v>1</v>
      </c>
      <c r="AE173" s="92">
        <f t="shared" si="41"/>
        <v>0</v>
      </c>
      <c r="AF173" s="93">
        <f t="shared" si="30"/>
        <v>0</v>
      </c>
    </row>
    <row r="174" spans="1:32" ht="12.5">
      <c r="A174" s="28">
        <v>158</v>
      </c>
      <c r="B174" s="32">
        <v>1</v>
      </c>
      <c r="C174" s="32">
        <v>1</v>
      </c>
      <c r="J174" s="83">
        <f t="shared" si="34"/>
        <v>0</v>
      </c>
      <c r="K174" s="99">
        <v>158</v>
      </c>
      <c r="L174" s="100">
        <f t="shared" si="38"/>
        <v>1</v>
      </c>
      <c r="M174" s="90">
        <f t="shared" si="38"/>
        <v>0</v>
      </c>
      <c r="N174" s="90">
        <f t="shared" si="38"/>
        <v>0</v>
      </c>
      <c r="O174" s="90">
        <f t="shared" si="38"/>
        <v>0</v>
      </c>
      <c r="P174" s="90">
        <f t="shared" si="38"/>
        <v>0</v>
      </c>
      <c r="Q174" s="90">
        <f t="shared" si="38"/>
        <v>0</v>
      </c>
      <c r="R174" s="90">
        <f t="shared" si="38"/>
        <v>0</v>
      </c>
      <c r="S174" s="90">
        <f t="shared" si="38"/>
        <v>0</v>
      </c>
      <c r="T174" s="90">
        <f t="shared" si="38"/>
        <v>0</v>
      </c>
      <c r="U174" s="101">
        <f t="shared" si="38"/>
        <v>0</v>
      </c>
      <c r="V174" s="71"/>
      <c r="W174" s="102">
        <f t="shared" si="39"/>
        <v>0</v>
      </c>
      <c r="X174" s="102">
        <f t="shared" si="39"/>
        <v>0</v>
      </c>
      <c r="Y174" s="90">
        <f t="shared" si="39"/>
        <v>0</v>
      </c>
      <c r="Z174" s="102">
        <f t="shared" si="39"/>
        <v>0</v>
      </c>
      <c r="AA174" s="101" t="str">
        <f t="shared" si="39"/>
        <v>EA</v>
      </c>
      <c r="AB174" s="71"/>
      <c r="AC174" s="91">
        <v>1</v>
      </c>
      <c r="AD174" s="91">
        <v>1</v>
      </c>
      <c r="AE174" s="92">
        <f t="shared" si="41"/>
        <v>0</v>
      </c>
      <c r="AF174" s="93">
        <f t="shared" si="30"/>
        <v>0</v>
      </c>
    </row>
    <row r="175" spans="1:32" ht="12.5">
      <c r="A175" s="28">
        <v>159</v>
      </c>
      <c r="B175" s="32">
        <v>2</v>
      </c>
      <c r="C175" s="32">
        <v>2</v>
      </c>
      <c r="J175" s="83">
        <f t="shared" si="34"/>
        <v>0</v>
      </c>
      <c r="K175" s="99">
        <v>159</v>
      </c>
      <c r="L175" s="100">
        <f t="shared" si="38"/>
        <v>1</v>
      </c>
      <c r="M175" s="90">
        <f t="shared" si="38"/>
        <v>0</v>
      </c>
      <c r="N175" s="90">
        <f t="shared" si="38"/>
        <v>0</v>
      </c>
      <c r="O175" s="90">
        <f t="shared" si="38"/>
        <v>0</v>
      </c>
      <c r="P175" s="90">
        <f t="shared" si="38"/>
        <v>0</v>
      </c>
      <c r="Q175" s="90">
        <f t="shared" si="38"/>
        <v>0</v>
      </c>
      <c r="R175" s="90">
        <f t="shared" si="38"/>
        <v>0</v>
      </c>
      <c r="S175" s="90">
        <f t="shared" si="38"/>
        <v>0</v>
      </c>
      <c r="T175" s="90">
        <f t="shared" si="38"/>
        <v>0</v>
      </c>
      <c r="U175" s="101">
        <f t="shared" si="38"/>
        <v>0</v>
      </c>
      <c r="V175" s="71"/>
      <c r="W175" s="102">
        <f t="shared" si="39"/>
        <v>0</v>
      </c>
      <c r="X175" s="102">
        <f t="shared" si="39"/>
        <v>0</v>
      </c>
      <c r="Y175" s="90">
        <f t="shared" si="39"/>
        <v>0</v>
      </c>
      <c r="Z175" s="102">
        <f t="shared" si="39"/>
        <v>0</v>
      </c>
      <c r="AA175" s="101" t="str">
        <f t="shared" si="39"/>
        <v>EA</v>
      </c>
      <c r="AB175" s="71"/>
      <c r="AC175" s="91">
        <v>1</v>
      </c>
      <c r="AD175" s="91">
        <v>1</v>
      </c>
      <c r="AE175" s="92">
        <f t="shared" si="41"/>
        <v>0</v>
      </c>
      <c r="AF175" s="93">
        <f t="shared" si="30"/>
        <v>0</v>
      </c>
    </row>
    <row r="176" spans="1:32" ht="12.5">
      <c r="A176" s="28">
        <v>160</v>
      </c>
      <c r="B176" s="32">
        <v>3</v>
      </c>
      <c r="C176" s="32">
        <v>3</v>
      </c>
      <c r="D176" s="32"/>
      <c r="E176" s="32"/>
      <c r="F176" s="32"/>
      <c r="J176" s="83">
        <f t="shared" si="34"/>
        <v>0</v>
      </c>
      <c r="K176" s="99">
        <v>160</v>
      </c>
      <c r="L176" s="100">
        <f t="shared" si="38"/>
        <v>1</v>
      </c>
      <c r="M176" s="90">
        <f t="shared" si="38"/>
        <v>0</v>
      </c>
      <c r="N176" s="90">
        <f t="shared" si="38"/>
        <v>0</v>
      </c>
      <c r="O176" s="90">
        <f t="shared" si="38"/>
        <v>0</v>
      </c>
      <c r="P176" s="90">
        <f t="shared" si="38"/>
        <v>0</v>
      </c>
      <c r="Q176" s="90">
        <f t="shared" si="38"/>
        <v>0</v>
      </c>
      <c r="R176" s="90">
        <f t="shared" si="38"/>
        <v>0</v>
      </c>
      <c r="S176" s="90">
        <f t="shared" si="38"/>
        <v>0</v>
      </c>
      <c r="T176" s="90">
        <f t="shared" si="38"/>
        <v>0</v>
      </c>
      <c r="U176" s="101">
        <f t="shared" si="38"/>
        <v>0</v>
      </c>
      <c r="V176" s="71"/>
      <c r="W176" s="102">
        <f t="shared" si="39"/>
        <v>0</v>
      </c>
      <c r="X176" s="102">
        <f t="shared" si="39"/>
        <v>0</v>
      </c>
      <c r="Y176" s="90">
        <f t="shared" si="39"/>
        <v>0</v>
      </c>
      <c r="Z176" s="102">
        <f t="shared" si="39"/>
        <v>0</v>
      </c>
      <c r="AA176" s="101" t="str">
        <f t="shared" si="39"/>
        <v>EA</v>
      </c>
      <c r="AB176" s="71"/>
      <c r="AC176" s="91">
        <v>1</v>
      </c>
      <c r="AD176" s="91">
        <v>1</v>
      </c>
      <c r="AE176" s="92">
        <f t="shared" si="41"/>
        <v>0</v>
      </c>
      <c r="AF176" s="93">
        <f t="shared" si="30"/>
        <v>0</v>
      </c>
    </row>
    <row r="177" spans="1:32" ht="12.5">
      <c r="A177" s="28">
        <v>161</v>
      </c>
      <c r="B177" s="32">
        <v>4</v>
      </c>
      <c r="C177" s="32">
        <v>4</v>
      </c>
      <c r="D177" s="32"/>
      <c r="E177" s="32"/>
      <c r="F177" s="32"/>
      <c r="J177" s="83">
        <f t="shared" si="34"/>
        <v>0</v>
      </c>
      <c r="K177" s="99">
        <v>161</v>
      </c>
      <c r="L177" s="100">
        <f t="shared" ref="L177:U192" si="42">INDEX(L$420:L$1632,MATCH($K177,$K$420:$K$1632,0)+MATCH("Option "&amp;$D$9,$K$420:$K$1230,0)-1,1)</f>
        <v>1</v>
      </c>
      <c r="M177" s="90">
        <f t="shared" si="42"/>
        <v>0</v>
      </c>
      <c r="N177" s="90">
        <f t="shared" si="42"/>
        <v>0</v>
      </c>
      <c r="O177" s="90">
        <f t="shared" si="42"/>
        <v>0</v>
      </c>
      <c r="P177" s="90">
        <f t="shared" si="42"/>
        <v>0</v>
      </c>
      <c r="Q177" s="90">
        <f t="shared" si="42"/>
        <v>0</v>
      </c>
      <c r="R177" s="90">
        <f t="shared" si="42"/>
        <v>0</v>
      </c>
      <c r="S177" s="90">
        <f t="shared" si="42"/>
        <v>0</v>
      </c>
      <c r="T177" s="90">
        <f t="shared" si="42"/>
        <v>0</v>
      </c>
      <c r="U177" s="101">
        <f t="shared" si="42"/>
        <v>0</v>
      </c>
      <c r="V177" s="71"/>
      <c r="W177" s="102">
        <f t="shared" ref="W177:AA192" si="43">INDEX(W$420:W$1632,MATCH($K177,$K$420:$K$1632,0)+MATCH("Option "&amp;$D$9,$K$420:$K$1230,0)-1,1)</f>
        <v>0</v>
      </c>
      <c r="X177" s="102">
        <f t="shared" si="43"/>
        <v>0</v>
      </c>
      <c r="Y177" s="90">
        <f t="shared" si="43"/>
        <v>0</v>
      </c>
      <c r="Z177" s="102">
        <f t="shared" si="43"/>
        <v>0</v>
      </c>
      <c r="AA177" s="101" t="str">
        <f t="shared" si="43"/>
        <v>EA</v>
      </c>
      <c r="AB177" s="71"/>
      <c r="AC177" s="91">
        <v>1</v>
      </c>
      <c r="AD177" s="91">
        <v>1</v>
      </c>
      <c r="AE177" s="92">
        <f t="shared" si="41"/>
        <v>0</v>
      </c>
      <c r="AF177" s="93">
        <f t="shared" si="30"/>
        <v>0</v>
      </c>
    </row>
    <row r="178" spans="1:32" ht="12.5">
      <c r="A178" s="28">
        <v>162</v>
      </c>
      <c r="B178" s="32">
        <v>5</v>
      </c>
      <c r="C178" s="32">
        <v>5</v>
      </c>
      <c r="J178" s="83">
        <f t="shared" si="34"/>
        <v>0</v>
      </c>
      <c r="K178" s="99">
        <v>162</v>
      </c>
      <c r="L178" s="100">
        <f t="shared" si="42"/>
        <v>1</v>
      </c>
      <c r="M178" s="90">
        <f t="shared" si="42"/>
        <v>0</v>
      </c>
      <c r="N178" s="90">
        <f t="shared" si="42"/>
        <v>0</v>
      </c>
      <c r="O178" s="90">
        <f t="shared" si="42"/>
        <v>0</v>
      </c>
      <c r="P178" s="90">
        <f t="shared" si="42"/>
        <v>0</v>
      </c>
      <c r="Q178" s="90">
        <f t="shared" si="42"/>
        <v>0</v>
      </c>
      <c r="R178" s="90">
        <f t="shared" si="42"/>
        <v>0</v>
      </c>
      <c r="S178" s="90">
        <f t="shared" si="42"/>
        <v>0</v>
      </c>
      <c r="T178" s="90">
        <f t="shared" si="42"/>
        <v>0</v>
      </c>
      <c r="U178" s="101">
        <f t="shared" si="42"/>
        <v>0</v>
      </c>
      <c r="V178" s="71"/>
      <c r="W178" s="102">
        <f t="shared" si="43"/>
        <v>0</v>
      </c>
      <c r="X178" s="102">
        <f t="shared" si="43"/>
        <v>0</v>
      </c>
      <c r="Y178" s="90">
        <f t="shared" si="43"/>
        <v>0</v>
      </c>
      <c r="Z178" s="102">
        <f t="shared" si="43"/>
        <v>0</v>
      </c>
      <c r="AA178" s="101" t="str">
        <f t="shared" si="43"/>
        <v>EA</v>
      </c>
      <c r="AB178" s="71"/>
      <c r="AC178" s="91">
        <v>1</v>
      </c>
      <c r="AD178" s="91">
        <v>1</v>
      </c>
      <c r="AE178" s="92">
        <f t="shared" si="41"/>
        <v>0</v>
      </c>
      <c r="AF178" s="93">
        <f t="shared" si="30"/>
        <v>0</v>
      </c>
    </row>
    <row r="179" spans="1:32" ht="12.5">
      <c r="A179" s="28">
        <v>163</v>
      </c>
      <c r="B179" s="32">
        <v>6</v>
      </c>
      <c r="C179" s="32">
        <v>6</v>
      </c>
      <c r="J179" s="83">
        <f t="shared" si="34"/>
        <v>0</v>
      </c>
      <c r="K179" s="99">
        <v>163</v>
      </c>
      <c r="L179" s="100">
        <f t="shared" si="42"/>
        <v>1</v>
      </c>
      <c r="M179" s="90">
        <f t="shared" si="42"/>
        <v>0</v>
      </c>
      <c r="N179" s="90">
        <f t="shared" si="42"/>
        <v>0</v>
      </c>
      <c r="O179" s="90">
        <f t="shared" si="42"/>
        <v>0</v>
      </c>
      <c r="P179" s="90">
        <f t="shared" si="42"/>
        <v>0</v>
      </c>
      <c r="Q179" s="90">
        <f t="shared" si="42"/>
        <v>0</v>
      </c>
      <c r="R179" s="90">
        <f t="shared" si="42"/>
        <v>0</v>
      </c>
      <c r="S179" s="90">
        <f t="shared" si="42"/>
        <v>0</v>
      </c>
      <c r="T179" s="90">
        <f t="shared" si="42"/>
        <v>0</v>
      </c>
      <c r="U179" s="101">
        <f t="shared" si="42"/>
        <v>0</v>
      </c>
      <c r="V179" s="71"/>
      <c r="W179" s="102">
        <f t="shared" si="43"/>
        <v>0</v>
      </c>
      <c r="X179" s="102">
        <f t="shared" si="43"/>
        <v>0</v>
      </c>
      <c r="Y179" s="90">
        <f t="shared" si="43"/>
        <v>0</v>
      </c>
      <c r="Z179" s="102">
        <f t="shared" si="43"/>
        <v>0</v>
      </c>
      <c r="AA179" s="101" t="str">
        <f t="shared" si="43"/>
        <v>EA</v>
      </c>
      <c r="AB179" s="71"/>
      <c r="AC179" s="91">
        <v>1</v>
      </c>
      <c r="AD179" s="91">
        <v>1</v>
      </c>
      <c r="AE179" s="92">
        <f t="shared" si="41"/>
        <v>0</v>
      </c>
      <c r="AF179" s="93">
        <f t="shared" si="30"/>
        <v>0</v>
      </c>
    </row>
    <row r="180" spans="1:32" ht="12.5">
      <c r="A180" s="28">
        <v>164</v>
      </c>
      <c r="B180" s="32">
        <v>7</v>
      </c>
      <c r="C180" s="32">
        <v>7</v>
      </c>
      <c r="J180" s="83">
        <f t="shared" si="34"/>
        <v>0</v>
      </c>
      <c r="K180" s="99">
        <v>164</v>
      </c>
      <c r="L180" s="100">
        <f t="shared" si="42"/>
        <v>1</v>
      </c>
      <c r="M180" s="90">
        <f t="shared" si="42"/>
        <v>0</v>
      </c>
      <c r="N180" s="90">
        <f t="shared" si="42"/>
        <v>0</v>
      </c>
      <c r="O180" s="90">
        <f t="shared" si="42"/>
        <v>0</v>
      </c>
      <c r="P180" s="90">
        <f t="shared" si="42"/>
        <v>0</v>
      </c>
      <c r="Q180" s="90">
        <f t="shared" si="42"/>
        <v>0</v>
      </c>
      <c r="R180" s="90">
        <f t="shared" si="42"/>
        <v>0</v>
      </c>
      <c r="S180" s="90">
        <f t="shared" si="42"/>
        <v>0</v>
      </c>
      <c r="T180" s="90">
        <f t="shared" si="42"/>
        <v>0</v>
      </c>
      <c r="U180" s="101">
        <f t="shared" si="42"/>
        <v>0</v>
      </c>
      <c r="V180" s="71"/>
      <c r="W180" s="102">
        <f t="shared" si="43"/>
        <v>0</v>
      </c>
      <c r="X180" s="102">
        <f t="shared" si="43"/>
        <v>0</v>
      </c>
      <c r="Y180" s="90">
        <f t="shared" si="43"/>
        <v>0</v>
      </c>
      <c r="Z180" s="102">
        <f t="shared" si="43"/>
        <v>0</v>
      </c>
      <c r="AA180" s="101" t="str">
        <f t="shared" si="43"/>
        <v>EA</v>
      </c>
      <c r="AB180" s="71"/>
      <c r="AC180" s="91">
        <v>1</v>
      </c>
      <c r="AD180" s="91">
        <v>1</v>
      </c>
      <c r="AE180" s="92">
        <f t="shared" si="41"/>
        <v>0</v>
      </c>
      <c r="AF180" s="93">
        <f t="shared" si="30"/>
        <v>0</v>
      </c>
    </row>
    <row r="181" spans="1:32" ht="12.5">
      <c r="A181" s="28">
        <v>165</v>
      </c>
      <c r="B181" s="32">
        <v>8</v>
      </c>
      <c r="C181" s="32">
        <v>8</v>
      </c>
      <c r="J181" s="83">
        <f t="shared" si="34"/>
        <v>0</v>
      </c>
      <c r="K181" s="99">
        <v>165</v>
      </c>
      <c r="L181" s="100">
        <f t="shared" si="42"/>
        <v>1</v>
      </c>
      <c r="M181" s="90">
        <f t="shared" si="42"/>
        <v>0</v>
      </c>
      <c r="N181" s="90">
        <f t="shared" si="42"/>
        <v>0</v>
      </c>
      <c r="O181" s="90">
        <f t="shared" si="42"/>
        <v>0</v>
      </c>
      <c r="P181" s="90">
        <f t="shared" si="42"/>
        <v>0</v>
      </c>
      <c r="Q181" s="90">
        <f t="shared" si="42"/>
        <v>0</v>
      </c>
      <c r="R181" s="90">
        <f t="shared" si="42"/>
        <v>0</v>
      </c>
      <c r="S181" s="90">
        <f t="shared" si="42"/>
        <v>0</v>
      </c>
      <c r="T181" s="90">
        <f t="shared" si="42"/>
        <v>0</v>
      </c>
      <c r="U181" s="101">
        <f t="shared" si="42"/>
        <v>0</v>
      </c>
      <c r="V181" s="71"/>
      <c r="W181" s="102">
        <f t="shared" si="43"/>
        <v>0</v>
      </c>
      <c r="X181" s="102">
        <f t="shared" si="43"/>
        <v>0</v>
      </c>
      <c r="Y181" s="90">
        <f t="shared" si="43"/>
        <v>0</v>
      </c>
      <c r="Z181" s="102">
        <f t="shared" si="43"/>
        <v>0</v>
      </c>
      <c r="AA181" s="101" t="str">
        <f t="shared" si="43"/>
        <v>EA</v>
      </c>
      <c r="AB181" s="71"/>
      <c r="AC181" s="91">
        <v>1</v>
      </c>
      <c r="AD181" s="91">
        <v>1</v>
      </c>
      <c r="AE181" s="92">
        <f t="shared" si="41"/>
        <v>0</v>
      </c>
      <c r="AF181" s="93">
        <f t="shared" si="30"/>
        <v>0</v>
      </c>
    </row>
    <row r="182" spans="1:32" ht="12.5">
      <c r="A182" s="28">
        <v>166</v>
      </c>
      <c r="B182" s="32">
        <v>9</v>
      </c>
      <c r="C182" s="32">
        <v>9</v>
      </c>
      <c r="J182" s="83">
        <f t="shared" si="34"/>
        <v>0</v>
      </c>
      <c r="K182" s="99">
        <v>166</v>
      </c>
      <c r="L182" s="100">
        <f t="shared" si="42"/>
        <v>1</v>
      </c>
      <c r="M182" s="90">
        <f t="shared" si="42"/>
        <v>0</v>
      </c>
      <c r="N182" s="90">
        <f t="shared" si="42"/>
        <v>0</v>
      </c>
      <c r="O182" s="90">
        <f t="shared" si="42"/>
        <v>0</v>
      </c>
      <c r="P182" s="90">
        <f t="shared" si="42"/>
        <v>0</v>
      </c>
      <c r="Q182" s="90">
        <f t="shared" si="42"/>
        <v>0</v>
      </c>
      <c r="R182" s="90">
        <f t="shared" si="42"/>
        <v>0</v>
      </c>
      <c r="S182" s="90">
        <f t="shared" si="42"/>
        <v>0</v>
      </c>
      <c r="T182" s="90">
        <f t="shared" si="42"/>
        <v>0</v>
      </c>
      <c r="U182" s="101">
        <f t="shared" si="42"/>
        <v>0</v>
      </c>
      <c r="V182" s="71"/>
      <c r="W182" s="102">
        <f t="shared" si="43"/>
        <v>0</v>
      </c>
      <c r="X182" s="102">
        <f t="shared" si="43"/>
        <v>0</v>
      </c>
      <c r="Y182" s="90">
        <f t="shared" si="43"/>
        <v>0</v>
      </c>
      <c r="Z182" s="102">
        <f t="shared" si="43"/>
        <v>0</v>
      </c>
      <c r="AA182" s="101" t="str">
        <f t="shared" si="43"/>
        <v>EA</v>
      </c>
      <c r="AB182" s="71"/>
      <c r="AC182" s="91">
        <v>1</v>
      </c>
      <c r="AD182" s="91">
        <v>1</v>
      </c>
      <c r="AE182" s="92">
        <f t="shared" si="41"/>
        <v>0</v>
      </c>
      <c r="AF182" s="93">
        <f t="shared" si="30"/>
        <v>0</v>
      </c>
    </row>
    <row r="183" spans="1:32" ht="12.5">
      <c r="A183" s="28">
        <v>167</v>
      </c>
      <c r="B183" s="32">
        <v>10</v>
      </c>
      <c r="C183" s="32">
        <v>10</v>
      </c>
      <c r="J183" s="83">
        <f t="shared" si="34"/>
        <v>0</v>
      </c>
      <c r="K183" s="99">
        <v>167</v>
      </c>
      <c r="L183" s="100">
        <f t="shared" si="42"/>
        <v>1</v>
      </c>
      <c r="M183" s="90">
        <f t="shared" si="42"/>
        <v>0</v>
      </c>
      <c r="N183" s="90">
        <f t="shared" si="42"/>
        <v>0</v>
      </c>
      <c r="O183" s="90">
        <f t="shared" si="42"/>
        <v>0</v>
      </c>
      <c r="P183" s="90">
        <f t="shared" si="42"/>
        <v>0</v>
      </c>
      <c r="Q183" s="90">
        <f t="shared" si="42"/>
        <v>0</v>
      </c>
      <c r="R183" s="90">
        <f t="shared" si="42"/>
        <v>0</v>
      </c>
      <c r="S183" s="90">
        <f t="shared" si="42"/>
        <v>0</v>
      </c>
      <c r="T183" s="90">
        <f t="shared" si="42"/>
        <v>0</v>
      </c>
      <c r="U183" s="101">
        <f t="shared" si="42"/>
        <v>0</v>
      </c>
      <c r="V183" s="71"/>
      <c r="W183" s="102">
        <f t="shared" si="43"/>
        <v>0</v>
      </c>
      <c r="X183" s="102">
        <f t="shared" si="43"/>
        <v>0</v>
      </c>
      <c r="Y183" s="90">
        <f t="shared" si="43"/>
        <v>0</v>
      </c>
      <c r="Z183" s="102">
        <f t="shared" si="43"/>
        <v>0</v>
      </c>
      <c r="AA183" s="101" t="str">
        <f t="shared" si="43"/>
        <v>EA</v>
      </c>
      <c r="AB183" s="71"/>
      <c r="AC183" s="91">
        <v>1</v>
      </c>
      <c r="AD183" s="91">
        <v>1</v>
      </c>
      <c r="AE183" s="92">
        <f t="shared" si="41"/>
        <v>0</v>
      </c>
      <c r="AF183" s="93">
        <f t="shared" si="30"/>
        <v>0</v>
      </c>
    </row>
    <row r="184" spans="1:32" ht="12.5">
      <c r="A184" s="28">
        <v>168</v>
      </c>
      <c r="B184" s="32">
        <v>11</v>
      </c>
      <c r="C184" s="32">
        <v>11</v>
      </c>
      <c r="J184" s="83">
        <f t="shared" si="34"/>
        <v>0</v>
      </c>
      <c r="K184" s="99">
        <v>168</v>
      </c>
      <c r="L184" s="100">
        <f t="shared" si="42"/>
        <v>1</v>
      </c>
      <c r="M184" s="90">
        <f t="shared" si="42"/>
        <v>0</v>
      </c>
      <c r="N184" s="90">
        <f t="shared" si="42"/>
        <v>0</v>
      </c>
      <c r="O184" s="90">
        <f t="shared" si="42"/>
        <v>0</v>
      </c>
      <c r="P184" s="90">
        <f t="shared" si="42"/>
        <v>0</v>
      </c>
      <c r="Q184" s="90">
        <f t="shared" si="42"/>
        <v>0</v>
      </c>
      <c r="R184" s="90">
        <f t="shared" si="42"/>
        <v>0</v>
      </c>
      <c r="S184" s="90">
        <f t="shared" si="42"/>
        <v>0</v>
      </c>
      <c r="T184" s="90">
        <f t="shared" si="42"/>
        <v>0</v>
      </c>
      <c r="U184" s="101">
        <f t="shared" si="42"/>
        <v>0</v>
      </c>
      <c r="V184" s="71"/>
      <c r="W184" s="102">
        <f t="shared" si="43"/>
        <v>0</v>
      </c>
      <c r="X184" s="102">
        <f t="shared" si="43"/>
        <v>0</v>
      </c>
      <c r="Y184" s="90">
        <f t="shared" si="43"/>
        <v>0</v>
      </c>
      <c r="Z184" s="102">
        <f t="shared" si="43"/>
        <v>0</v>
      </c>
      <c r="AA184" s="101" t="str">
        <f t="shared" si="43"/>
        <v>EA</v>
      </c>
      <c r="AB184" s="71"/>
      <c r="AC184" s="91">
        <v>1</v>
      </c>
      <c r="AD184" s="91">
        <v>1</v>
      </c>
      <c r="AE184" s="92">
        <f t="shared" si="41"/>
        <v>0</v>
      </c>
      <c r="AF184" s="93">
        <f t="shared" si="30"/>
        <v>0</v>
      </c>
    </row>
    <row r="185" spans="1:32" ht="12.5">
      <c r="A185" s="28">
        <v>169</v>
      </c>
      <c r="B185" s="32">
        <v>12</v>
      </c>
      <c r="C185" s="32">
        <v>12</v>
      </c>
      <c r="J185" s="83">
        <f t="shared" si="34"/>
        <v>0</v>
      </c>
      <c r="K185" s="99">
        <v>169</v>
      </c>
      <c r="L185" s="100">
        <f t="shared" si="42"/>
        <v>1</v>
      </c>
      <c r="M185" s="90">
        <f t="shared" si="42"/>
        <v>0</v>
      </c>
      <c r="N185" s="90">
        <f t="shared" si="42"/>
        <v>0</v>
      </c>
      <c r="O185" s="90">
        <f t="shared" si="42"/>
        <v>0</v>
      </c>
      <c r="P185" s="90">
        <f t="shared" si="42"/>
        <v>0</v>
      </c>
      <c r="Q185" s="90">
        <f t="shared" si="42"/>
        <v>0</v>
      </c>
      <c r="R185" s="90">
        <f t="shared" si="42"/>
        <v>0</v>
      </c>
      <c r="S185" s="90">
        <f t="shared" si="42"/>
        <v>0</v>
      </c>
      <c r="T185" s="90">
        <f t="shared" si="42"/>
        <v>0</v>
      </c>
      <c r="U185" s="101">
        <f t="shared" si="42"/>
        <v>0</v>
      </c>
      <c r="V185" s="71"/>
      <c r="W185" s="102">
        <f t="shared" si="43"/>
        <v>0</v>
      </c>
      <c r="X185" s="102">
        <f t="shared" si="43"/>
        <v>0</v>
      </c>
      <c r="Y185" s="90">
        <f t="shared" si="43"/>
        <v>0</v>
      </c>
      <c r="Z185" s="102">
        <f t="shared" si="43"/>
        <v>0</v>
      </c>
      <c r="AA185" s="101" t="str">
        <f t="shared" si="43"/>
        <v>EA</v>
      </c>
      <c r="AB185" s="71"/>
      <c r="AC185" s="91">
        <v>1</v>
      </c>
      <c r="AD185" s="91">
        <v>1</v>
      </c>
      <c r="AE185" s="92">
        <f t="shared" si="41"/>
        <v>0</v>
      </c>
      <c r="AF185" s="93">
        <f t="shared" si="30"/>
        <v>0</v>
      </c>
    </row>
    <row r="186" spans="1:32" ht="12.5">
      <c r="A186" s="28">
        <v>170</v>
      </c>
      <c r="B186" s="32">
        <v>13</v>
      </c>
      <c r="C186" s="32">
        <v>13</v>
      </c>
      <c r="J186" s="83">
        <f t="shared" si="34"/>
        <v>0</v>
      </c>
      <c r="K186" s="99">
        <v>170</v>
      </c>
      <c r="L186" s="100">
        <f t="shared" si="42"/>
        <v>1</v>
      </c>
      <c r="M186" s="90">
        <f t="shared" si="42"/>
        <v>0</v>
      </c>
      <c r="N186" s="90">
        <f t="shared" si="42"/>
        <v>0</v>
      </c>
      <c r="O186" s="90">
        <f t="shared" si="42"/>
        <v>0</v>
      </c>
      <c r="P186" s="90">
        <f t="shared" si="42"/>
        <v>0</v>
      </c>
      <c r="Q186" s="90">
        <f t="shared" si="42"/>
        <v>0</v>
      </c>
      <c r="R186" s="90">
        <f t="shared" si="42"/>
        <v>0</v>
      </c>
      <c r="S186" s="90">
        <f t="shared" si="42"/>
        <v>0</v>
      </c>
      <c r="T186" s="90">
        <f t="shared" si="42"/>
        <v>0</v>
      </c>
      <c r="U186" s="101">
        <f t="shared" si="42"/>
        <v>0</v>
      </c>
      <c r="V186" s="71"/>
      <c r="W186" s="102">
        <f t="shared" si="43"/>
        <v>0</v>
      </c>
      <c r="X186" s="102">
        <f t="shared" si="43"/>
        <v>0</v>
      </c>
      <c r="Y186" s="90">
        <f t="shared" si="43"/>
        <v>0</v>
      </c>
      <c r="Z186" s="102">
        <f t="shared" si="43"/>
        <v>0</v>
      </c>
      <c r="AA186" s="101" t="str">
        <f t="shared" si="43"/>
        <v>EA</v>
      </c>
      <c r="AB186" s="71"/>
      <c r="AC186" s="91">
        <v>1</v>
      </c>
      <c r="AD186" s="91">
        <v>1</v>
      </c>
      <c r="AE186" s="92">
        <f t="shared" si="41"/>
        <v>0</v>
      </c>
      <c r="AF186" s="93">
        <f t="shared" si="30"/>
        <v>0</v>
      </c>
    </row>
    <row r="187" spans="1:32" ht="12.5">
      <c r="A187" s="28">
        <v>171</v>
      </c>
      <c r="B187" s="32">
        <v>14</v>
      </c>
      <c r="C187" s="32">
        <v>14</v>
      </c>
      <c r="J187" s="83">
        <f t="shared" si="34"/>
        <v>0</v>
      </c>
      <c r="K187" s="99">
        <v>171</v>
      </c>
      <c r="L187" s="100">
        <f t="shared" si="42"/>
        <v>1</v>
      </c>
      <c r="M187" s="90">
        <f t="shared" si="42"/>
        <v>0</v>
      </c>
      <c r="N187" s="90">
        <f t="shared" si="42"/>
        <v>0</v>
      </c>
      <c r="O187" s="90">
        <f t="shared" si="42"/>
        <v>0</v>
      </c>
      <c r="P187" s="90">
        <f t="shared" si="42"/>
        <v>0</v>
      </c>
      <c r="Q187" s="90">
        <f t="shared" si="42"/>
        <v>0</v>
      </c>
      <c r="R187" s="90">
        <f t="shared" si="42"/>
        <v>0</v>
      </c>
      <c r="S187" s="90">
        <f t="shared" si="42"/>
        <v>0</v>
      </c>
      <c r="T187" s="90">
        <f t="shared" si="42"/>
        <v>0</v>
      </c>
      <c r="U187" s="101">
        <f t="shared" si="42"/>
        <v>0</v>
      </c>
      <c r="V187" s="71"/>
      <c r="W187" s="102">
        <f t="shared" si="43"/>
        <v>0</v>
      </c>
      <c r="X187" s="102">
        <f t="shared" si="43"/>
        <v>0</v>
      </c>
      <c r="Y187" s="90">
        <f t="shared" si="43"/>
        <v>0</v>
      </c>
      <c r="Z187" s="102">
        <f t="shared" si="43"/>
        <v>0</v>
      </c>
      <c r="AA187" s="101" t="str">
        <f t="shared" si="43"/>
        <v>EA</v>
      </c>
      <c r="AB187" s="71"/>
      <c r="AC187" s="91">
        <v>1</v>
      </c>
      <c r="AD187" s="91">
        <v>1</v>
      </c>
      <c r="AE187" s="92">
        <f t="shared" si="41"/>
        <v>0</v>
      </c>
      <c r="AF187" s="93">
        <f t="shared" si="30"/>
        <v>0</v>
      </c>
    </row>
    <row r="188" spans="1:32" ht="12.5">
      <c r="A188" s="28">
        <v>172</v>
      </c>
      <c r="B188" s="32">
        <v>15</v>
      </c>
      <c r="C188" s="32">
        <v>15</v>
      </c>
      <c r="J188" s="83">
        <f t="shared" si="34"/>
        <v>0</v>
      </c>
      <c r="K188" s="99">
        <v>172</v>
      </c>
      <c r="L188" s="100">
        <f t="shared" si="42"/>
        <v>1</v>
      </c>
      <c r="M188" s="90">
        <f t="shared" si="42"/>
        <v>0</v>
      </c>
      <c r="N188" s="90">
        <f t="shared" si="42"/>
        <v>0</v>
      </c>
      <c r="O188" s="90">
        <f t="shared" si="42"/>
        <v>0</v>
      </c>
      <c r="P188" s="90">
        <f t="shared" si="42"/>
        <v>0</v>
      </c>
      <c r="Q188" s="90">
        <f t="shared" si="42"/>
        <v>0</v>
      </c>
      <c r="R188" s="90">
        <f t="shared" si="42"/>
        <v>0</v>
      </c>
      <c r="S188" s="90">
        <f t="shared" si="42"/>
        <v>0</v>
      </c>
      <c r="T188" s="90">
        <f t="shared" si="42"/>
        <v>0</v>
      </c>
      <c r="U188" s="101">
        <f t="shared" si="42"/>
        <v>0</v>
      </c>
      <c r="V188" s="71"/>
      <c r="W188" s="102">
        <f t="shared" si="43"/>
        <v>0</v>
      </c>
      <c r="X188" s="102">
        <f t="shared" si="43"/>
        <v>0</v>
      </c>
      <c r="Y188" s="90">
        <f t="shared" si="43"/>
        <v>0</v>
      </c>
      <c r="Z188" s="102">
        <f t="shared" si="43"/>
        <v>0</v>
      </c>
      <c r="AA188" s="101" t="str">
        <f t="shared" si="43"/>
        <v>EA</v>
      </c>
      <c r="AB188" s="71"/>
      <c r="AC188" s="91">
        <v>1</v>
      </c>
      <c r="AD188" s="91">
        <v>1</v>
      </c>
      <c r="AE188" s="92">
        <f t="shared" si="41"/>
        <v>0</v>
      </c>
      <c r="AF188" s="93">
        <f t="shared" si="30"/>
        <v>0</v>
      </c>
    </row>
    <row r="189" spans="1:32" ht="12.5">
      <c r="A189" s="28">
        <v>173</v>
      </c>
      <c r="B189" s="32">
        <v>16</v>
      </c>
      <c r="C189" s="32">
        <v>16</v>
      </c>
      <c r="J189" s="83">
        <f t="shared" si="34"/>
        <v>0</v>
      </c>
      <c r="K189" s="99">
        <v>173</v>
      </c>
      <c r="L189" s="100">
        <f t="shared" si="42"/>
        <v>1</v>
      </c>
      <c r="M189" s="90">
        <f t="shared" si="42"/>
        <v>0</v>
      </c>
      <c r="N189" s="90">
        <f t="shared" si="42"/>
        <v>0</v>
      </c>
      <c r="O189" s="90">
        <f t="shared" si="42"/>
        <v>0</v>
      </c>
      <c r="P189" s="90">
        <f t="shared" si="42"/>
        <v>0</v>
      </c>
      <c r="Q189" s="90">
        <f t="shared" si="42"/>
        <v>0</v>
      </c>
      <c r="R189" s="90">
        <f t="shared" si="42"/>
        <v>0</v>
      </c>
      <c r="S189" s="90">
        <f t="shared" si="42"/>
        <v>0</v>
      </c>
      <c r="T189" s="90">
        <f t="shared" si="42"/>
        <v>0</v>
      </c>
      <c r="U189" s="101">
        <f t="shared" si="42"/>
        <v>0</v>
      </c>
      <c r="V189" s="71"/>
      <c r="W189" s="102">
        <f t="shared" si="43"/>
        <v>0</v>
      </c>
      <c r="X189" s="102">
        <f t="shared" si="43"/>
        <v>0</v>
      </c>
      <c r="Y189" s="90">
        <f t="shared" si="43"/>
        <v>0</v>
      </c>
      <c r="Z189" s="102">
        <f t="shared" si="43"/>
        <v>0</v>
      </c>
      <c r="AA189" s="101" t="str">
        <f t="shared" si="43"/>
        <v>EA</v>
      </c>
      <c r="AB189" s="71"/>
      <c r="AC189" s="91">
        <v>1</v>
      </c>
      <c r="AD189" s="91">
        <v>1</v>
      </c>
      <c r="AE189" s="92">
        <f t="shared" si="41"/>
        <v>0</v>
      </c>
      <c r="AF189" s="93">
        <f t="shared" si="30"/>
        <v>0</v>
      </c>
    </row>
    <row r="190" spans="1:32" ht="12.5">
      <c r="A190" s="28">
        <v>174</v>
      </c>
      <c r="B190" s="32">
        <v>17</v>
      </c>
      <c r="C190" s="32">
        <v>17</v>
      </c>
      <c r="J190" s="83">
        <f t="shared" si="34"/>
        <v>0</v>
      </c>
      <c r="K190" s="99">
        <v>174</v>
      </c>
      <c r="L190" s="100">
        <f t="shared" si="42"/>
        <v>1</v>
      </c>
      <c r="M190" s="90">
        <f t="shared" si="42"/>
        <v>0</v>
      </c>
      <c r="N190" s="90">
        <f t="shared" si="42"/>
        <v>0</v>
      </c>
      <c r="O190" s="90">
        <f t="shared" si="42"/>
        <v>0</v>
      </c>
      <c r="P190" s="90">
        <f t="shared" si="42"/>
        <v>0</v>
      </c>
      <c r="Q190" s="90">
        <f t="shared" si="42"/>
        <v>0</v>
      </c>
      <c r="R190" s="90">
        <f t="shared" si="42"/>
        <v>0</v>
      </c>
      <c r="S190" s="90">
        <f t="shared" si="42"/>
        <v>0</v>
      </c>
      <c r="T190" s="90">
        <f t="shared" si="42"/>
        <v>0</v>
      </c>
      <c r="U190" s="101">
        <f t="shared" si="42"/>
        <v>0</v>
      </c>
      <c r="V190" s="71"/>
      <c r="W190" s="102">
        <f t="shared" si="43"/>
        <v>0</v>
      </c>
      <c r="X190" s="102">
        <f t="shared" si="43"/>
        <v>0</v>
      </c>
      <c r="Y190" s="90">
        <f t="shared" si="43"/>
        <v>0</v>
      </c>
      <c r="Z190" s="102">
        <f t="shared" si="43"/>
        <v>0</v>
      </c>
      <c r="AA190" s="101" t="str">
        <f t="shared" si="43"/>
        <v>EA</v>
      </c>
      <c r="AB190" s="71"/>
      <c r="AC190" s="91">
        <v>1</v>
      </c>
      <c r="AD190" s="91">
        <v>1</v>
      </c>
      <c r="AE190" s="92">
        <f t="shared" si="41"/>
        <v>0</v>
      </c>
      <c r="AF190" s="93">
        <f t="shared" si="30"/>
        <v>0</v>
      </c>
    </row>
    <row r="191" spans="1:32" ht="12.5">
      <c r="A191" s="28">
        <v>175</v>
      </c>
      <c r="B191" s="32">
        <v>18</v>
      </c>
      <c r="C191" s="32">
        <v>18</v>
      </c>
      <c r="J191" s="83">
        <f t="shared" si="34"/>
        <v>0</v>
      </c>
      <c r="K191" s="99">
        <v>175</v>
      </c>
      <c r="L191" s="100">
        <f t="shared" si="42"/>
        <v>1</v>
      </c>
      <c r="M191" s="90">
        <f t="shared" si="42"/>
        <v>0</v>
      </c>
      <c r="N191" s="90">
        <f t="shared" si="42"/>
        <v>0</v>
      </c>
      <c r="O191" s="90">
        <f t="shared" si="42"/>
        <v>0</v>
      </c>
      <c r="P191" s="90">
        <f t="shared" si="42"/>
        <v>0</v>
      </c>
      <c r="Q191" s="90">
        <f t="shared" si="42"/>
        <v>0</v>
      </c>
      <c r="R191" s="90">
        <f t="shared" si="42"/>
        <v>0</v>
      </c>
      <c r="S191" s="90">
        <f t="shared" si="42"/>
        <v>0</v>
      </c>
      <c r="T191" s="90">
        <f t="shared" si="42"/>
        <v>0</v>
      </c>
      <c r="U191" s="101">
        <f t="shared" si="42"/>
        <v>0</v>
      </c>
      <c r="V191" s="71"/>
      <c r="W191" s="102">
        <f t="shared" si="43"/>
        <v>0</v>
      </c>
      <c r="X191" s="102">
        <f t="shared" si="43"/>
        <v>0</v>
      </c>
      <c r="Y191" s="90">
        <f t="shared" si="43"/>
        <v>0</v>
      </c>
      <c r="Z191" s="102">
        <f t="shared" si="43"/>
        <v>0</v>
      </c>
      <c r="AA191" s="101" t="str">
        <f t="shared" si="43"/>
        <v>EA</v>
      </c>
      <c r="AB191" s="71"/>
      <c r="AC191" s="91">
        <v>1</v>
      </c>
      <c r="AD191" s="91">
        <v>1</v>
      </c>
      <c r="AE191" s="92">
        <f t="shared" si="41"/>
        <v>0</v>
      </c>
      <c r="AF191" s="93">
        <f t="shared" ref="AF191:AF229" si="44">INDEX(Y191:Z191,1,MATCH(_WellBasketSelection,$Y$15:$Z$15,0))*U191</f>
        <v>0</v>
      </c>
    </row>
    <row r="192" spans="1:32" ht="12.5">
      <c r="A192" s="28">
        <v>176</v>
      </c>
      <c r="B192" s="32">
        <v>19</v>
      </c>
      <c r="C192" s="32">
        <v>19</v>
      </c>
      <c r="J192" s="83">
        <f t="shared" si="34"/>
        <v>0</v>
      </c>
      <c r="K192" s="99">
        <v>176</v>
      </c>
      <c r="L192" s="100">
        <f t="shared" si="42"/>
        <v>1</v>
      </c>
      <c r="M192" s="90">
        <f t="shared" si="42"/>
        <v>0</v>
      </c>
      <c r="N192" s="90">
        <f t="shared" si="42"/>
        <v>0</v>
      </c>
      <c r="O192" s="90">
        <f t="shared" si="42"/>
        <v>0</v>
      </c>
      <c r="P192" s="90">
        <f t="shared" si="42"/>
        <v>0</v>
      </c>
      <c r="Q192" s="90">
        <f t="shared" si="42"/>
        <v>0</v>
      </c>
      <c r="R192" s="90">
        <f t="shared" si="42"/>
        <v>0</v>
      </c>
      <c r="S192" s="90">
        <f t="shared" si="42"/>
        <v>0</v>
      </c>
      <c r="T192" s="90">
        <f t="shared" si="42"/>
        <v>0</v>
      </c>
      <c r="U192" s="101">
        <f t="shared" si="42"/>
        <v>0</v>
      </c>
      <c r="V192" s="71"/>
      <c r="W192" s="102">
        <f t="shared" si="43"/>
        <v>0</v>
      </c>
      <c r="X192" s="102">
        <f t="shared" si="43"/>
        <v>0</v>
      </c>
      <c r="Y192" s="90">
        <f t="shared" si="43"/>
        <v>0</v>
      </c>
      <c r="Z192" s="102">
        <f t="shared" si="43"/>
        <v>0</v>
      </c>
      <c r="AA192" s="101" t="str">
        <f t="shared" si="43"/>
        <v>EA</v>
      </c>
      <c r="AB192" s="71"/>
      <c r="AC192" s="91">
        <v>1</v>
      </c>
      <c r="AD192" s="91">
        <v>1</v>
      </c>
      <c r="AE192" s="92">
        <f t="shared" si="41"/>
        <v>0</v>
      </c>
      <c r="AF192" s="93">
        <f t="shared" si="44"/>
        <v>0</v>
      </c>
    </row>
    <row r="193" spans="1:32" ht="12.5">
      <c r="A193" s="28">
        <v>177</v>
      </c>
      <c r="B193" s="32">
        <v>20</v>
      </c>
      <c r="C193" s="32">
        <v>20</v>
      </c>
      <c r="J193" s="83">
        <f t="shared" si="34"/>
        <v>0</v>
      </c>
      <c r="K193" s="99">
        <v>177</v>
      </c>
      <c r="L193" s="100">
        <f t="shared" ref="L193:U208" si="45">INDEX(L$420:L$1632,MATCH($K193,$K$420:$K$1632,0)+MATCH("Option "&amp;$D$9,$K$420:$K$1230,0)-1,1)</f>
        <v>1</v>
      </c>
      <c r="M193" s="90">
        <f t="shared" si="45"/>
        <v>0</v>
      </c>
      <c r="N193" s="90">
        <f t="shared" si="45"/>
        <v>0</v>
      </c>
      <c r="O193" s="90">
        <f t="shared" si="45"/>
        <v>0</v>
      </c>
      <c r="P193" s="90">
        <f t="shared" si="45"/>
        <v>0</v>
      </c>
      <c r="Q193" s="90">
        <f t="shared" si="45"/>
        <v>0</v>
      </c>
      <c r="R193" s="90">
        <f t="shared" si="45"/>
        <v>0</v>
      </c>
      <c r="S193" s="90">
        <f t="shared" si="45"/>
        <v>0</v>
      </c>
      <c r="T193" s="90">
        <f t="shared" si="45"/>
        <v>0</v>
      </c>
      <c r="U193" s="101">
        <f t="shared" si="45"/>
        <v>0</v>
      </c>
      <c r="V193" s="71"/>
      <c r="W193" s="102">
        <f t="shared" ref="W193:AA208" si="46">INDEX(W$420:W$1632,MATCH($K193,$K$420:$K$1632,0)+MATCH("Option "&amp;$D$9,$K$420:$K$1230,0)-1,1)</f>
        <v>0</v>
      </c>
      <c r="X193" s="102">
        <f t="shared" si="46"/>
        <v>0</v>
      </c>
      <c r="Y193" s="90">
        <f t="shared" si="46"/>
        <v>0</v>
      </c>
      <c r="Z193" s="102">
        <f t="shared" si="46"/>
        <v>0</v>
      </c>
      <c r="AA193" s="101" t="str">
        <f t="shared" si="46"/>
        <v>EA</v>
      </c>
      <c r="AB193" s="71"/>
      <c r="AC193" s="91">
        <v>1</v>
      </c>
      <c r="AD193" s="91">
        <v>1</v>
      </c>
      <c r="AE193" s="92">
        <f t="shared" si="41"/>
        <v>0</v>
      </c>
      <c r="AF193" s="93">
        <f t="shared" si="44"/>
        <v>0</v>
      </c>
    </row>
    <row r="194" spans="1:32" ht="12.5">
      <c r="A194" s="28">
        <v>178</v>
      </c>
      <c r="B194" s="32">
        <v>21</v>
      </c>
      <c r="C194" s="32">
        <v>21</v>
      </c>
      <c r="J194" s="83">
        <f t="shared" si="34"/>
        <v>0</v>
      </c>
      <c r="K194" s="99">
        <v>178</v>
      </c>
      <c r="L194" s="100">
        <f t="shared" si="45"/>
        <v>1</v>
      </c>
      <c r="M194" s="90">
        <f t="shared" si="45"/>
        <v>0</v>
      </c>
      <c r="N194" s="90">
        <f t="shared" si="45"/>
        <v>0</v>
      </c>
      <c r="O194" s="90">
        <f t="shared" si="45"/>
        <v>0</v>
      </c>
      <c r="P194" s="90">
        <f t="shared" si="45"/>
        <v>0</v>
      </c>
      <c r="Q194" s="90">
        <f t="shared" si="45"/>
        <v>0</v>
      </c>
      <c r="R194" s="90">
        <f t="shared" si="45"/>
        <v>0</v>
      </c>
      <c r="S194" s="90">
        <f t="shared" si="45"/>
        <v>0</v>
      </c>
      <c r="T194" s="90">
        <f t="shared" si="45"/>
        <v>0</v>
      </c>
      <c r="U194" s="101">
        <f t="shared" si="45"/>
        <v>0</v>
      </c>
      <c r="V194" s="71"/>
      <c r="W194" s="102">
        <f t="shared" si="46"/>
        <v>0</v>
      </c>
      <c r="X194" s="102">
        <f t="shared" si="46"/>
        <v>0</v>
      </c>
      <c r="Y194" s="90">
        <f t="shared" si="46"/>
        <v>0</v>
      </c>
      <c r="Z194" s="102">
        <f t="shared" si="46"/>
        <v>0</v>
      </c>
      <c r="AA194" s="101" t="str">
        <f t="shared" si="46"/>
        <v>EA</v>
      </c>
      <c r="AB194" s="71"/>
      <c r="AC194" s="91">
        <v>1</v>
      </c>
      <c r="AD194" s="91">
        <v>1</v>
      </c>
      <c r="AE194" s="92">
        <f t="shared" si="41"/>
        <v>0</v>
      </c>
      <c r="AF194" s="93">
        <f t="shared" si="44"/>
        <v>0</v>
      </c>
    </row>
    <row r="195" spans="1:32" ht="12.5">
      <c r="A195" s="28">
        <v>179</v>
      </c>
      <c r="B195" s="32">
        <v>22</v>
      </c>
      <c r="C195" s="32">
        <v>22</v>
      </c>
      <c r="J195" s="83">
        <f t="shared" si="34"/>
        <v>0</v>
      </c>
      <c r="K195" s="99">
        <v>179</v>
      </c>
      <c r="L195" s="100">
        <f t="shared" si="45"/>
        <v>1</v>
      </c>
      <c r="M195" s="90">
        <f t="shared" si="45"/>
        <v>0</v>
      </c>
      <c r="N195" s="90">
        <f t="shared" si="45"/>
        <v>0</v>
      </c>
      <c r="O195" s="90">
        <f t="shared" si="45"/>
        <v>0</v>
      </c>
      <c r="P195" s="90">
        <f t="shared" si="45"/>
        <v>0</v>
      </c>
      <c r="Q195" s="90">
        <f t="shared" si="45"/>
        <v>0</v>
      </c>
      <c r="R195" s="90">
        <f t="shared" si="45"/>
        <v>0</v>
      </c>
      <c r="S195" s="90">
        <f t="shared" si="45"/>
        <v>0</v>
      </c>
      <c r="T195" s="90">
        <f t="shared" si="45"/>
        <v>0</v>
      </c>
      <c r="U195" s="101">
        <f t="shared" si="45"/>
        <v>0</v>
      </c>
      <c r="V195" s="71"/>
      <c r="W195" s="102">
        <f t="shared" si="46"/>
        <v>0</v>
      </c>
      <c r="X195" s="102">
        <f t="shared" si="46"/>
        <v>0</v>
      </c>
      <c r="Y195" s="90">
        <f t="shared" si="46"/>
        <v>0</v>
      </c>
      <c r="Z195" s="102">
        <f t="shared" si="46"/>
        <v>0</v>
      </c>
      <c r="AA195" s="101" t="str">
        <f t="shared" si="46"/>
        <v>EA</v>
      </c>
      <c r="AB195" s="71"/>
      <c r="AC195" s="91">
        <v>1</v>
      </c>
      <c r="AD195" s="91">
        <v>1</v>
      </c>
      <c r="AE195" s="92">
        <f t="shared" si="41"/>
        <v>0</v>
      </c>
      <c r="AF195" s="93">
        <f t="shared" si="44"/>
        <v>0</v>
      </c>
    </row>
    <row r="196" spans="1:32" ht="12.5">
      <c r="A196" s="28">
        <v>180</v>
      </c>
      <c r="B196" s="32">
        <v>23</v>
      </c>
      <c r="C196" s="32">
        <v>23</v>
      </c>
      <c r="J196" s="83">
        <f t="shared" si="34"/>
        <v>0</v>
      </c>
      <c r="K196" s="99">
        <v>180</v>
      </c>
      <c r="L196" s="100">
        <f t="shared" si="45"/>
        <v>1</v>
      </c>
      <c r="M196" s="90">
        <f t="shared" si="45"/>
        <v>0</v>
      </c>
      <c r="N196" s="90">
        <f t="shared" si="45"/>
        <v>0</v>
      </c>
      <c r="O196" s="90">
        <f t="shared" si="45"/>
        <v>0</v>
      </c>
      <c r="P196" s="90">
        <f t="shared" si="45"/>
        <v>0</v>
      </c>
      <c r="Q196" s="90">
        <f t="shared" si="45"/>
        <v>0</v>
      </c>
      <c r="R196" s="90">
        <f t="shared" si="45"/>
        <v>0</v>
      </c>
      <c r="S196" s="90">
        <f t="shared" si="45"/>
        <v>0</v>
      </c>
      <c r="T196" s="90">
        <f t="shared" si="45"/>
        <v>0</v>
      </c>
      <c r="U196" s="101">
        <f t="shared" si="45"/>
        <v>0</v>
      </c>
      <c r="V196" s="71"/>
      <c r="W196" s="102">
        <f t="shared" si="46"/>
        <v>0</v>
      </c>
      <c r="X196" s="102">
        <f t="shared" si="46"/>
        <v>0</v>
      </c>
      <c r="Y196" s="90">
        <f t="shared" si="46"/>
        <v>0</v>
      </c>
      <c r="Z196" s="102">
        <f t="shared" si="46"/>
        <v>0</v>
      </c>
      <c r="AA196" s="101" t="str">
        <f t="shared" si="46"/>
        <v>EA</v>
      </c>
      <c r="AB196" s="71"/>
      <c r="AC196" s="91">
        <v>1</v>
      </c>
      <c r="AD196" s="91">
        <v>1</v>
      </c>
      <c r="AE196" s="92">
        <f t="shared" si="41"/>
        <v>0</v>
      </c>
      <c r="AF196" s="93">
        <f t="shared" si="44"/>
        <v>0</v>
      </c>
    </row>
    <row r="197" spans="1:32" ht="12.5">
      <c r="A197" s="28">
        <v>181</v>
      </c>
      <c r="B197" s="32">
        <v>24</v>
      </c>
      <c r="C197" s="32">
        <v>24</v>
      </c>
      <c r="J197" s="83">
        <f t="shared" si="34"/>
        <v>0</v>
      </c>
      <c r="K197" s="99">
        <v>181</v>
      </c>
      <c r="L197" s="100">
        <f t="shared" si="45"/>
        <v>1</v>
      </c>
      <c r="M197" s="90">
        <f t="shared" si="45"/>
        <v>0</v>
      </c>
      <c r="N197" s="90">
        <f t="shared" si="45"/>
        <v>0</v>
      </c>
      <c r="O197" s="90">
        <f t="shared" si="45"/>
        <v>0</v>
      </c>
      <c r="P197" s="90">
        <f t="shared" si="45"/>
        <v>0</v>
      </c>
      <c r="Q197" s="90">
        <f t="shared" si="45"/>
        <v>0</v>
      </c>
      <c r="R197" s="90">
        <f t="shared" si="45"/>
        <v>0</v>
      </c>
      <c r="S197" s="90">
        <f t="shared" si="45"/>
        <v>0</v>
      </c>
      <c r="T197" s="90">
        <f t="shared" si="45"/>
        <v>0</v>
      </c>
      <c r="U197" s="101">
        <f t="shared" si="45"/>
        <v>0</v>
      </c>
      <c r="V197" s="71"/>
      <c r="W197" s="102">
        <f t="shared" si="46"/>
        <v>0</v>
      </c>
      <c r="X197" s="102">
        <f t="shared" si="46"/>
        <v>0</v>
      </c>
      <c r="Y197" s="90">
        <f t="shared" si="46"/>
        <v>0</v>
      </c>
      <c r="Z197" s="102">
        <f t="shared" si="46"/>
        <v>0</v>
      </c>
      <c r="AA197" s="101" t="str">
        <f t="shared" si="46"/>
        <v>EA</v>
      </c>
      <c r="AB197" s="71"/>
      <c r="AC197" s="91">
        <v>1</v>
      </c>
      <c r="AD197" s="91">
        <v>1</v>
      </c>
      <c r="AE197" s="92">
        <f t="shared" si="41"/>
        <v>0</v>
      </c>
      <c r="AF197" s="93">
        <f t="shared" si="44"/>
        <v>0</v>
      </c>
    </row>
    <row r="198" spans="1:32" ht="12.5">
      <c r="A198" s="28">
        <v>182</v>
      </c>
      <c r="B198" s="32">
        <v>25</v>
      </c>
      <c r="C198" s="32">
        <v>25</v>
      </c>
      <c r="J198" s="83">
        <f t="shared" si="34"/>
        <v>0</v>
      </c>
      <c r="K198" s="99">
        <v>182</v>
      </c>
      <c r="L198" s="100">
        <f t="shared" si="45"/>
        <v>1</v>
      </c>
      <c r="M198" s="90">
        <f t="shared" si="45"/>
        <v>0</v>
      </c>
      <c r="N198" s="90">
        <f t="shared" si="45"/>
        <v>0</v>
      </c>
      <c r="O198" s="90">
        <f t="shared" si="45"/>
        <v>0</v>
      </c>
      <c r="P198" s="90">
        <f t="shared" si="45"/>
        <v>0</v>
      </c>
      <c r="Q198" s="90">
        <f t="shared" si="45"/>
        <v>0</v>
      </c>
      <c r="R198" s="90">
        <f t="shared" si="45"/>
        <v>0</v>
      </c>
      <c r="S198" s="90">
        <f t="shared" si="45"/>
        <v>0</v>
      </c>
      <c r="T198" s="90">
        <f t="shared" si="45"/>
        <v>0</v>
      </c>
      <c r="U198" s="101">
        <f t="shared" si="45"/>
        <v>0</v>
      </c>
      <c r="V198" s="71"/>
      <c r="W198" s="102">
        <f t="shared" si="46"/>
        <v>0</v>
      </c>
      <c r="X198" s="102">
        <f t="shared" si="46"/>
        <v>0</v>
      </c>
      <c r="Y198" s="90">
        <f t="shared" si="46"/>
        <v>0</v>
      </c>
      <c r="Z198" s="102">
        <f t="shared" si="46"/>
        <v>0</v>
      </c>
      <c r="AA198" s="101" t="str">
        <f t="shared" si="46"/>
        <v>EA</v>
      </c>
      <c r="AB198" s="71"/>
      <c r="AC198" s="91">
        <v>1</v>
      </c>
      <c r="AD198" s="91">
        <v>1</v>
      </c>
      <c r="AE198" s="92">
        <f t="shared" si="41"/>
        <v>0</v>
      </c>
      <c r="AF198" s="93">
        <f t="shared" si="44"/>
        <v>0</v>
      </c>
    </row>
    <row r="199" spans="1:32" ht="12.5">
      <c r="A199" s="28">
        <v>183</v>
      </c>
      <c r="B199" s="32">
        <v>26</v>
      </c>
      <c r="C199" s="32">
        <v>26</v>
      </c>
      <c r="J199" s="83">
        <f t="shared" si="34"/>
        <v>0</v>
      </c>
      <c r="K199" s="99">
        <v>183</v>
      </c>
      <c r="L199" s="100">
        <f t="shared" si="45"/>
        <v>1</v>
      </c>
      <c r="M199" s="90">
        <f t="shared" si="45"/>
        <v>0</v>
      </c>
      <c r="N199" s="90">
        <f t="shared" si="45"/>
        <v>0</v>
      </c>
      <c r="O199" s="90">
        <f t="shared" si="45"/>
        <v>0</v>
      </c>
      <c r="P199" s="90">
        <f t="shared" si="45"/>
        <v>0</v>
      </c>
      <c r="Q199" s="90">
        <f t="shared" si="45"/>
        <v>0</v>
      </c>
      <c r="R199" s="90">
        <f t="shared" si="45"/>
        <v>0</v>
      </c>
      <c r="S199" s="90">
        <f t="shared" si="45"/>
        <v>0</v>
      </c>
      <c r="T199" s="90">
        <f t="shared" si="45"/>
        <v>0</v>
      </c>
      <c r="U199" s="101">
        <f t="shared" si="45"/>
        <v>0</v>
      </c>
      <c r="V199" s="71"/>
      <c r="W199" s="102">
        <f t="shared" si="46"/>
        <v>0</v>
      </c>
      <c r="X199" s="102">
        <f t="shared" si="46"/>
        <v>0</v>
      </c>
      <c r="Y199" s="90">
        <f t="shared" si="46"/>
        <v>0</v>
      </c>
      <c r="Z199" s="102">
        <f t="shared" si="46"/>
        <v>0</v>
      </c>
      <c r="AA199" s="101" t="str">
        <f t="shared" si="46"/>
        <v>EA</v>
      </c>
      <c r="AB199" s="71"/>
      <c r="AC199" s="91">
        <v>1</v>
      </c>
      <c r="AD199" s="91">
        <v>1</v>
      </c>
      <c r="AE199" s="92">
        <f t="shared" si="41"/>
        <v>0</v>
      </c>
      <c r="AF199" s="93">
        <f t="shared" si="44"/>
        <v>0</v>
      </c>
    </row>
    <row r="200" spans="1:32" ht="12.5">
      <c r="A200" s="28">
        <v>184</v>
      </c>
      <c r="B200" s="32">
        <v>27</v>
      </c>
      <c r="C200" s="32">
        <v>27</v>
      </c>
      <c r="J200" s="83">
        <f t="shared" si="34"/>
        <v>0</v>
      </c>
      <c r="K200" s="99">
        <v>184</v>
      </c>
      <c r="L200" s="100">
        <f t="shared" si="45"/>
        <v>1</v>
      </c>
      <c r="M200" s="90">
        <f t="shared" si="45"/>
        <v>0</v>
      </c>
      <c r="N200" s="90">
        <f t="shared" si="45"/>
        <v>0</v>
      </c>
      <c r="O200" s="90">
        <f t="shared" si="45"/>
        <v>0</v>
      </c>
      <c r="P200" s="90">
        <f t="shared" si="45"/>
        <v>0</v>
      </c>
      <c r="Q200" s="90">
        <f t="shared" si="45"/>
        <v>0</v>
      </c>
      <c r="R200" s="90">
        <f t="shared" si="45"/>
        <v>0</v>
      </c>
      <c r="S200" s="90">
        <f t="shared" si="45"/>
        <v>0</v>
      </c>
      <c r="T200" s="90">
        <f t="shared" si="45"/>
        <v>0</v>
      </c>
      <c r="U200" s="101">
        <f t="shared" si="45"/>
        <v>0</v>
      </c>
      <c r="V200" s="71"/>
      <c r="W200" s="102">
        <f t="shared" si="46"/>
        <v>0</v>
      </c>
      <c r="X200" s="102">
        <f t="shared" si="46"/>
        <v>0</v>
      </c>
      <c r="Y200" s="90">
        <f t="shared" si="46"/>
        <v>0</v>
      </c>
      <c r="Z200" s="102">
        <f t="shared" si="46"/>
        <v>0</v>
      </c>
      <c r="AA200" s="101" t="str">
        <f t="shared" si="46"/>
        <v>EA</v>
      </c>
      <c r="AB200" s="71"/>
      <c r="AC200" s="91">
        <v>1</v>
      </c>
      <c r="AD200" s="91">
        <v>1</v>
      </c>
      <c r="AE200" s="92">
        <f t="shared" si="41"/>
        <v>0</v>
      </c>
      <c r="AF200" s="93">
        <f t="shared" si="44"/>
        <v>0</v>
      </c>
    </row>
    <row r="201" spans="1:32" ht="12.5">
      <c r="A201" s="28">
        <v>185</v>
      </c>
      <c r="B201" s="32">
        <v>28</v>
      </c>
      <c r="C201" s="32">
        <v>28</v>
      </c>
      <c r="J201" s="83">
        <f t="shared" si="34"/>
        <v>0</v>
      </c>
      <c r="K201" s="99">
        <v>185</v>
      </c>
      <c r="L201" s="100">
        <f t="shared" si="45"/>
        <v>1</v>
      </c>
      <c r="M201" s="90">
        <f t="shared" si="45"/>
        <v>0</v>
      </c>
      <c r="N201" s="90">
        <f t="shared" si="45"/>
        <v>0</v>
      </c>
      <c r="O201" s="90">
        <f t="shared" si="45"/>
        <v>0</v>
      </c>
      <c r="P201" s="90">
        <f t="shared" si="45"/>
        <v>0</v>
      </c>
      <c r="Q201" s="90">
        <f t="shared" si="45"/>
        <v>0</v>
      </c>
      <c r="R201" s="90">
        <f t="shared" si="45"/>
        <v>0</v>
      </c>
      <c r="S201" s="90">
        <f t="shared" si="45"/>
        <v>0</v>
      </c>
      <c r="T201" s="90">
        <f t="shared" si="45"/>
        <v>0</v>
      </c>
      <c r="U201" s="101">
        <f t="shared" si="45"/>
        <v>0</v>
      </c>
      <c r="V201" s="71"/>
      <c r="W201" s="102">
        <f t="shared" si="46"/>
        <v>0</v>
      </c>
      <c r="X201" s="102">
        <f t="shared" si="46"/>
        <v>0</v>
      </c>
      <c r="Y201" s="90">
        <f t="shared" si="46"/>
        <v>0</v>
      </c>
      <c r="Z201" s="102">
        <f t="shared" si="46"/>
        <v>0</v>
      </c>
      <c r="AA201" s="101" t="str">
        <f t="shared" si="46"/>
        <v>EA</v>
      </c>
      <c r="AB201" s="71"/>
      <c r="AC201" s="91">
        <v>1</v>
      </c>
      <c r="AD201" s="91">
        <v>1</v>
      </c>
      <c r="AE201" s="92">
        <f t="shared" si="41"/>
        <v>0</v>
      </c>
      <c r="AF201" s="93">
        <f t="shared" si="44"/>
        <v>0</v>
      </c>
    </row>
    <row r="202" spans="1:32" ht="12.5">
      <c r="A202" s="28">
        <v>186</v>
      </c>
      <c r="B202" s="32">
        <v>29</v>
      </c>
      <c r="C202" s="32">
        <v>29</v>
      </c>
      <c r="J202" s="83">
        <f t="shared" si="34"/>
        <v>0</v>
      </c>
      <c r="K202" s="99">
        <v>186</v>
      </c>
      <c r="L202" s="100">
        <f t="shared" si="45"/>
        <v>1</v>
      </c>
      <c r="M202" s="90">
        <f t="shared" si="45"/>
        <v>0</v>
      </c>
      <c r="N202" s="90">
        <f t="shared" si="45"/>
        <v>0</v>
      </c>
      <c r="O202" s="90">
        <f t="shared" si="45"/>
        <v>0</v>
      </c>
      <c r="P202" s="90">
        <f t="shared" si="45"/>
        <v>0</v>
      </c>
      <c r="Q202" s="90">
        <f t="shared" si="45"/>
        <v>0</v>
      </c>
      <c r="R202" s="90">
        <f t="shared" si="45"/>
        <v>0</v>
      </c>
      <c r="S202" s="90">
        <f t="shared" si="45"/>
        <v>0</v>
      </c>
      <c r="T202" s="90">
        <f t="shared" si="45"/>
        <v>0</v>
      </c>
      <c r="U202" s="101">
        <f t="shared" si="45"/>
        <v>0</v>
      </c>
      <c r="V202" s="71"/>
      <c r="W202" s="102">
        <f t="shared" si="46"/>
        <v>0</v>
      </c>
      <c r="X202" s="102">
        <f t="shared" si="46"/>
        <v>0</v>
      </c>
      <c r="Y202" s="90">
        <f t="shared" si="46"/>
        <v>0</v>
      </c>
      <c r="Z202" s="102">
        <f t="shared" si="46"/>
        <v>0</v>
      </c>
      <c r="AA202" s="101" t="str">
        <f t="shared" si="46"/>
        <v>EA</v>
      </c>
      <c r="AB202" s="71"/>
      <c r="AC202" s="91">
        <v>1</v>
      </c>
      <c r="AD202" s="91">
        <v>1</v>
      </c>
      <c r="AE202" s="92">
        <f t="shared" si="41"/>
        <v>0</v>
      </c>
      <c r="AF202" s="93">
        <f t="shared" si="44"/>
        <v>0</v>
      </c>
    </row>
    <row r="203" spans="1:32" ht="12.5">
      <c r="A203" s="28">
        <v>187</v>
      </c>
      <c r="B203" s="32">
        <v>30</v>
      </c>
      <c r="C203" s="32">
        <v>30</v>
      </c>
      <c r="J203" s="83">
        <f t="shared" si="34"/>
        <v>0</v>
      </c>
      <c r="K203" s="99">
        <v>187</v>
      </c>
      <c r="L203" s="100">
        <f t="shared" si="45"/>
        <v>1</v>
      </c>
      <c r="M203" s="90">
        <f t="shared" si="45"/>
        <v>0</v>
      </c>
      <c r="N203" s="90">
        <f t="shared" si="45"/>
        <v>0</v>
      </c>
      <c r="O203" s="90">
        <f t="shared" si="45"/>
        <v>0</v>
      </c>
      <c r="P203" s="90">
        <f t="shared" si="45"/>
        <v>0</v>
      </c>
      <c r="Q203" s="90">
        <f t="shared" si="45"/>
        <v>0</v>
      </c>
      <c r="R203" s="90">
        <f t="shared" si="45"/>
        <v>0</v>
      </c>
      <c r="S203" s="90">
        <f t="shared" si="45"/>
        <v>0</v>
      </c>
      <c r="T203" s="90">
        <f t="shared" si="45"/>
        <v>0</v>
      </c>
      <c r="U203" s="101">
        <f t="shared" si="45"/>
        <v>0</v>
      </c>
      <c r="V203" s="71"/>
      <c r="W203" s="102">
        <f t="shared" si="46"/>
        <v>0</v>
      </c>
      <c r="X203" s="102">
        <f t="shared" si="46"/>
        <v>0</v>
      </c>
      <c r="Y203" s="90">
        <f t="shared" si="46"/>
        <v>0</v>
      </c>
      <c r="Z203" s="102">
        <f t="shared" si="46"/>
        <v>0</v>
      </c>
      <c r="AA203" s="101" t="str">
        <f t="shared" si="46"/>
        <v>EA</v>
      </c>
      <c r="AB203" s="71"/>
      <c r="AC203" s="91">
        <v>1</v>
      </c>
      <c r="AD203" s="91">
        <v>1</v>
      </c>
      <c r="AE203" s="92">
        <f t="shared" si="41"/>
        <v>0</v>
      </c>
      <c r="AF203" s="93">
        <f t="shared" si="44"/>
        <v>0</v>
      </c>
    </row>
    <row r="204" spans="1:32" ht="12.5">
      <c r="A204" s="28">
        <v>188</v>
      </c>
      <c r="B204" s="32">
        <v>31</v>
      </c>
      <c r="C204" s="32">
        <v>31</v>
      </c>
      <c r="J204" s="83">
        <f t="shared" si="34"/>
        <v>0</v>
      </c>
      <c r="K204" s="99">
        <v>188</v>
      </c>
      <c r="L204" s="100">
        <f t="shared" si="45"/>
        <v>1</v>
      </c>
      <c r="M204" s="90">
        <f t="shared" si="45"/>
        <v>0</v>
      </c>
      <c r="N204" s="90">
        <f t="shared" si="45"/>
        <v>0</v>
      </c>
      <c r="O204" s="90">
        <f t="shared" si="45"/>
        <v>0</v>
      </c>
      <c r="P204" s="90">
        <f t="shared" si="45"/>
        <v>0</v>
      </c>
      <c r="Q204" s="90">
        <f t="shared" si="45"/>
        <v>0</v>
      </c>
      <c r="R204" s="90">
        <f t="shared" si="45"/>
        <v>0</v>
      </c>
      <c r="S204" s="90">
        <f t="shared" si="45"/>
        <v>0</v>
      </c>
      <c r="T204" s="90">
        <f t="shared" si="45"/>
        <v>0</v>
      </c>
      <c r="U204" s="101">
        <f t="shared" si="45"/>
        <v>0</v>
      </c>
      <c r="V204" s="71"/>
      <c r="W204" s="102">
        <f t="shared" si="46"/>
        <v>0</v>
      </c>
      <c r="X204" s="102">
        <f t="shared" si="46"/>
        <v>0</v>
      </c>
      <c r="Y204" s="90">
        <f t="shared" si="46"/>
        <v>0</v>
      </c>
      <c r="Z204" s="102">
        <f t="shared" si="46"/>
        <v>0</v>
      </c>
      <c r="AA204" s="101" t="str">
        <f t="shared" si="46"/>
        <v>EA</v>
      </c>
      <c r="AB204" s="71"/>
      <c r="AC204" s="91">
        <v>1</v>
      </c>
      <c r="AD204" s="91">
        <v>1</v>
      </c>
      <c r="AE204" s="92">
        <f t="shared" si="41"/>
        <v>0</v>
      </c>
      <c r="AF204" s="93">
        <f t="shared" si="44"/>
        <v>0</v>
      </c>
    </row>
    <row r="205" spans="1:32" ht="12.5">
      <c r="A205" s="28">
        <v>189</v>
      </c>
      <c r="B205" s="32">
        <v>32</v>
      </c>
      <c r="C205" s="32">
        <v>32</v>
      </c>
      <c r="J205" s="83">
        <f t="shared" si="34"/>
        <v>0</v>
      </c>
      <c r="K205" s="99">
        <v>189</v>
      </c>
      <c r="L205" s="100">
        <f t="shared" si="45"/>
        <v>1</v>
      </c>
      <c r="M205" s="90">
        <f t="shared" si="45"/>
        <v>0</v>
      </c>
      <c r="N205" s="90">
        <f t="shared" si="45"/>
        <v>0</v>
      </c>
      <c r="O205" s="90">
        <f t="shared" si="45"/>
        <v>0</v>
      </c>
      <c r="P205" s="90">
        <f t="shared" si="45"/>
        <v>0</v>
      </c>
      <c r="Q205" s="90">
        <f t="shared" si="45"/>
        <v>0</v>
      </c>
      <c r="R205" s="90">
        <f t="shared" si="45"/>
        <v>0</v>
      </c>
      <c r="S205" s="90">
        <f t="shared" si="45"/>
        <v>0</v>
      </c>
      <c r="T205" s="90">
        <f t="shared" si="45"/>
        <v>0</v>
      </c>
      <c r="U205" s="101">
        <f t="shared" si="45"/>
        <v>0</v>
      </c>
      <c r="V205" s="71"/>
      <c r="W205" s="102">
        <f t="shared" si="46"/>
        <v>0</v>
      </c>
      <c r="X205" s="102">
        <f t="shared" si="46"/>
        <v>0</v>
      </c>
      <c r="Y205" s="90">
        <f t="shared" si="46"/>
        <v>0</v>
      </c>
      <c r="Z205" s="102">
        <f t="shared" si="46"/>
        <v>0</v>
      </c>
      <c r="AA205" s="101" t="str">
        <f t="shared" si="46"/>
        <v>EA</v>
      </c>
      <c r="AB205" s="71"/>
      <c r="AC205" s="91">
        <v>1</v>
      </c>
      <c r="AD205" s="91">
        <v>1</v>
      </c>
      <c r="AE205" s="92">
        <f t="shared" si="41"/>
        <v>0</v>
      </c>
      <c r="AF205" s="93">
        <f t="shared" si="44"/>
        <v>0</v>
      </c>
    </row>
    <row r="206" spans="1:32" ht="12.5">
      <c r="A206" s="28">
        <v>190</v>
      </c>
      <c r="B206" s="32">
        <v>33</v>
      </c>
      <c r="C206" s="32">
        <v>33</v>
      </c>
      <c r="J206" s="83">
        <f t="shared" si="34"/>
        <v>0</v>
      </c>
      <c r="K206" s="99">
        <v>190</v>
      </c>
      <c r="L206" s="100">
        <f t="shared" si="45"/>
        <v>1</v>
      </c>
      <c r="M206" s="90">
        <f t="shared" si="45"/>
        <v>0</v>
      </c>
      <c r="N206" s="90">
        <f t="shared" si="45"/>
        <v>0</v>
      </c>
      <c r="O206" s="90">
        <f t="shared" si="45"/>
        <v>0</v>
      </c>
      <c r="P206" s="90">
        <f t="shared" si="45"/>
        <v>0</v>
      </c>
      <c r="Q206" s="90">
        <f t="shared" si="45"/>
        <v>0</v>
      </c>
      <c r="R206" s="90">
        <f t="shared" si="45"/>
        <v>0</v>
      </c>
      <c r="S206" s="90">
        <f t="shared" si="45"/>
        <v>0</v>
      </c>
      <c r="T206" s="90">
        <f t="shared" si="45"/>
        <v>0</v>
      </c>
      <c r="U206" s="101">
        <f t="shared" si="45"/>
        <v>0</v>
      </c>
      <c r="V206" s="71"/>
      <c r="W206" s="102">
        <f t="shared" si="46"/>
        <v>0</v>
      </c>
      <c r="X206" s="102">
        <f t="shared" si="46"/>
        <v>0</v>
      </c>
      <c r="Y206" s="90">
        <f t="shared" si="46"/>
        <v>0</v>
      </c>
      <c r="Z206" s="102">
        <f t="shared" si="46"/>
        <v>0</v>
      </c>
      <c r="AA206" s="101" t="str">
        <f t="shared" si="46"/>
        <v>EA</v>
      </c>
      <c r="AB206" s="71"/>
      <c r="AC206" s="91">
        <v>1</v>
      </c>
      <c r="AD206" s="91">
        <v>1</v>
      </c>
      <c r="AE206" s="92">
        <f t="shared" si="41"/>
        <v>0</v>
      </c>
      <c r="AF206" s="93">
        <f t="shared" si="44"/>
        <v>0</v>
      </c>
    </row>
    <row r="207" spans="1:32" ht="12.5">
      <c r="A207" s="28">
        <v>191</v>
      </c>
      <c r="B207" s="32">
        <v>34</v>
      </c>
      <c r="C207" s="32">
        <v>34</v>
      </c>
      <c r="J207" s="83">
        <f t="shared" si="34"/>
        <v>0</v>
      </c>
      <c r="K207" s="99">
        <v>191</v>
      </c>
      <c r="L207" s="100">
        <f t="shared" si="45"/>
        <v>1</v>
      </c>
      <c r="M207" s="90">
        <f t="shared" si="45"/>
        <v>0</v>
      </c>
      <c r="N207" s="90">
        <f t="shared" si="45"/>
        <v>0</v>
      </c>
      <c r="O207" s="90">
        <f t="shared" si="45"/>
        <v>0</v>
      </c>
      <c r="P207" s="90">
        <f t="shared" si="45"/>
        <v>0</v>
      </c>
      <c r="Q207" s="90">
        <f t="shared" si="45"/>
        <v>0</v>
      </c>
      <c r="R207" s="90">
        <f t="shared" si="45"/>
        <v>0</v>
      </c>
      <c r="S207" s="90">
        <f t="shared" si="45"/>
        <v>0</v>
      </c>
      <c r="T207" s="90">
        <f t="shared" si="45"/>
        <v>0</v>
      </c>
      <c r="U207" s="101">
        <f t="shared" si="45"/>
        <v>0</v>
      </c>
      <c r="V207" s="71"/>
      <c r="W207" s="102">
        <f t="shared" si="46"/>
        <v>0</v>
      </c>
      <c r="X207" s="102">
        <f t="shared" si="46"/>
        <v>0</v>
      </c>
      <c r="Y207" s="90">
        <f t="shared" si="46"/>
        <v>0</v>
      </c>
      <c r="Z207" s="102">
        <f t="shared" si="46"/>
        <v>0</v>
      </c>
      <c r="AA207" s="101" t="str">
        <f t="shared" si="46"/>
        <v>EA</v>
      </c>
      <c r="AB207" s="71"/>
      <c r="AC207" s="91">
        <v>1</v>
      </c>
      <c r="AD207" s="91">
        <v>1</v>
      </c>
      <c r="AE207" s="92">
        <f t="shared" si="41"/>
        <v>0</v>
      </c>
      <c r="AF207" s="93">
        <f t="shared" si="44"/>
        <v>0</v>
      </c>
    </row>
    <row r="208" spans="1:32" ht="12.5">
      <c r="A208" s="28">
        <v>192</v>
      </c>
      <c r="B208" s="32">
        <v>35</v>
      </c>
      <c r="C208" s="32">
        <v>35</v>
      </c>
      <c r="J208" s="83">
        <f t="shared" si="34"/>
        <v>0</v>
      </c>
      <c r="K208" s="99">
        <v>192</v>
      </c>
      <c r="L208" s="100">
        <f t="shared" si="45"/>
        <v>1</v>
      </c>
      <c r="M208" s="90">
        <f t="shared" si="45"/>
        <v>0</v>
      </c>
      <c r="N208" s="90">
        <f t="shared" si="45"/>
        <v>0</v>
      </c>
      <c r="O208" s="90">
        <f t="shared" si="45"/>
        <v>0</v>
      </c>
      <c r="P208" s="90">
        <f t="shared" si="45"/>
        <v>0</v>
      </c>
      <c r="Q208" s="90">
        <f t="shared" si="45"/>
        <v>0</v>
      </c>
      <c r="R208" s="90">
        <f t="shared" si="45"/>
        <v>0</v>
      </c>
      <c r="S208" s="90">
        <f t="shared" si="45"/>
        <v>0</v>
      </c>
      <c r="T208" s="90">
        <f t="shared" si="45"/>
        <v>0</v>
      </c>
      <c r="U208" s="101">
        <f t="shared" si="45"/>
        <v>0</v>
      </c>
      <c r="V208" s="71"/>
      <c r="W208" s="102">
        <f t="shared" si="46"/>
        <v>0</v>
      </c>
      <c r="X208" s="102">
        <f t="shared" si="46"/>
        <v>0</v>
      </c>
      <c r="Y208" s="90">
        <f t="shared" si="46"/>
        <v>0</v>
      </c>
      <c r="Z208" s="102">
        <f t="shared" si="46"/>
        <v>0</v>
      </c>
      <c r="AA208" s="101" t="str">
        <f t="shared" si="46"/>
        <v>EA</v>
      </c>
      <c r="AB208" s="71"/>
      <c r="AC208" s="91">
        <v>1</v>
      </c>
      <c r="AD208" s="91">
        <v>1</v>
      </c>
      <c r="AE208" s="92">
        <f t="shared" si="41"/>
        <v>0</v>
      </c>
      <c r="AF208" s="93">
        <f t="shared" si="44"/>
        <v>0</v>
      </c>
    </row>
    <row r="209" spans="1:32" ht="12.5">
      <c r="A209" s="28">
        <v>193</v>
      </c>
      <c r="B209" s="32">
        <v>36</v>
      </c>
      <c r="C209" s="32">
        <v>36</v>
      </c>
      <c r="J209" s="83">
        <f t="shared" ref="J209:J272" si="47">INDEX(J$420:J$1632,MATCH($K209,$K$420:$K$1632,0)+MATCH("Option "&amp;$D$9,$K$420:$K$1230,0)-1,1)</f>
        <v>0</v>
      </c>
      <c r="K209" s="99">
        <v>193</v>
      </c>
      <c r="L209" s="100">
        <f t="shared" ref="L209:U224" si="48">INDEX(L$420:L$1632,MATCH($K209,$K$420:$K$1632,0)+MATCH("Option "&amp;$D$9,$K$420:$K$1230,0)-1,1)</f>
        <v>1</v>
      </c>
      <c r="M209" s="90">
        <f t="shared" si="48"/>
        <v>0</v>
      </c>
      <c r="N209" s="90">
        <f t="shared" si="48"/>
        <v>0</v>
      </c>
      <c r="O209" s="90">
        <f t="shared" si="48"/>
        <v>0</v>
      </c>
      <c r="P209" s="90">
        <f t="shared" si="48"/>
        <v>0</v>
      </c>
      <c r="Q209" s="90">
        <f t="shared" si="48"/>
        <v>0</v>
      </c>
      <c r="R209" s="90">
        <f t="shared" si="48"/>
        <v>0</v>
      </c>
      <c r="S209" s="90">
        <f t="shared" si="48"/>
        <v>0</v>
      </c>
      <c r="T209" s="90">
        <f t="shared" si="48"/>
        <v>0</v>
      </c>
      <c r="U209" s="101">
        <f t="shared" si="48"/>
        <v>0</v>
      </c>
      <c r="V209" s="71"/>
      <c r="W209" s="102">
        <f t="shared" ref="W209:AA224" si="49">INDEX(W$420:W$1632,MATCH($K209,$K$420:$K$1632,0)+MATCH("Option "&amp;$D$9,$K$420:$K$1230,0)-1,1)</f>
        <v>0</v>
      </c>
      <c r="X209" s="102">
        <f t="shared" si="49"/>
        <v>0</v>
      </c>
      <c r="Y209" s="90">
        <f t="shared" si="49"/>
        <v>0</v>
      </c>
      <c r="Z209" s="102">
        <f t="shared" si="49"/>
        <v>0</v>
      </c>
      <c r="AA209" s="101" t="str">
        <f t="shared" si="49"/>
        <v>EA</v>
      </c>
      <c r="AB209" s="71"/>
      <c r="AC209" s="91">
        <v>1</v>
      </c>
      <c r="AD209" s="91">
        <v>1</v>
      </c>
      <c r="AE209" s="92">
        <f t="shared" si="41"/>
        <v>0</v>
      </c>
      <c r="AF209" s="93">
        <f t="shared" si="44"/>
        <v>0</v>
      </c>
    </row>
    <row r="210" spans="1:32" ht="12.5">
      <c r="A210" s="28">
        <v>194</v>
      </c>
      <c r="B210" s="32">
        <v>37</v>
      </c>
      <c r="C210" s="32">
        <v>37</v>
      </c>
      <c r="J210" s="83">
        <f t="shared" si="47"/>
        <v>0</v>
      </c>
      <c r="K210" s="99">
        <v>194</v>
      </c>
      <c r="L210" s="100">
        <f t="shared" si="48"/>
        <v>1</v>
      </c>
      <c r="M210" s="90">
        <f t="shared" si="48"/>
        <v>0</v>
      </c>
      <c r="N210" s="90">
        <f t="shared" si="48"/>
        <v>0</v>
      </c>
      <c r="O210" s="90">
        <f t="shared" si="48"/>
        <v>0</v>
      </c>
      <c r="P210" s="90">
        <f t="shared" si="48"/>
        <v>0</v>
      </c>
      <c r="Q210" s="90">
        <f t="shared" si="48"/>
        <v>0</v>
      </c>
      <c r="R210" s="90">
        <f t="shared" si="48"/>
        <v>0</v>
      </c>
      <c r="S210" s="90">
        <f t="shared" si="48"/>
        <v>0</v>
      </c>
      <c r="T210" s="90">
        <f t="shared" si="48"/>
        <v>0</v>
      </c>
      <c r="U210" s="101">
        <f t="shared" si="48"/>
        <v>0</v>
      </c>
      <c r="V210" s="71"/>
      <c r="W210" s="102">
        <f t="shared" si="49"/>
        <v>0</v>
      </c>
      <c r="X210" s="102">
        <f t="shared" si="49"/>
        <v>0</v>
      </c>
      <c r="Y210" s="90">
        <f t="shared" si="49"/>
        <v>0</v>
      </c>
      <c r="Z210" s="102">
        <f t="shared" si="49"/>
        <v>0</v>
      </c>
      <c r="AA210" s="101" t="str">
        <f t="shared" si="49"/>
        <v>EA</v>
      </c>
      <c r="AB210" s="71"/>
      <c r="AC210" s="91">
        <v>1</v>
      </c>
      <c r="AD210" s="91">
        <v>1</v>
      </c>
      <c r="AE210" s="92">
        <f t="shared" si="41"/>
        <v>0</v>
      </c>
      <c r="AF210" s="93">
        <f t="shared" si="44"/>
        <v>0</v>
      </c>
    </row>
    <row r="211" spans="1:32" ht="12.5">
      <c r="A211" s="28">
        <v>195</v>
      </c>
      <c r="B211" s="32">
        <v>38</v>
      </c>
      <c r="C211" s="32">
        <v>38</v>
      </c>
      <c r="J211" s="83">
        <f t="shared" si="47"/>
        <v>0</v>
      </c>
      <c r="K211" s="99">
        <v>195</v>
      </c>
      <c r="L211" s="100">
        <f t="shared" si="48"/>
        <v>1</v>
      </c>
      <c r="M211" s="90">
        <f t="shared" si="48"/>
        <v>0</v>
      </c>
      <c r="N211" s="90">
        <f t="shared" si="48"/>
        <v>0</v>
      </c>
      <c r="O211" s="90">
        <f t="shared" si="48"/>
        <v>0</v>
      </c>
      <c r="P211" s="90">
        <f t="shared" si="48"/>
        <v>0</v>
      </c>
      <c r="Q211" s="90">
        <f t="shared" si="48"/>
        <v>0</v>
      </c>
      <c r="R211" s="90">
        <f t="shared" si="48"/>
        <v>0</v>
      </c>
      <c r="S211" s="90">
        <f t="shared" si="48"/>
        <v>0</v>
      </c>
      <c r="T211" s="90">
        <f t="shared" si="48"/>
        <v>0</v>
      </c>
      <c r="U211" s="101">
        <f t="shared" si="48"/>
        <v>0</v>
      </c>
      <c r="V211" s="71"/>
      <c r="W211" s="102">
        <f t="shared" si="49"/>
        <v>0</v>
      </c>
      <c r="X211" s="102">
        <f t="shared" si="49"/>
        <v>0</v>
      </c>
      <c r="Y211" s="90">
        <f t="shared" si="49"/>
        <v>0</v>
      </c>
      <c r="Z211" s="102">
        <f t="shared" si="49"/>
        <v>0</v>
      </c>
      <c r="AA211" s="101" t="str">
        <f t="shared" si="49"/>
        <v>EA</v>
      </c>
      <c r="AB211" s="71"/>
      <c r="AC211" s="91">
        <v>1</v>
      </c>
      <c r="AD211" s="91">
        <v>1</v>
      </c>
      <c r="AE211" s="92">
        <f t="shared" si="41"/>
        <v>0</v>
      </c>
      <c r="AF211" s="93">
        <f t="shared" si="44"/>
        <v>0</v>
      </c>
    </row>
    <row r="212" spans="1:32" ht="12.5">
      <c r="A212" s="28">
        <v>196</v>
      </c>
      <c r="B212" s="32">
        <v>39</v>
      </c>
      <c r="C212" s="32">
        <v>39</v>
      </c>
      <c r="J212" s="83">
        <f t="shared" si="47"/>
        <v>0</v>
      </c>
      <c r="K212" s="99">
        <v>196</v>
      </c>
      <c r="L212" s="100">
        <f t="shared" si="48"/>
        <v>1</v>
      </c>
      <c r="M212" s="90">
        <f t="shared" si="48"/>
        <v>0</v>
      </c>
      <c r="N212" s="90">
        <f t="shared" si="48"/>
        <v>0</v>
      </c>
      <c r="O212" s="90">
        <f t="shared" si="48"/>
        <v>0</v>
      </c>
      <c r="P212" s="90">
        <f t="shared" si="48"/>
        <v>0</v>
      </c>
      <c r="Q212" s="90">
        <f t="shared" si="48"/>
        <v>0</v>
      </c>
      <c r="R212" s="90">
        <f t="shared" si="48"/>
        <v>0</v>
      </c>
      <c r="S212" s="90">
        <f t="shared" si="48"/>
        <v>0</v>
      </c>
      <c r="T212" s="90">
        <f t="shared" si="48"/>
        <v>0</v>
      </c>
      <c r="U212" s="101">
        <f t="shared" si="48"/>
        <v>0</v>
      </c>
      <c r="V212" s="71"/>
      <c r="W212" s="102">
        <f t="shared" si="49"/>
        <v>0</v>
      </c>
      <c r="X212" s="102">
        <f t="shared" si="49"/>
        <v>0</v>
      </c>
      <c r="Y212" s="90">
        <f t="shared" si="49"/>
        <v>0</v>
      </c>
      <c r="Z212" s="102">
        <f t="shared" si="49"/>
        <v>0</v>
      </c>
      <c r="AA212" s="101" t="str">
        <f t="shared" si="49"/>
        <v>EA</v>
      </c>
      <c r="AB212" s="71"/>
      <c r="AC212" s="91">
        <v>1</v>
      </c>
      <c r="AD212" s="91">
        <v>1</v>
      </c>
      <c r="AE212" s="92">
        <f t="shared" si="41"/>
        <v>0</v>
      </c>
      <c r="AF212" s="93">
        <f t="shared" si="44"/>
        <v>0</v>
      </c>
    </row>
    <row r="213" spans="1:32" ht="12.5">
      <c r="A213" s="28">
        <v>197</v>
      </c>
      <c r="B213" s="32">
        <v>40</v>
      </c>
      <c r="C213" s="32">
        <v>40</v>
      </c>
      <c r="J213" s="83">
        <f t="shared" si="47"/>
        <v>0</v>
      </c>
      <c r="K213" s="99">
        <v>197</v>
      </c>
      <c r="L213" s="100">
        <f t="shared" si="48"/>
        <v>1</v>
      </c>
      <c r="M213" s="90">
        <f t="shared" si="48"/>
        <v>0</v>
      </c>
      <c r="N213" s="90">
        <f t="shared" si="48"/>
        <v>0</v>
      </c>
      <c r="O213" s="90">
        <f t="shared" si="48"/>
        <v>0</v>
      </c>
      <c r="P213" s="90">
        <f t="shared" si="48"/>
        <v>0</v>
      </c>
      <c r="Q213" s="90">
        <f t="shared" si="48"/>
        <v>0</v>
      </c>
      <c r="R213" s="90">
        <f t="shared" si="48"/>
        <v>0</v>
      </c>
      <c r="S213" s="90">
        <f t="shared" si="48"/>
        <v>0</v>
      </c>
      <c r="T213" s="90">
        <f t="shared" si="48"/>
        <v>0</v>
      </c>
      <c r="U213" s="101">
        <f t="shared" si="48"/>
        <v>0</v>
      </c>
      <c r="V213" s="71"/>
      <c r="W213" s="102">
        <f t="shared" si="49"/>
        <v>0</v>
      </c>
      <c r="X213" s="102">
        <f t="shared" si="49"/>
        <v>0</v>
      </c>
      <c r="Y213" s="90">
        <f t="shared" si="49"/>
        <v>0</v>
      </c>
      <c r="Z213" s="102">
        <f t="shared" si="49"/>
        <v>0</v>
      </c>
      <c r="AA213" s="101" t="str">
        <f t="shared" si="49"/>
        <v>EA</v>
      </c>
      <c r="AB213" s="71"/>
      <c r="AC213" s="91">
        <v>1</v>
      </c>
      <c r="AD213" s="91">
        <v>1</v>
      </c>
      <c r="AE213" s="92">
        <f t="shared" si="41"/>
        <v>0</v>
      </c>
      <c r="AF213" s="93">
        <f t="shared" si="44"/>
        <v>0</v>
      </c>
    </row>
    <row r="214" spans="1:32" ht="12.5">
      <c r="A214" s="28">
        <v>198</v>
      </c>
      <c r="B214" s="32">
        <v>41</v>
      </c>
      <c r="C214" s="32">
        <v>41</v>
      </c>
      <c r="J214" s="83">
        <f t="shared" si="47"/>
        <v>0</v>
      </c>
      <c r="K214" s="99">
        <v>198</v>
      </c>
      <c r="L214" s="100">
        <f t="shared" si="48"/>
        <v>1</v>
      </c>
      <c r="M214" s="90">
        <f t="shared" si="48"/>
        <v>0</v>
      </c>
      <c r="N214" s="90">
        <f t="shared" si="48"/>
        <v>0</v>
      </c>
      <c r="O214" s="90">
        <f t="shared" si="48"/>
        <v>0</v>
      </c>
      <c r="P214" s="90">
        <f t="shared" si="48"/>
        <v>0</v>
      </c>
      <c r="Q214" s="90">
        <f t="shared" si="48"/>
        <v>0</v>
      </c>
      <c r="R214" s="90">
        <f t="shared" si="48"/>
        <v>0</v>
      </c>
      <c r="S214" s="90">
        <f t="shared" si="48"/>
        <v>0</v>
      </c>
      <c r="T214" s="90">
        <f t="shared" si="48"/>
        <v>0</v>
      </c>
      <c r="U214" s="101">
        <f t="shared" si="48"/>
        <v>0</v>
      </c>
      <c r="V214" s="71"/>
      <c r="W214" s="102">
        <f t="shared" si="49"/>
        <v>0</v>
      </c>
      <c r="X214" s="102">
        <f t="shared" si="49"/>
        <v>0</v>
      </c>
      <c r="Y214" s="90">
        <f t="shared" si="49"/>
        <v>0</v>
      </c>
      <c r="Z214" s="102">
        <f t="shared" si="49"/>
        <v>0</v>
      </c>
      <c r="AA214" s="101" t="str">
        <f t="shared" si="49"/>
        <v>EA</v>
      </c>
      <c r="AB214" s="71"/>
      <c r="AC214" s="91">
        <v>1</v>
      </c>
      <c r="AD214" s="91">
        <v>1</v>
      </c>
      <c r="AE214" s="92">
        <f t="shared" si="41"/>
        <v>0</v>
      </c>
      <c r="AF214" s="93">
        <f t="shared" si="44"/>
        <v>0</v>
      </c>
    </row>
    <row r="215" spans="1:32" ht="12.5">
      <c r="A215" s="28">
        <v>199</v>
      </c>
      <c r="B215" s="32">
        <v>42</v>
      </c>
      <c r="C215" s="32">
        <v>42</v>
      </c>
      <c r="J215" s="83">
        <f t="shared" si="47"/>
        <v>0</v>
      </c>
      <c r="K215" s="99">
        <v>199</v>
      </c>
      <c r="L215" s="100">
        <f t="shared" si="48"/>
        <v>1</v>
      </c>
      <c r="M215" s="90">
        <f t="shared" si="48"/>
        <v>0</v>
      </c>
      <c r="N215" s="90">
        <f t="shared" si="48"/>
        <v>0</v>
      </c>
      <c r="O215" s="90">
        <f t="shared" si="48"/>
        <v>0</v>
      </c>
      <c r="P215" s="90">
        <f t="shared" si="48"/>
        <v>0</v>
      </c>
      <c r="Q215" s="90">
        <f t="shared" si="48"/>
        <v>0</v>
      </c>
      <c r="R215" s="90">
        <f t="shared" si="48"/>
        <v>0</v>
      </c>
      <c r="S215" s="90">
        <f t="shared" si="48"/>
        <v>0</v>
      </c>
      <c r="T215" s="90">
        <f t="shared" si="48"/>
        <v>0</v>
      </c>
      <c r="U215" s="101">
        <f t="shared" si="48"/>
        <v>0</v>
      </c>
      <c r="V215" s="71"/>
      <c r="W215" s="102">
        <f t="shared" si="49"/>
        <v>0</v>
      </c>
      <c r="X215" s="102">
        <f t="shared" si="49"/>
        <v>0</v>
      </c>
      <c r="Y215" s="90">
        <f t="shared" si="49"/>
        <v>0</v>
      </c>
      <c r="Z215" s="102">
        <f t="shared" si="49"/>
        <v>0</v>
      </c>
      <c r="AA215" s="101" t="str">
        <f t="shared" si="49"/>
        <v>EA</v>
      </c>
      <c r="AB215" s="71"/>
      <c r="AC215" s="91">
        <v>1</v>
      </c>
      <c r="AD215" s="91">
        <v>1</v>
      </c>
      <c r="AE215" s="92">
        <f t="shared" si="41"/>
        <v>0</v>
      </c>
      <c r="AF215" s="93">
        <f t="shared" si="44"/>
        <v>0</v>
      </c>
    </row>
    <row r="216" spans="1:32" ht="12.5">
      <c r="A216" s="28">
        <v>200</v>
      </c>
      <c r="B216" s="32">
        <v>43</v>
      </c>
      <c r="C216" s="32">
        <v>43</v>
      </c>
      <c r="J216" s="83">
        <f t="shared" si="47"/>
        <v>0</v>
      </c>
      <c r="K216" s="99">
        <v>200</v>
      </c>
      <c r="L216" s="100">
        <f t="shared" si="48"/>
        <v>1</v>
      </c>
      <c r="M216" s="90">
        <f t="shared" si="48"/>
        <v>0</v>
      </c>
      <c r="N216" s="90">
        <f t="shared" si="48"/>
        <v>0</v>
      </c>
      <c r="O216" s="90">
        <f t="shared" si="48"/>
        <v>0</v>
      </c>
      <c r="P216" s="90">
        <f t="shared" si="48"/>
        <v>0</v>
      </c>
      <c r="Q216" s="90">
        <f t="shared" si="48"/>
        <v>0</v>
      </c>
      <c r="R216" s="90">
        <f t="shared" si="48"/>
        <v>0</v>
      </c>
      <c r="S216" s="90">
        <f t="shared" si="48"/>
        <v>0</v>
      </c>
      <c r="T216" s="90">
        <f t="shared" si="48"/>
        <v>0</v>
      </c>
      <c r="U216" s="101">
        <f t="shared" si="48"/>
        <v>0</v>
      </c>
      <c r="V216" s="71"/>
      <c r="W216" s="102">
        <f t="shared" si="49"/>
        <v>0</v>
      </c>
      <c r="X216" s="102">
        <f t="shared" si="49"/>
        <v>0</v>
      </c>
      <c r="Y216" s="90">
        <f t="shared" si="49"/>
        <v>0</v>
      </c>
      <c r="Z216" s="102">
        <f t="shared" si="49"/>
        <v>0</v>
      </c>
      <c r="AA216" s="101" t="str">
        <f t="shared" si="49"/>
        <v>EA</v>
      </c>
      <c r="AB216" s="71"/>
      <c r="AC216" s="91">
        <v>1</v>
      </c>
      <c r="AD216" s="91">
        <v>1</v>
      </c>
      <c r="AE216" s="92">
        <f t="shared" si="41"/>
        <v>0</v>
      </c>
      <c r="AF216" s="93">
        <f t="shared" si="44"/>
        <v>0</v>
      </c>
    </row>
    <row r="217" spans="1:32" ht="12.5" hidden="1">
      <c r="A217" s="28">
        <v>201</v>
      </c>
      <c r="B217" s="32">
        <v>44</v>
      </c>
      <c r="C217" s="32">
        <v>44</v>
      </c>
      <c r="J217" s="83">
        <f t="shared" si="47"/>
        <v>0</v>
      </c>
      <c r="K217" s="99">
        <v>201</v>
      </c>
      <c r="L217" s="100">
        <f t="shared" si="48"/>
        <v>1</v>
      </c>
      <c r="M217" s="90" t="str">
        <f t="shared" si="48"/>
        <v>Price Line 201</v>
      </c>
      <c r="N217" s="90">
        <f t="shared" si="48"/>
        <v>0</v>
      </c>
      <c r="O217" s="90">
        <f t="shared" si="48"/>
        <v>0</v>
      </c>
      <c r="P217" s="90">
        <f t="shared" si="48"/>
        <v>0</v>
      </c>
      <c r="Q217" s="90">
        <f t="shared" si="48"/>
        <v>0</v>
      </c>
      <c r="R217" s="90">
        <f t="shared" si="48"/>
        <v>0</v>
      </c>
      <c r="S217" s="90">
        <f t="shared" si="48"/>
        <v>0</v>
      </c>
      <c r="T217" s="90">
        <f t="shared" si="48"/>
        <v>0</v>
      </c>
      <c r="U217" s="101">
        <f t="shared" si="48"/>
        <v>0</v>
      </c>
      <c r="V217" s="71"/>
      <c r="W217" s="102">
        <f t="shared" si="49"/>
        <v>0</v>
      </c>
      <c r="X217" s="102">
        <f t="shared" si="49"/>
        <v>0</v>
      </c>
      <c r="Y217" s="90">
        <f t="shared" si="49"/>
        <v>0</v>
      </c>
      <c r="Z217" s="102">
        <f t="shared" si="49"/>
        <v>0</v>
      </c>
      <c r="AA217" s="101" t="str">
        <f t="shared" si="49"/>
        <v>EA</v>
      </c>
      <c r="AB217" s="71"/>
      <c r="AC217" s="91">
        <v>1</v>
      </c>
      <c r="AD217" s="91">
        <v>1</v>
      </c>
      <c r="AE217" s="92" t="str">
        <f t="shared" si="41"/>
        <v>Price Line 201</v>
      </c>
      <c r="AF217" s="93">
        <f t="shared" si="44"/>
        <v>0</v>
      </c>
    </row>
    <row r="218" spans="1:32" ht="12.5" hidden="1">
      <c r="A218" s="28">
        <v>202</v>
      </c>
      <c r="B218" s="32">
        <v>45</v>
      </c>
      <c r="C218" s="32">
        <v>45</v>
      </c>
      <c r="J218" s="83">
        <f t="shared" si="47"/>
        <v>0</v>
      </c>
      <c r="K218" s="99">
        <v>202</v>
      </c>
      <c r="L218" s="100">
        <f t="shared" si="48"/>
        <v>1</v>
      </c>
      <c r="M218" s="90" t="str">
        <f t="shared" si="48"/>
        <v>Price Line 202</v>
      </c>
      <c r="N218" s="90">
        <f t="shared" si="48"/>
        <v>0</v>
      </c>
      <c r="O218" s="90">
        <f t="shared" si="48"/>
        <v>0</v>
      </c>
      <c r="P218" s="90">
        <f t="shared" si="48"/>
        <v>0</v>
      </c>
      <c r="Q218" s="90">
        <f t="shared" si="48"/>
        <v>0</v>
      </c>
      <c r="R218" s="90">
        <f t="shared" si="48"/>
        <v>0</v>
      </c>
      <c r="S218" s="90">
        <f t="shared" si="48"/>
        <v>0</v>
      </c>
      <c r="T218" s="90">
        <f t="shared" si="48"/>
        <v>0</v>
      </c>
      <c r="U218" s="101">
        <f t="shared" si="48"/>
        <v>0</v>
      </c>
      <c r="V218" s="71"/>
      <c r="W218" s="102">
        <f t="shared" si="49"/>
        <v>0</v>
      </c>
      <c r="X218" s="102">
        <f t="shared" si="49"/>
        <v>0</v>
      </c>
      <c r="Y218" s="90">
        <f t="shared" si="49"/>
        <v>0</v>
      </c>
      <c r="Z218" s="102">
        <f t="shared" si="49"/>
        <v>0</v>
      </c>
      <c r="AA218" s="101" t="str">
        <f t="shared" si="49"/>
        <v>EA</v>
      </c>
      <c r="AB218" s="71"/>
      <c r="AC218" s="91">
        <v>1</v>
      </c>
      <c r="AD218" s="91">
        <v>1</v>
      </c>
      <c r="AE218" s="92" t="str">
        <f t="shared" si="41"/>
        <v>Price Line 202</v>
      </c>
      <c r="AF218" s="93">
        <f t="shared" si="44"/>
        <v>0</v>
      </c>
    </row>
    <row r="219" spans="1:32" ht="12.5" hidden="1">
      <c r="A219" s="28">
        <v>203</v>
      </c>
      <c r="B219" s="32">
        <v>46</v>
      </c>
      <c r="C219" s="32">
        <v>46</v>
      </c>
      <c r="J219" s="83">
        <f t="shared" si="47"/>
        <v>0</v>
      </c>
      <c r="K219" s="99">
        <v>203</v>
      </c>
      <c r="L219" s="100">
        <f t="shared" si="48"/>
        <v>1</v>
      </c>
      <c r="M219" s="90" t="str">
        <f t="shared" si="48"/>
        <v>Price Line 203</v>
      </c>
      <c r="N219" s="90">
        <f t="shared" si="48"/>
        <v>0</v>
      </c>
      <c r="O219" s="90">
        <f t="shared" si="48"/>
        <v>0</v>
      </c>
      <c r="P219" s="90">
        <f t="shared" si="48"/>
        <v>0</v>
      </c>
      <c r="Q219" s="90">
        <f t="shared" si="48"/>
        <v>0</v>
      </c>
      <c r="R219" s="90">
        <f t="shared" si="48"/>
        <v>0</v>
      </c>
      <c r="S219" s="90">
        <f t="shared" si="48"/>
        <v>0</v>
      </c>
      <c r="T219" s="90">
        <f t="shared" si="48"/>
        <v>0</v>
      </c>
      <c r="U219" s="101">
        <f t="shared" si="48"/>
        <v>0</v>
      </c>
      <c r="V219" s="71"/>
      <c r="W219" s="102">
        <f t="shared" si="49"/>
        <v>0</v>
      </c>
      <c r="X219" s="102">
        <f t="shared" si="49"/>
        <v>0</v>
      </c>
      <c r="Y219" s="90">
        <f t="shared" si="49"/>
        <v>0</v>
      </c>
      <c r="Z219" s="102">
        <f t="shared" si="49"/>
        <v>0</v>
      </c>
      <c r="AA219" s="101" t="str">
        <f t="shared" si="49"/>
        <v>EA</v>
      </c>
      <c r="AB219" s="71"/>
      <c r="AC219" s="91">
        <v>1</v>
      </c>
      <c r="AD219" s="91">
        <v>1</v>
      </c>
      <c r="AE219" s="92" t="str">
        <f t="shared" si="41"/>
        <v>Price Line 203</v>
      </c>
      <c r="AF219" s="93">
        <f t="shared" si="44"/>
        <v>0</v>
      </c>
    </row>
    <row r="220" spans="1:32" ht="12.5" hidden="1">
      <c r="A220" s="28">
        <v>204</v>
      </c>
      <c r="B220" s="32">
        <v>47</v>
      </c>
      <c r="C220" s="32">
        <v>47</v>
      </c>
      <c r="J220" s="83">
        <f t="shared" si="47"/>
        <v>0</v>
      </c>
      <c r="K220" s="99">
        <v>204</v>
      </c>
      <c r="L220" s="100">
        <f t="shared" si="48"/>
        <v>1</v>
      </c>
      <c r="M220" s="90" t="str">
        <f t="shared" si="48"/>
        <v>Price Line 204</v>
      </c>
      <c r="N220" s="90">
        <f t="shared" si="48"/>
        <v>0</v>
      </c>
      <c r="O220" s="90">
        <f t="shared" si="48"/>
        <v>0</v>
      </c>
      <c r="P220" s="90">
        <f t="shared" si="48"/>
        <v>0</v>
      </c>
      <c r="Q220" s="90">
        <f t="shared" si="48"/>
        <v>0</v>
      </c>
      <c r="R220" s="90">
        <f t="shared" si="48"/>
        <v>0</v>
      </c>
      <c r="S220" s="90">
        <f t="shared" si="48"/>
        <v>0</v>
      </c>
      <c r="T220" s="90">
        <f t="shared" si="48"/>
        <v>0</v>
      </c>
      <c r="U220" s="101">
        <f t="shared" si="48"/>
        <v>0</v>
      </c>
      <c r="V220" s="71"/>
      <c r="W220" s="102">
        <f t="shared" si="49"/>
        <v>0</v>
      </c>
      <c r="X220" s="102">
        <f t="shared" si="49"/>
        <v>0</v>
      </c>
      <c r="Y220" s="90">
        <f t="shared" si="49"/>
        <v>0</v>
      </c>
      <c r="Z220" s="102">
        <f t="shared" si="49"/>
        <v>0</v>
      </c>
      <c r="AA220" s="101" t="str">
        <f t="shared" si="49"/>
        <v>EA</v>
      </c>
      <c r="AB220" s="71"/>
      <c r="AC220" s="91">
        <v>1</v>
      </c>
      <c r="AD220" s="91">
        <v>1</v>
      </c>
      <c r="AE220" s="92" t="str">
        <f t="shared" si="41"/>
        <v>Price Line 204</v>
      </c>
      <c r="AF220" s="93">
        <f t="shared" si="44"/>
        <v>0</v>
      </c>
    </row>
    <row r="221" spans="1:32" ht="12.5" hidden="1">
      <c r="A221" s="28">
        <v>205</v>
      </c>
      <c r="B221" s="32">
        <v>48</v>
      </c>
      <c r="C221" s="32">
        <v>48</v>
      </c>
      <c r="J221" s="83">
        <f t="shared" si="47"/>
        <v>0</v>
      </c>
      <c r="K221" s="99">
        <v>205</v>
      </c>
      <c r="L221" s="100">
        <f t="shared" si="48"/>
        <v>1</v>
      </c>
      <c r="M221" s="90" t="str">
        <f t="shared" si="48"/>
        <v>Price Line 205</v>
      </c>
      <c r="N221" s="90">
        <f t="shared" si="48"/>
        <v>0</v>
      </c>
      <c r="O221" s="90">
        <f t="shared" si="48"/>
        <v>0</v>
      </c>
      <c r="P221" s="90">
        <f t="shared" si="48"/>
        <v>0</v>
      </c>
      <c r="Q221" s="90">
        <f t="shared" si="48"/>
        <v>0</v>
      </c>
      <c r="R221" s="90">
        <f t="shared" si="48"/>
        <v>0</v>
      </c>
      <c r="S221" s="90">
        <f t="shared" si="48"/>
        <v>0</v>
      </c>
      <c r="T221" s="90">
        <f t="shared" si="48"/>
        <v>0</v>
      </c>
      <c r="U221" s="101">
        <f t="shared" si="48"/>
        <v>0</v>
      </c>
      <c r="V221" s="71"/>
      <c r="W221" s="102">
        <f t="shared" si="49"/>
        <v>0</v>
      </c>
      <c r="X221" s="102">
        <f t="shared" si="49"/>
        <v>0</v>
      </c>
      <c r="Y221" s="90">
        <f t="shared" si="49"/>
        <v>0</v>
      </c>
      <c r="Z221" s="102">
        <f t="shared" si="49"/>
        <v>0</v>
      </c>
      <c r="AA221" s="101" t="str">
        <f t="shared" si="49"/>
        <v>EA</v>
      </c>
      <c r="AB221" s="71"/>
      <c r="AC221" s="91">
        <v>1</v>
      </c>
      <c r="AD221" s="91">
        <v>1</v>
      </c>
      <c r="AE221" s="92" t="str">
        <f t="shared" si="41"/>
        <v>Price Line 205</v>
      </c>
      <c r="AF221" s="93">
        <f t="shared" si="44"/>
        <v>0</v>
      </c>
    </row>
    <row r="222" spans="1:32" ht="12.5" hidden="1">
      <c r="A222" s="28">
        <v>206</v>
      </c>
      <c r="B222" s="32">
        <v>49</v>
      </c>
      <c r="C222" s="32">
        <v>49</v>
      </c>
      <c r="J222" s="83">
        <f t="shared" si="47"/>
        <v>0</v>
      </c>
      <c r="K222" s="99">
        <v>206</v>
      </c>
      <c r="L222" s="100">
        <f t="shared" si="48"/>
        <v>1</v>
      </c>
      <c r="M222" s="90" t="str">
        <f t="shared" si="48"/>
        <v>Price Line 206</v>
      </c>
      <c r="N222" s="90">
        <f t="shared" si="48"/>
        <v>0</v>
      </c>
      <c r="O222" s="90">
        <f t="shared" si="48"/>
        <v>0</v>
      </c>
      <c r="P222" s="90">
        <f t="shared" si="48"/>
        <v>0</v>
      </c>
      <c r="Q222" s="90">
        <f t="shared" si="48"/>
        <v>0</v>
      </c>
      <c r="R222" s="90">
        <f t="shared" si="48"/>
        <v>0</v>
      </c>
      <c r="S222" s="90">
        <f t="shared" si="48"/>
        <v>0</v>
      </c>
      <c r="T222" s="90">
        <f t="shared" si="48"/>
        <v>0</v>
      </c>
      <c r="U222" s="101">
        <f t="shared" si="48"/>
        <v>0</v>
      </c>
      <c r="V222" s="71"/>
      <c r="W222" s="102">
        <f t="shared" si="49"/>
        <v>0</v>
      </c>
      <c r="X222" s="102">
        <f t="shared" si="49"/>
        <v>0</v>
      </c>
      <c r="Y222" s="90">
        <f t="shared" si="49"/>
        <v>0</v>
      </c>
      <c r="Z222" s="102">
        <f t="shared" si="49"/>
        <v>0</v>
      </c>
      <c r="AA222" s="101" t="str">
        <f t="shared" si="49"/>
        <v>EA</v>
      </c>
      <c r="AB222" s="71"/>
      <c r="AC222" s="91">
        <v>1</v>
      </c>
      <c r="AD222" s="91">
        <v>1</v>
      </c>
      <c r="AE222" s="92" t="str">
        <f t="shared" si="41"/>
        <v>Price Line 206</v>
      </c>
      <c r="AF222" s="93">
        <f t="shared" si="44"/>
        <v>0</v>
      </c>
    </row>
    <row r="223" spans="1:32" ht="12.5" hidden="1">
      <c r="A223" s="28">
        <v>207</v>
      </c>
      <c r="B223" s="32">
        <v>50</v>
      </c>
      <c r="C223" s="32">
        <v>50</v>
      </c>
      <c r="J223" s="83">
        <f t="shared" si="47"/>
        <v>0</v>
      </c>
      <c r="K223" s="99">
        <v>207</v>
      </c>
      <c r="L223" s="100">
        <f t="shared" si="48"/>
        <v>1</v>
      </c>
      <c r="M223" s="90" t="str">
        <f t="shared" si="48"/>
        <v>Price Line 207</v>
      </c>
      <c r="N223" s="90">
        <f t="shared" si="48"/>
        <v>0</v>
      </c>
      <c r="O223" s="90">
        <f t="shared" si="48"/>
        <v>0</v>
      </c>
      <c r="P223" s="90">
        <f t="shared" si="48"/>
        <v>0</v>
      </c>
      <c r="Q223" s="90">
        <f t="shared" si="48"/>
        <v>0</v>
      </c>
      <c r="R223" s="90">
        <f t="shared" si="48"/>
        <v>0</v>
      </c>
      <c r="S223" s="90">
        <f t="shared" si="48"/>
        <v>0</v>
      </c>
      <c r="T223" s="90">
        <f t="shared" si="48"/>
        <v>0</v>
      </c>
      <c r="U223" s="101">
        <f t="shared" si="48"/>
        <v>0</v>
      </c>
      <c r="V223" s="71"/>
      <c r="W223" s="102">
        <f t="shared" si="49"/>
        <v>0</v>
      </c>
      <c r="X223" s="102">
        <f t="shared" si="49"/>
        <v>0</v>
      </c>
      <c r="Y223" s="90">
        <f t="shared" si="49"/>
        <v>0</v>
      </c>
      <c r="Z223" s="102">
        <f t="shared" si="49"/>
        <v>0</v>
      </c>
      <c r="AA223" s="101" t="str">
        <f t="shared" si="49"/>
        <v>EA</v>
      </c>
      <c r="AB223" s="71"/>
      <c r="AC223" s="91">
        <v>1</v>
      </c>
      <c r="AD223" s="91">
        <v>1</v>
      </c>
      <c r="AE223" s="92" t="str">
        <f t="shared" si="41"/>
        <v>Price Line 207</v>
      </c>
      <c r="AF223" s="93">
        <f t="shared" si="44"/>
        <v>0</v>
      </c>
    </row>
    <row r="224" spans="1:32" ht="12.5" hidden="1">
      <c r="A224" s="28">
        <v>208</v>
      </c>
      <c r="B224" s="32">
        <v>51</v>
      </c>
      <c r="C224" s="32">
        <v>51</v>
      </c>
      <c r="J224" s="83">
        <f t="shared" si="47"/>
        <v>0</v>
      </c>
      <c r="K224" s="99">
        <v>208</v>
      </c>
      <c r="L224" s="100">
        <f t="shared" si="48"/>
        <v>1</v>
      </c>
      <c r="M224" s="90" t="str">
        <f t="shared" si="48"/>
        <v>Price Line 208</v>
      </c>
      <c r="N224" s="90">
        <f t="shared" si="48"/>
        <v>0</v>
      </c>
      <c r="O224" s="90">
        <f t="shared" si="48"/>
        <v>0</v>
      </c>
      <c r="P224" s="90">
        <f t="shared" si="48"/>
        <v>0</v>
      </c>
      <c r="Q224" s="90">
        <f t="shared" si="48"/>
        <v>0</v>
      </c>
      <c r="R224" s="90">
        <f t="shared" si="48"/>
        <v>0</v>
      </c>
      <c r="S224" s="90">
        <f t="shared" si="48"/>
        <v>0</v>
      </c>
      <c r="T224" s="90">
        <f t="shared" si="48"/>
        <v>0</v>
      </c>
      <c r="U224" s="101">
        <f t="shared" si="48"/>
        <v>0</v>
      </c>
      <c r="V224" s="71"/>
      <c r="W224" s="102">
        <f t="shared" si="49"/>
        <v>0</v>
      </c>
      <c r="X224" s="102">
        <f t="shared" si="49"/>
        <v>0</v>
      </c>
      <c r="Y224" s="90">
        <f t="shared" si="49"/>
        <v>0</v>
      </c>
      <c r="Z224" s="102">
        <f t="shared" si="49"/>
        <v>0</v>
      </c>
      <c r="AA224" s="101" t="str">
        <f t="shared" si="49"/>
        <v>EA</v>
      </c>
      <c r="AB224" s="71"/>
      <c r="AC224" s="91">
        <v>1</v>
      </c>
      <c r="AD224" s="91">
        <v>1</v>
      </c>
      <c r="AE224" s="92" t="str">
        <f t="shared" si="41"/>
        <v>Price Line 208</v>
      </c>
      <c r="AF224" s="93">
        <f t="shared" si="44"/>
        <v>0</v>
      </c>
    </row>
    <row r="225" spans="1:32" ht="12.5" hidden="1">
      <c r="A225" s="28">
        <v>209</v>
      </c>
      <c r="B225" s="32">
        <v>52</v>
      </c>
      <c r="C225" s="32">
        <v>52</v>
      </c>
      <c r="J225" s="83">
        <f t="shared" si="47"/>
        <v>0</v>
      </c>
      <c r="K225" s="99">
        <v>209</v>
      </c>
      <c r="L225" s="100">
        <f t="shared" ref="L225:U240" si="50">INDEX(L$420:L$1632,MATCH($K225,$K$420:$K$1632,0)+MATCH("Option "&amp;$D$9,$K$420:$K$1230,0)-1,1)</f>
        <v>1</v>
      </c>
      <c r="M225" s="90" t="str">
        <f t="shared" si="50"/>
        <v>Price Line 209</v>
      </c>
      <c r="N225" s="90">
        <f t="shared" si="50"/>
        <v>0</v>
      </c>
      <c r="O225" s="90">
        <f t="shared" si="50"/>
        <v>0</v>
      </c>
      <c r="P225" s="90">
        <f t="shared" si="50"/>
        <v>0</v>
      </c>
      <c r="Q225" s="90">
        <f t="shared" si="50"/>
        <v>0</v>
      </c>
      <c r="R225" s="90">
        <f t="shared" si="50"/>
        <v>0</v>
      </c>
      <c r="S225" s="90">
        <f t="shared" si="50"/>
        <v>0</v>
      </c>
      <c r="T225" s="90">
        <f t="shared" si="50"/>
        <v>0</v>
      </c>
      <c r="U225" s="101">
        <f t="shared" si="50"/>
        <v>0</v>
      </c>
      <c r="V225" s="71"/>
      <c r="W225" s="102">
        <f t="shared" ref="W225:AA240" si="51">INDEX(W$420:W$1632,MATCH($K225,$K$420:$K$1632,0)+MATCH("Option "&amp;$D$9,$K$420:$K$1230,0)-1,1)</f>
        <v>0</v>
      </c>
      <c r="X225" s="102">
        <f t="shared" si="51"/>
        <v>0</v>
      </c>
      <c r="Y225" s="90">
        <f t="shared" si="51"/>
        <v>0</v>
      </c>
      <c r="Z225" s="102">
        <f t="shared" si="51"/>
        <v>0</v>
      </c>
      <c r="AA225" s="101" t="str">
        <f t="shared" si="51"/>
        <v>EA</v>
      </c>
      <c r="AB225" s="71"/>
      <c r="AC225" s="91">
        <v>1</v>
      </c>
      <c r="AD225" s="91">
        <v>1</v>
      </c>
      <c r="AE225" s="92" t="str">
        <f t="shared" si="41"/>
        <v>Price Line 209</v>
      </c>
      <c r="AF225" s="93">
        <f t="shared" si="44"/>
        <v>0</v>
      </c>
    </row>
    <row r="226" spans="1:32" ht="12.5" hidden="1">
      <c r="A226" s="28">
        <v>210</v>
      </c>
      <c r="B226" s="32">
        <v>53</v>
      </c>
      <c r="C226" s="32">
        <v>53</v>
      </c>
      <c r="J226" s="83">
        <f t="shared" si="47"/>
        <v>0</v>
      </c>
      <c r="K226" s="99">
        <v>210</v>
      </c>
      <c r="L226" s="100">
        <f t="shared" si="50"/>
        <v>1</v>
      </c>
      <c r="M226" s="90" t="str">
        <f t="shared" si="50"/>
        <v>Price Line 210</v>
      </c>
      <c r="N226" s="90">
        <f t="shared" si="50"/>
        <v>0</v>
      </c>
      <c r="O226" s="90">
        <f t="shared" si="50"/>
        <v>0</v>
      </c>
      <c r="P226" s="90">
        <f t="shared" si="50"/>
        <v>0</v>
      </c>
      <c r="Q226" s="90">
        <f t="shared" si="50"/>
        <v>0</v>
      </c>
      <c r="R226" s="90">
        <f t="shared" si="50"/>
        <v>0</v>
      </c>
      <c r="S226" s="90">
        <f t="shared" si="50"/>
        <v>0</v>
      </c>
      <c r="T226" s="90">
        <f t="shared" si="50"/>
        <v>0</v>
      </c>
      <c r="U226" s="101">
        <f t="shared" si="50"/>
        <v>0</v>
      </c>
      <c r="V226" s="71"/>
      <c r="W226" s="102">
        <f t="shared" si="51"/>
        <v>0</v>
      </c>
      <c r="X226" s="102">
        <f t="shared" si="51"/>
        <v>0</v>
      </c>
      <c r="Y226" s="90">
        <f t="shared" si="51"/>
        <v>0</v>
      </c>
      <c r="Z226" s="102">
        <f t="shared" si="51"/>
        <v>0</v>
      </c>
      <c r="AA226" s="101" t="str">
        <f t="shared" si="51"/>
        <v>EA</v>
      </c>
      <c r="AB226" s="71"/>
      <c r="AC226" s="91">
        <v>1</v>
      </c>
      <c r="AD226" s="91">
        <v>1</v>
      </c>
      <c r="AE226" s="92" t="str">
        <f t="shared" si="41"/>
        <v>Price Line 210</v>
      </c>
      <c r="AF226" s="93">
        <f t="shared" si="44"/>
        <v>0</v>
      </c>
    </row>
    <row r="227" spans="1:32" ht="12.5" hidden="1">
      <c r="A227" s="28">
        <v>211</v>
      </c>
      <c r="B227" s="32">
        <v>54</v>
      </c>
      <c r="C227" s="32">
        <v>54</v>
      </c>
      <c r="J227" s="83">
        <f t="shared" si="47"/>
        <v>0</v>
      </c>
      <c r="K227" s="99">
        <v>211</v>
      </c>
      <c r="L227" s="100">
        <f t="shared" si="50"/>
        <v>1</v>
      </c>
      <c r="M227" s="90" t="str">
        <f t="shared" si="50"/>
        <v>Price Line 211</v>
      </c>
      <c r="N227" s="90">
        <f t="shared" si="50"/>
        <v>0</v>
      </c>
      <c r="O227" s="90">
        <f t="shared" si="50"/>
        <v>0</v>
      </c>
      <c r="P227" s="90">
        <f t="shared" si="50"/>
        <v>0</v>
      </c>
      <c r="Q227" s="90">
        <f t="shared" si="50"/>
        <v>0</v>
      </c>
      <c r="R227" s="90">
        <f t="shared" si="50"/>
        <v>0</v>
      </c>
      <c r="S227" s="90">
        <f t="shared" si="50"/>
        <v>0</v>
      </c>
      <c r="T227" s="90">
        <f t="shared" si="50"/>
        <v>0</v>
      </c>
      <c r="U227" s="101">
        <f t="shared" si="50"/>
        <v>0</v>
      </c>
      <c r="V227" s="71"/>
      <c r="W227" s="102">
        <f t="shared" si="51"/>
        <v>0</v>
      </c>
      <c r="X227" s="102">
        <f t="shared" si="51"/>
        <v>0</v>
      </c>
      <c r="Y227" s="90">
        <f t="shared" si="51"/>
        <v>0</v>
      </c>
      <c r="Z227" s="102">
        <f t="shared" si="51"/>
        <v>0</v>
      </c>
      <c r="AA227" s="101" t="str">
        <f t="shared" si="51"/>
        <v>EA</v>
      </c>
      <c r="AB227" s="71"/>
      <c r="AC227" s="91">
        <v>1</v>
      </c>
      <c r="AD227" s="91">
        <v>1</v>
      </c>
      <c r="AE227" s="92" t="str">
        <f t="shared" si="41"/>
        <v>Price Line 211</v>
      </c>
      <c r="AF227" s="93">
        <f t="shared" si="44"/>
        <v>0</v>
      </c>
    </row>
    <row r="228" spans="1:32" ht="12.5" hidden="1">
      <c r="A228" s="28">
        <v>212</v>
      </c>
      <c r="B228" s="32">
        <v>55</v>
      </c>
      <c r="C228" s="32">
        <v>55</v>
      </c>
      <c r="J228" s="83">
        <f t="shared" si="47"/>
        <v>0</v>
      </c>
      <c r="K228" s="99">
        <v>212</v>
      </c>
      <c r="L228" s="100">
        <f t="shared" si="50"/>
        <v>1</v>
      </c>
      <c r="M228" s="90" t="str">
        <f t="shared" si="50"/>
        <v>Price Line 212</v>
      </c>
      <c r="N228" s="90">
        <f t="shared" si="50"/>
        <v>0</v>
      </c>
      <c r="O228" s="90">
        <f t="shared" si="50"/>
        <v>0</v>
      </c>
      <c r="P228" s="90">
        <f t="shared" si="50"/>
        <v>0</v>
      </c>
      <c r="Q228" s="90">
        <f t="shared" si="50"/>
        <v>0</v>
      </c>
      <c r="R228" s="90">
        <f t="shared" si="50"/>
        <v>0</v>
      </c>
      <c r="S228" s="90">
        <f t="shared" si="50"/>
        <v>0</v>
      </c>
      <c r="T228" s="90">
        <f t="shared" si="50"/>
        <v>0</v>
      </c>
      <c r="U228" s="101">
        <f t="shared" si="50"/>
        <v>0</v>
      </c>
      <c r="V228" s="71"/>
      <c r="W228" s="102">
        <f t="shared" si="51"/>
        <v>0</v>
      </c>
      <c r="X228" s="102">
        <f t="shared" si="51"/>
        <v>0</v>
      </c>
      <c r="Y228" s="90">
        <f t="shared" si="51"/>
        <v>0</v>
      </c>
      <c r="Z228" s="102">
        <f t="shared" si="51"/>
        <v>0</v>
      </c>
      <c r="AA228" s="101" t="str">
        <f t="shared" si="51"/>
        <v>EA</v>
      </c>
      <c r="AB228" s="71"/>
      <c r="AC228" s="91">
        <v>1</v>
      </c>
      <c r="AD228" s="91">
        <v>1</v>
      </c>
      <c r="AE228" s="92" t="str">
        <f t="shared" si="41"/>
        <v>Price Line 212</v>
      </c>
      <c r="AF228" s="93">
        <f t="shared" si="44"/>
        <v>0</v>
      </c>
    </row>
    <row r="229" spans="1:32" ht="12.5" hidden="1">
      <c r="A229" s="28">
        <v>213</v>
      </c>
      <c r="B229" s="32">
        <v>56</v>
      </c>
      <c r="C229" s="32">
        <v>56</v>
      </c>
      <c r="J229" s="83">
        <f t="shared" si="47"/>
        <v>0</v>
      </c>
      <c r="K229" s="99">
        <v>213</v>
      </c>
      <c r="L229" s="100">
        <f t="shared" si="50"/>
        <v>1</v>
      </c>
      <c r="M229" s="90" t="str">
        <f t="shared" si="50"/>
        <v>Price Line 213</v>
      </c>
      <c r="N229" s="90">
        <f t="shared" si="50"/>
        <v>0</v>
      </c>
      <c r="O229" s="90">
        <f t="shared" si="50"/>
        <v>0</v>
      </c>
      <c r="P229" s="90">
        <f t="shared" si="50"/>
        <v>0</v>
      </c>
      <c r="Q229" s="90">
        <f t="shared" si="50"/>
        <v>0</v>
      </c>
      <c r="R229" s="90">
        <f t="shared" si="50"/>
        <v>0</v>
      </c>
      <c r="S229" s="90">
        <f t="shared" si="50"/>
        <v>0</v>
      </c>
      <c r="T229" s="90">
        <f t="shared" si="50"/>
        <v>0</v>
      </c>
      <c r="U229" s="101">
        <f t="shared" si="50"/>
        <v>0</v>
      </c>
      <c r="V229" s="71"/>
      <c r="W229" s="102">
        <f t="shared" si="51"/>
        <v>0</v>
      </c>
      <c r="X229" s="102">
        <f t="shared" si="51"/>
        <v>0</v>
      </c>
      <c r="Y229" s="90">
        <f t="shared" si="51"/>
        <v>0</v>
      </c>
      <c r="Z229" s="102">
        <f t="shared" si="51"/>
        <v>0</v>
      </c>
      <c r="AA229" s="101" t="str">
        <f t="shared" si="51"/>
        <v>EA</v>
      </c>
      <c r="AB229" s="71"/>
      <c r="AC229" s="91">
        <v>1</v>
      </c>
      <c r="AD229" s="91">
        <v>1</v>
      </c>
      <c r="AE229" s="92" t="str">
        <f t="shared" si="41"/>
        <v>Price Line 213</v>
      </c>
      <c r="AF229" s="93">
        <f t="shared" si="44"/>
        <v>0</v>
      </c>
    </row>
    <row r="230" spans="1:32" ht="12.5" hidden="1">
      <c r="J230" s="83">
        <f t="shared" si="47"/>
        <v>0</v>
      </c>
      <c r="K230" s="99">
        <v>214</v>
      </c>
      <c r="L230" s="100">
        <f t="shared" si="50"/>
        <v>1</v>
      </c>
      <c r="M230" s="90" t="str">
        <f t="shared" si="50"/>
        <v>Price Line 214</v>
      </c>
      <c r="N230" s="90">
        <f t="shared" si="50"/>
        <v>0</v>
      </c>
      <c r="O230" s="90">
        <f t="shared" si="50"/>
        <v>0</v>
      </c>
      <c r="P230" s="90">
        <f t="shared" si="50"/>
        <v>0</v>
      </c>
      <c r="Q230" s="90">
        <f t="shared" si="50"/>
        <v>0</v>
      </c>
      <c r="R230" s="90">
        <f t="shared" si="50"/>
        <v>0</v>
      </c>
      <c r="S230" s="90">
        <f t="shared" si="50"/>
        <v>0</v>
      </c>
      <c r="T230" s="90">
        <f t="shared" si="50"/>
        <v>0</v>
      </c>
      <c r="U230" s="101">
        <f t="shared" si="50"/>
        <v>0</v>
      </c>
      <c r="V230" s="71"/>
      <c r="W230" s="102">
        <f t="shared" si="51"/>
        <v>0</v>
      </c>
      <c r="X230" s="102">
        <f t="shared" si="51"/>
        <v>0</v>
      </c>
      <c r="Y230" s="90">
        <f t="shared" si="51"/>
        <v>0</v>
      </c>
      <c r="Z230" s="102">
        <f t="shared" si="51"/>
        <v>0</v>
      </c>
      <c r="AA230" s="101" t="str">
        <f t="shared" si="51"/>
        <v>EA</v>
      </c>
      <c r="AB230" s="71"/>
      <c r="AC230" s="91">
        <v>1</v>
      </c>
      <c r="AD230" s="91">
        <v>1</v>
      </c>
      <c r="AE230" s="92" t="str">
        <f t="shared" si="41"/>
        <v>Price Line 214</v>
      </c>
      <c r="AF230" s="93">
        <f t="shared" ref="AF230:AF293" si="52">INDEX(Y230:Z230,1,MATCH(_WellBasketSelection,$Y$15:$Z$15,0))*U230</f>
        <v>0</v>
      </c>
    </row>
    <row r="231" spans="1:32" ht="12.5" hidden="1">
      <c r="J231" s="83">
        <f t="shared" si="47"/>
        <v>0</v>
      </c>
      <c r="K231" s="99">
        <v>215</v>
      </c>
      <c r="L231" s="100">
        <f t="shared" si="50"/>
        <v>1</v>
      </c>
      <c r="M231" s="90" t="str">
        <f t="shared" si="50"/>
        <v>Price Line 215</v>
      </c>
      <c r="N231" s="90">
        <f t="shared" si="50"/>
        <v>0</v>
      </c>
      <c r="O231" s="90">
        <f t="shared" si="50"/>
        <v>0</v>
      </c>
      <c r="P231" s="90">
        <f t="shared" si="50"/>
        <v>0</v>
      </c>
      <c r="Q231" s="90">
        <f t="shared" si="50"/>
        <v>0</v>
      </c>
      <c r="R231" s="90">
        <f t="shared" si="50"/>
        <v>0</v>
      </c>
      <c r="S231" s="90">
        <f t="shared" si="50"/>
        <v>0</v>
      </c>
      <c r="T231" s="90">
        <f t="shared" si="50"/>
        <v>0</v>
      </c>
      <c r="U231" s="101">
        <f t="shared" si="50"/>
        <v>0</v>
      </c>
      <c r="V231" s="71"/>
      <c r="W231" s="102">
        <f t="shared" si="51"/>
        <v>0</v>
      </c>
      <c r="X231" s="102">
        <f t="shared" si="51"/>
        <v>0</v>
      </c>
      <c r="Y231" s="90">
        <f t="shared" si="51"/>
        <v>0</v>
      </c>
      <c r="Z231" s="102">
        <f t="shared" si="51"/>
        <v>0</v>
      </c>
      <c r="AA231" s="101" t="str">
        <f t="shared" si="51"/>
        <v>EA</v>
      </c>
      <c r="AB231" s="71"/>
      <c r="AC231" s="91">
        <v>1</v>
      </c>
      <c r="AD231" s="91">
        <v>1</v>
      </c>
      <c r="AE231" s="92" t="str">
        <f t="shared" si="41"/>
        <v>Price Line 215</v>
      </c>
      <c r="AF231" s="93">
        <f t="shared" si="52"/>
        <v>0</v>
      </c>
    </row>
    <row r="232" spans="1:32" ht="12.5" hidden="1">
      <c r="J232" s="83">
        <f t="shared" si="47"/>
        <v>0</v>
      </c>
      <c r="K232" s="99">
        <v>216</v>
      </c>
      <c r="L232" s="100">
        <f t="shared" si="50"/>
        <v>1</v>
      </c>
      <c r="M232" s="90" t="str">
        <f t="shared" si="50"/>
        <v>Price Line 216</v>
      </c>
      <c r="N232" s="90">
        <f t="shared" si="50"/>
        <v>0</v>
      </c>
      <c r="O232" s="90">
        <f t="shared" si="50"/>
        <v>0</v>
      </c>
      <c r="P232" s="90">
        <f t="shared" si="50"/>
        <v>0</v>
      </c>
      <c r="Q232" s="90">
        <f t="shared" si="50"/>
        <v>0</v>
      </c>
      <c r="R232" s="90">
        <f t="shared" si="50"/>
        <v>0</v>
      </c>
      <c r="S232" s="90">
        <f t="shared" si="50"/>
        <v>0</v>
      </c>
      <c r="T232" s="90">
        <f t="shared" si="50"/>
        <v>0</v>
      </c>
      <c r="U232" s="101">
        <f t="shared" si="50"/>
        <v>0</v>
      </c>
      <c r="V232" s="71"/>
      <c r="W232" s="102">
        <f t="shared" si="51"/>
        <v>0</v>
      </c>
      <c r="X232" s="102">
        <f t="shared" si="51"/>
        <v>0</v>
      </c>
      <c r="Y232" s="90">
        <f t="shared" si="51"/>
        <v>0</v>
      </c>
      <c r="Z232" s="102">
        <f t="shared" si="51"/>
        <v>0</v>
      </c>
      <c r="AA232" s="101" t="str">
        <f t="shared" si="51"/>
        <v>EA</v>
      </c>
      <c r="AB232" s="71"/>
      <c r="AC232" s="91">
        <v>1</v>
      </c>
      <c r="AD232" s="91">
        <v>1</v>
      </c>
      <c r="AE232" s="92" t="str">
        <f t="shared" si="41"/>
        <v>Price Line 216</v>
      </c>
      <c r="AF232" s="93">
        <f t="shared" si="52"/>
        <v>0</v>
      </c>
    </row>
    <row r="233" spans="1:32" ht="12.5" hidden="1">
      <c r="J233" s="83">
        <f t="shared" si="47"/>
        <v>0</v>
      </c>
      <c r="K233" s="99">
        <v>217</v>
      </c>
      <c r="L233" s="100">
        <f t="shared" si="50"/>
        <v>1</v>
      </c>
      <c r="M233" s="90" t="str">
        <f t="shared" si="50"/>
        <v>Price Line 217</v>
      </c>
      <c r="N233" s="90">
        <f t="shared" si="50"/>
        <v>0</v>
      </c>
      <c r="O233" s="90">
        <f t="shared" si="50"/>
        <v>0</v>
      </c>
      <c r="P233" s="90">
        <f t="shared" si="50"/>
        <v>0</v>
      </c>
      <c r="Q233" s="90">
        <f t="shared" si="50"/>
        <v>0</v>
      </c>
      <c r="R233" s="90">
        <f t="shared" si="50"/>
        <v>0</v>
      </c>
      <c r="S233" s="90">
        <f t="shared" si="50"/>
        <v>0</v>
      </c>
      <c r="T233" s="90">
        <f t="shared" si="50"/>
        <v>0</v>
      </c>
      <c r="U233" s="101">
        <f t="shared" si="50"/>
        <v>0</v>
      </c>
      <c r="V233" s="71"/>
      <c r="W233" s="102">
        <f t="shared" si="51"/>
        <v>0</v>
      </c>
      <c r="X233" s="102">
        <f t="shared" si="51"/>
        <v>0</v>
      </c>
      <c r="Y233" s="90">
        <f t="shared" si="51"/>
        <v>0</v>
      </c>
      <c r="Z233" s="102">
        <f t="shared" si="51"/>
        <v>0</v>
      </c>
      <c r="AA233" s="101" t="str">
        <f t="shared" si="51"/>
        <v>EA</v>
      </c>
      <c r="AB233" s="71"/>
      <c r="AC233" s="91">
        <v>1</v>
      </c>
      <c r="AD233" s="91">
        <v>1</v>
      </c>
      <c r="AE233" s="92" t="str">
        <f t="shared" si="41"/>
        <v>Price Line 217</v>
      </c>
      <c r="AF233" s="93">
        <f t="shared" si="52"/>
        <v>0</v>
      </c>
    </row>
    <row r="234" spans="1:32" ht="12.5" hidden="1">
      <c r="J234" s="83">
        <f t="shared" si="47"/>
        <v>0</v>
      </c>
      <c r="K234" s="99">
        <v>218</v>
      </c>
      <c r="L234" s="100">
        <f t="shared" si="50"/>
        <v>1</v>
      </c>
      <c r="M234" s="90" t="str">
        <f t="shared" si="50"/>
        <v>Price Line 218</v>
      </c>
      <c r="N234" s="90">
        <f t="shared" si="50"/>
        <v>0</v>
      </c>
      <c r="O234" s="90">
        <f t="shared" si="50"/>
        <v>0</v>
      </c>
      <c r="P234" s="90">
        <f t="shared" si="50"/>
        <v>0</v>
      </c>
      <c r="Q234" s="90">
        <f t="shared" si="50"/>
        <v>0</v>
      </c>
      <c r="R234" s="90">
        <f t="shared" si="50"/>
        <v>0</v>
      </c>
      <c r="S234" s="90">
        <f t="shared" si="50"/>
        <v>0</v>
      </c>
      <c r="T234" s="90">
        <f t="shared" si="50"/>
        <v>0</v>
      </c>
      <c r="U234" s="101">
        <f t="shared" si="50"/>
        <v>0</v>
      </c>
      <c r="V234" s="71"/>
      <c r="W234" s="102">
        <f t="shared" si="51"/>
        <v>0</v>
      </c>
      <c r="X234" s="102">
        <f t="shared" si="51"/>
        <v>0</v>
      </c>
      <c r="Y234" s="90">
        <f t="shared" si="51"/>
        <v>0</v>
      </c>
      <c r="Z234" s="102">
        <f t="shared" si="51"/>
        <v>0</v>
      </c>
      <c r="AA234" s="101" t="str">
        <f t="shared" si="51"/>
        <v>EA</v>
      </c>
      <c r="AB234" s="71"/>
      <c r="AC234" s="91">
        <v>1</v>
      </c>
      <c r="AD234" s="91">
        <v>1</v>
      </c>
      <c r="AE234" s="92" t="str">
        <f t="shared" ref="AE234:AE297" si="53">$M234</f>
        <v>Price Line 218</v>
      </c>
      <c r="AF234" s="93">
        <f t="shared" si="52"/>
        <v>0</v>
      </c>
    </row>
    <row r="235" spans="1:32" ht="12.5" hidden="1">
      <c r="J235" s="83">
        <f t="shared" si="47"/>
        <v>0</v>
      </c>
      <c r="K235" s="99">
        <v>219</v>
      </c>
      <c r="L235" s="100">
        <f t="shared" si="50"/>
        <v>1</v>
      </c>
      <c r="M235" s="90" t="str">
        <f t="shared" si="50"/>
        <v>Price Line 219</v>
      </c>
      <c r="N235" s="90">
        <f t="shared" si="50"/>
        <v>0</v>
      </c>
      <c r="O235" s="90">
        <f t="shared" si="50"/>
        <v>0</v>
      </c>
      <c r="P235" s="90">
        <f t="shared" si="50"/>
        <v>0</v>
      </c>
      <c r="Q235" s="90">
        <f t="shared" si="50"/>
        <v>0</v>
      </c>
      <c r="R235" s="90">
        <f t="shared" si="50"/>
        <v>0</v>
      </c>
      <c r="S235" s="90">
        <f t="shared" si="50"/>
        <v>0</v>
      </c>
      <c r="T235" s="90">
        <f t="shared" si="50"/>
        <v>0</v>
      </c>
      <c r="U235" s="101">
        <f t="shared" si="50"/>
        <v>0</v>
      </c>
      <c r="V235" s="71"/>
      <c r="W235" s="102">
        <f t="shared" si="51"/>
        <v>0</v>
      </c>
      <c r="X235" s="102">
        <f t="shared" si="51"/>
        <v>0</v>
      </c>
      <c r="Y235" s="90">
        <f t="shared" si="51"/>
        <v>0</v>
      </c>
      <c r="Z235" s="102">
        <f t="shared" si="51"/>
        <v>0</v>
      </c>
      <c r="AA235" s="101" t="str">
        <f t="shared" si="51"/>
        <v>EA</v>
      </c>
      <c r="AB235" s="71"/>
      <c r="AC235" s="91">
        <v>1</v>
      </c>
      <c r="AD235" s="91">
        <v>1</v>
      </c>
      <c r="AE235" s="92" t="str">
        <f t="shared" si="53"/>
        <v>Price Line 219</v>
      </c>
      <c r="AF235" s="93">
        <f t="shared" si="52"/>
        <v>0</v>
      </c>
    </row>
    <row r="236" spans="1:32" ht="12.5" hidden="1">
      <c r="J236" s="83">
        <f t="shared" si="47"/>
        <v>0</v>
      </c>
      <c r="K236" s="99">
        <v>220</v>
      </c>
      <c r="L236" s="100">
        <f t="shared" si="50"/>
        <v>1</v>
      </c>
      <c r="M236" s="90" t="str">
        <f t="shared" si="50"/>
        <v>Price Line 220</v>
      </c>
      <c r="N236" s="90">
        <f t="shared" si="50"/>
        <v>0</v>
      </c>
      <c r="O236" s="90">
        <f t="shared" si="50"/>
        <v>0</v>
      </c>
      <c r="P236" s="90">
        <f t="shared" si="50"/>
        <v>0</v>
      </c>
      <c r="Q236" s="90">
        <f t="shared" si="50"/>
        <v>0</v>
      </c>
      <c r="R236" s="90">
        <f t="shared" si="50"/>
        <v>0</v>
      </c>
      <c r="S236" s="90">
        <f t="shared" si="50"/>
        <v>0</v>
      </c>
      <c r="T236" s="90">
        <f t="shared" si="50"/>
        <v>0</v>
      </c>
      <c r="U236" s="101">
        <f t="shared" si="50"/>
        <v>0</v>
      </c>
      <c r="V236" s="71"/>
      <c r="W236" s="102">
        <f t="shared" si="51"/>
        <v>0</v>
      </c>
      <c r="X236" s="102">
        <f t="shared" si="51"/>
        <v>0</v>
      </c>
      <c r="Y236" s="90">
        <f t="shared" si="51"/>
        <v>0</v>
      </c>
      <c r="Z236" s="102">
        <f t="shared" si="51"/>
        <v>0</v>
      </c>
      <c r="AA236" s="101" t="str">
        <f t="shared" si="51"/>
        <v>EA</v>
      </c>
      <c r="AB236" s="71"/>
      <c r="AC236" s="91">
        <v>1</v>
      </c>
      <c r="AD236" s="91">
        <v>1</v>
      </c>
      <c r="AE236" s="92" t="str">
        <f t="shared" si="53"/>
        <v>Price Line 220</v>
      </c>
      <c r="AF236" s="93">
        <f t="shared" si="52"/>
        <v>0</v>
      </c>
    </row>
    <row r="237" spans="1:32" ht="12.5" hidden="1">
      <c r="J237" s="83">
        <f t="shared" si="47"/>
        <v>0</v>
      </c>
      <c r="K237" s="99">
        <v>221</v>
      </c>
      <c r="L237" s="100">
        <f t="shared" si="50"/>
        <v>1</v>
      </c>
      <c r="M237" s="90" t="str">
        <f t="shared" si="50"/>
        <v>Price Line 221</v>
      </c>
      <c r="N237" s="90">
        <f t="shared" si="50"/>
        <v>0</v>
      </c>
      <c r="O237" s="90">
        <f t="shared" si="50"/>
        <v>0</v>
      </c>
      <c r="P237" s="90">
        <f t="shared" si="50"/>
        <v>0</v>
      </c>
      <c r="Q237" s="90">
        <f t="shared" si="50"/>
        <v>0</v>
      </c>
      <c r="R237" s="90">
        <f t="shared" si="50"/>
        <v>0</v>
      </c>
      <c r="S237" s="90">
        <f t="shared" si="50"/>
        <v>0</v>
      </c>
      <c r="T237" s="90">
        <f t="shared" si="50"/>
        <v>0</v>
      </c>
      <c r="U237" s="101">
        <f t="shared" si="50"/>
        <v>0</v>
      </c>
      <c r="V237" s="71"/>
      <c r="W237" s="102">
        <f t="shared" si="51"/>
        <v>0</v>
      </c>
      <c r="X237" s="102">
        <f t="shared" si="51"/>
        <v>0</v>
      </c>
      <c r="Y237" s="90">
        <f t="shared" si="51"/>
        <v>0</v>
      </c>
      <c r="Z237" s="102">
        <f t="shared" si="51"/>
        <v>0</v>
      </c>
      <c r="AA237" s="101" t="str">
        <f t="shared" si="51"/>
        <v>EA</v>
      </c>
      <c r="AB237" s="71"/>
      <c r="AC237" s="91">
        <v>1</v>
      </c>
      <c r="AD237" s="91">
        <v>1</v>
      </c>
      <c r="AE237" s="92" t="str">
        <f t="shared" si="53"/>
        <v>Price Line 221</v>
      </c>
      <c r="AF237" s="93">
        <f t="shared" si="52"/>
        <v>0</v>
      </c>
    </row>
    <row r="238" spans="1:32" ht="12.5" hidden="1">
      <c r="J238" s="83">
        <f t="shared" si="47"/>
        <v>0</v>
      </c>
      <c r="K238" s="99">
        <v>222</v>
      </c>
      <c r="L238" s="100">
        <f t="shared" si="50"/>
        <v>1</v>
      </c>
      <c r="M238" s="90" t="str">
        <f t="shared" si="50"/>
        <v>Price Line 222</v>
      </c>
      <c r="N238" s="90">
        <f t="shared" si="50"/>
        <v>0</v>
      </c>
      <c r="O238" s="90">
        <f t="shared" si="50"/>
        <v>0</v>
      </c>
      <c r="P238" s="90">
        <f t="shared" si="50"/>
        <v>0</v>
      </c>
      <c r="Q238" s="90">
        <f t="shared" si="50"/>
        <v>0</v>
      </c>
      <c r="R238" s="90">
        <f t="shared" si="50"/>
        <v>0</v>
      </c>
      <c r="S238" s="90">
        <f t="shared" si="50"/>
        <v>0</v>
      </c>
      <c r="T238" s="90">
        <f t="shared" si="50"/>
        <v>0</v>
      </c>
      <c r="U238" s="101">
        <f t="shared" si="50"/>
        <v>0</v>
      </c>
      <c r="V238" s="71"/>
      <c r="W238" s="102">
        <f t="shared" si="51"/>
        <v>0</v>
      </c>
      <c r="X238" s="102">
        <f t="shared" si="51"/>
        <v>0</v>
      </c>
      <c r="Y238" s="90">
        <f t="shared" si="51"/>
        <v>0</v>
      </c>
      <c r="Z238" s="102">
        <f t="shared" si="51"/>
        <v>0</v>
      </c>
      <c r="AA238" s="101" t="str">
        <f t="shared" si="51"/>
        <v>EA</v>
      </c>
      <c r="AB238" s="71"/>
      <c r="AC238" s="91">
        <v>1</v>
      </c>
      <c r="AD238" s="91">
        <v>1</v>
      </c>
      <c r="AE238" s="92" t="str">
        <f t="shared" si="53"/>
        <v>Price Line 222</v>
      </c>
      <c r="AF238" s="93">
        <f t="shared" si="52"/>
        <v>0</v>
      </c>
    </row>
    <row r="239" spans="1:32" ht="12.5" hidden="1">
      <c r="J239" s="83">
        <f t="shared" si="47"/>
        <v>0</v>
      </c>
      <c r="K239" s="99">
        <v>223</v>
      </c>
      <c r="L239" s="100">
        <f t="shared" si="50"/>
        <v>1</v>
      </c>
      <c r="M239" s="90" t="str">
        <f t="shared" si="50"/>
        <v>Price Line 223</v>
      </c>
      <c r="N239" s="90">
        <f t="shared" si="50"/>
        <v>0</v>
      </c>
      <c r="O239" s="90">
        <f t="shared" si="50"/>
        <v>0</v>
      </c>
      <c r="P239" s="90">
        <f t="shared" si="50"/>
        <v>0</v>
      </c>
      <c r="Q239" s="90">
        <f t="shared" si="50"/>
        <v>0</v>
      </c>
      <c r="R239" s="90">
        <f t="shared" si="50"/>
        <v>0</v>
      </c>
      <c r="S239" s="90">
        <f t="shared" si="50"/>
        <v>0</v>
      </c>
      <c r="T239" s="90">
        <f t="shared" si="50"/>
        <v>0</v>
      </c>
      <c r="U239" s="101">
        <f t="shared" si="50"/>
        <v>0</v>
      </c>
      <c r="V239" s="71"/>
      <c r="W239" s="102">
        <f t="shared" si="51"/>
        <v>0</v>
      </c>
      <c r="X239" s="102">
        <f t="shared" si="51"/>
        <v>0</v>
      </c>
      <c r="Y239" s="90">
        <f t="shared" si="51"/>
        <v>0</v>
      </c>
      <c r="Z239" s="102">
        <f t="shared" si="51"/>
        <v>0</v>
      </c>
      <c r="AA239" s="101" t="str">
        <f t="shared" si="51"/>
        <v>EA</v>
      </c>
      <c r="AB239" s="71"/>
      <c r="AC239" s="91">
        <v>1</v>
      </c>
      <c r="AD239" s="91">
        <v>1</v>
      </c>
      <c r="AE239" s="92" t="str">
        <f t="shared" si="53"/>
        <v>Price Line 223</v>
      </c>
      <c r="AF239" s="93">
        <f t="shared" si="52"/>
        <v>0</v>
      </c>
    </row>
    <row r="240" spans="1:32" ht="12.5" hidden="1">
      <c r="J240" s="83">
        <f t="shared" si="47"/>
        <v>0</v>
      </c>
      <c r="K240" s="99">
        <v>224</v>
      </c>
      <c r="L240" s="100">
        <f t="shared" si="50"/>
        <v>1</v>
      </c>
      <c r="M240" s="90" t="str">
        <f t="shared" si="50"/>
        <v>Price Line 224</v>
      </c>
      <c r="N240" s="90">
        <f t="shared" si="50"/>
        <v>0</v>
      </c>
      <c r="O240" s="90">
        <f t="shared" si="50"/>
        <v>0</v>
      </c>
      <c r="P240" s="90">
        <f t="shared" si="50"/>
        <v>0</v>
      </c>
      <c r="Q240" s="90">
        <f t="shared" si="50"/>
        <v>0</v>
      </c>
      <c r="R240" s="90">
        <f t="shared" si="50"/>
        <v>0</v>
      </c>
      <c r="S240" s="90">
        <f t="shared" si="50"/>
        <v>0</v>
      </c>
      <c r="T240" s="90">
        <f t="shared" si="50"/>
        <v>0</v>
      </c>
      <c r="U240" s="101">
        <f t="shared" si="50"/>
        <v>0</v>
      </c>
      <c r="V240" s="71"/>
      <c r="W240" s="102">
        <f t="shared" si="51"/>
        <v>0</v>
      </c>
      <c r="X240" s="102">
        <f t="shared" si="51"/>
        <v>0</v>
      </c>
      <c r="Y240" s="90">
        <f t="shared" si="51"/>
        <v>0</v>
      </c>
      <c r="Z240" s="102">
        <f t="shared" si="51"/>
        <v>0</v>
      </c>
      <c r="AA240" s="101" t="str">
        <f t="shared" si="51"/>
        <v>EA</v>
      </c>
      <c r="AB240" s="71"/>
      <c r="AC240" s="91">
        <v>1</v>
      </c>
      <c r="AD240" s="91">
        <v>1</v>
      </c>
      <c r="AE240" s="92" t="str">
        <f t="shared" si="53"/>
        <v>Price Line 224</v>
      </c>
      <c r="AF240" s="93">
        <f t="shared" si="52"/>
        <v>0</v>
      </c>
    </row>
    <row r="241" spans="10:32" ht="12.5" hidden="1">
      <c r="J241" s="83">
        <f t="shared" si="47"/>
        <v>0</v>
      </c>
      <c r="K241" s="99">
        <v>225</v>
      </c>
      <c r="L241" s="100">
        <f t="shared" ref="L241:U256" si="54">INDEX(L$420:L$1632,MATCH($K241,$K$420:$K$1632,0)+MATCH("Option "&amp;$D$9,$K$420:$K$1230,0)-1,1)</f>
        <v>1</v>
      </c>
      <c r="M241" s="90" t="str">
        <f t="shared" si="54"/>
        <v>Price Line 225</v>
      </c>
      <c r="N241" s="90">
        <f t="shared" si="54"/>
        <v>0</v>
      </c>
      <c r="O241" s="90">
        <f t="shared" si="54"/>
        <v>0</v>
      </c>
      <c r="P241" s="90">
        <f t="shared" si="54"/>
        <v>0</v>
      </c>
      <c r="Q241" s="90">
        <f t="shared" si="54"/>
        <v>0</v>
      </c>
      <c r="R241" s="90">
        <f t="shared" si="54"/>
        <v>0</v>
      </c>
      <c r="S241" s="90">
        <f t="shared" si="54"/>
        <v>0</v>
      </c>
      <c r="T241" s="90">
        <f t="shared" si="54"/>
        <v>0</v>
      </c>
      <c r="U241" s="101">
        <f t="shared" si="54"/>
        <v>0</v>
      </c>
      <c r="V241" s="71"/>
      <c r="W241" s="102">
        <f t="shared" ref="W241:AA256" si="55">INDEX(W$420:W$1632,MATCH($K241,$K$420:$K$1632,0)+MATCH("Option "&amp;$D$9,$K$420:$K$1230,0)-1,1)</f>
        <v>0</v>
      </c>
      <c r="X241" s="102">
        <f t="shared" si="55"/>
        <v>0</v>
      </c>
      <c r="Y241" s="90">
        <f t="shared" si="55"/>
        <v>0</v>
      </c>
      <c r="Z241" s="102">
        <f t="shared" si="55"/>
        <v>0</v>
      </c>
      <c r="AA241" s="101" t="str">
        <f t="shared" si="55"/>
        <v>EA</v>
      </c>
      <c r="AB241" s="71"/>
      <c r="AC241" s="91">
        <v>1</v>
      </c>
      <c r="AD241" s="91">
        <v>1</v>
      </c>
      <c r="AE241" s="92" t="str">
        <f t="shared" si="53"/>
        <v>Price Line 225</v>
      </c>
      <c r="AF241" s="93">
        <f t="shared" si="52"/>
        <v>0</v>
      </c>
    </row>
    <row r="242" spans="10:32" ht="12.5" hidden="1">
      <c r="J242" s="83">
        <f t="shared" si="47"/>
        <v>0</v>
      </c>
      <c r="K242" s="99">
        <v>226</v>
      </c>
      <c r="L242" s="100">
        <f t="shared" si="54"/>
        <v>1</v>
      </c>
      <c r="M242" s="90" t="str">
        <f t="shared" si="54"/>
        <v>Price Line 226</v>
      </c>
      <c r="N242" s="90">
        <f t="shared" si="54"/>
        <v>0</v>
      </c>
      <c r="O242" s="90">
        <f t="shared" si="54"/>
        <v>0</v>
      </c>
      <c r="P242" s="90">
        <f t="shared" si="54"/>
        <v>0</v>
      </c>
      <c r="Q242" s="90">
        <f t="shared" si="54"/>
        <v>0</v>
      </c>
      <c r="R242" s="90">
        <f t="shared" si="54"/>
        <v>0</v>
      </c>
      <c r="S242" s="90">
        <f t="shared" si="54"/>
        <v>0</v>
      </c>
      <c r="T242" s="90">
        <f t="shared" si="54"/>
        <v>0</v>
      </c>
      <c r="U242" s="101">
        <f t="shared" si="54"/>
        <v>0</v>
      </c>
      <c r="V242" s="71"/>
      <c r="W242" s="102">
        <f t="shared" si="55"/>
        <v>0</v>
      </c>
      <c r="X242" s="102">
        <f t="shared" si="55"/>
        <v>0</v>
      </c>
      <c r="Y242" s="90">
        <f t="shared" si="55"/>
        <v>0</v>
      </c>
      <c r="Z242" s="102">
        <f t="shared" si="55"/>
        <v>0</v>
      </c>
      <c r="AA242" s="101" t="str">
        <f t="shared" si="55"/>
        <v>EA</v>
      </c>
      <c r="AB242" s="71"/>
      <c r="AC242" s="91">
        <v>1</v>
      </c>
      <c r="AD242" s="91">
        <v>1</v>
      </c>
      <c r="AE242" s="92" t="str">
        <f t="shared" si="53"/>
        <v>Price Line 226</v>
      </c>
      <c r="AF242" s="93">
        <f t="shared" si="52"/>
        <v>0</v>
      </c>
    </row>
    <row r="243" spans="10:32" ht="12.5" hidden="1">
      <c r="J243" s="83">
        <f t="shared" si="47"/>
        <v>0</v>
      </c>
      <c r="K243" s="99">
        <v>227</v>
      </c>
      <c r="L243" s="100">
        <f t="shared" si="54"/>
        <v>1</v>
      </c>
      <c r="M243" s="90" t="str">
        <f t="shared" si="54"/>
        <v>Price Line 227</v>
      </c>
      <c r="N243" s="90">
        <f t="shared" si="54"/>
        <v>0</v>
      </c>
      <c r="O243" s="90">
        <f t="shared" si="54"/>
        <v>0</v>
      </c>
      <c r="P243" s="90">
        <f t="shared" si="54"/>
        <v>0</v>
      </c>
      <c r="Q243" s="90">
        <f t="shared" si="54"/>
        <v>0</v>
      </c>
      <c r="R243" s="90">
        <f t="shared" si="54"/>
        <v>0</v>
      </c>
      <c r="S243" s="90">
        <f t="shared" si="54"/>
        <v>0</v>
      </c>
      <c r="T243" s="90">
        <f t="shared" si="54"/>
        <v>0</v>
      </c>
      <c r="U243" s="101">
        <f t="shared" si="54"/>
        <v>0</v>
      </c>
      <c r="V243" s="71"/>
      <c r="W243" s="102">
        <f t="shared" si="55"/>
        <v>0</v>
      </c>
      <c r="X243" s="102">
        <f t="shared" si="55"/>
        <v>0</v>
      </c>
      <c r="Y243" s="90">
        <f t="shared" si="55"/>
        <v>0</v>
      </c>
      <c r="Z243" s="102">
        <f t="shared" si="55"/>
        <v>0</v>
      </c>
      <c r="AA243" s="101" t="str">
        <f t="shared" si="55"/>
        <v>EA</v>
      </c>
      <c r="AB243" s="71"/>
      <c r="AC243" s="91">
        <v>1</v>
      </c>
      <c r="AD243" s="91">
        <v>1</v>
      </c>
      <c r="AE243" s="92" t="str">
        <f t="shared" si="53"/>
        <v>Price Line 227</v>
      </c>
      <c r="AF243" s="93">
        <f t="shared" si="52"/>
        <v>0</v>
      </c>
    </row>
    <row r="244" spans="10:32" ht="12.5" hidden="1">
      <c r="J244" s="83">
        <f t="shared" si="47"/>
        <v>0</v>
      </c>
      <c r="K244" s="99">
        <v>228</v>
      </c>
      <c r="L244" s="100">
        <f t="shared" si="54"/>
        <v>1</v>
      </c>
      <c r="M244" s="90" t="str">
        <f t="shared" si="54"/>
        <v>Price Line 228</v>
      </c>
      <c r="N244" s="90">
        <f t="shared" si="54"/>
        <v>0</v>
      </c>
      <c r="O244" s="90">
        <f t="shared" si="54"/>
        <v>0</v>
      </c>
      <c r="P244" s="90">
        <f t="shared" si="54"/>
        <v>0</v>
      </c>
      <c r="Q244" s="90">
        <f t="shared" si="54"/>
        <v>0</v>
      </c>
      <c r="R244" s="90">
        <f t="shared" si="54"/>
        <v>0</v>
      </c>
      <c r="S244" s="90">
        <f t="shared" si="54"/>
        <v>0</v>
      </c>
      <c r="T244" s="90">
        <f t="shared" si="54"/>
        <v>0</v>
      </c>
      <c r="U244" s="101">
        <f t="shared" si="54"/>
        <v>0</v>
      </c>
      <c r="V244" s="71"/>
      <c r="W244" s="102">
        <f t="shared" si="55"/>
        <v>0</v>
      </c>
      <c r="X244" s="102">
        <f t="shared" si="55"/>
        <v>0</v>
      </c>
      <c r="Y244" s="90">
        <f t="shared" si="55"/>
        <v>0</v>
      </c>
      <c r="Z244" s="102">
        <f t="shared" si="55"/>
        <v>0</v>
      </c>
      <c r="AA244" s="101" t="str">
        <f t="shared" si="55"/>
        <v>EA</v>
      </c>
      <c r="AB244" s="71"/>
      <c r="AC244" s="91">
        <v>1</v>
      </c>
      <c r="AD244" s="91">
        <v>1</v>
      </c>
      <c r="AE244" s="92" t="str">
        <f t="shared" si="53"/>
        <v>Price Line 228</v>
      </c>
      <c r="AF244" s="93">
        <f t="shared" si="52"/>
        <v>0</v>
      </c>
    </row>
    <row r="245" spans="10:32" ht="12.5" hidden="1">
      <c r="J245" s="83">
        <f t="shared" si="47"/>
        <v>0</v>
      </c>
      <c r="K245" s="99">
        <v>229</v>
      </c>
      <c r="L245" s="100">
        <f t="shared" si="54"/>
        <v>1</v>
      </c>
      <c r="M245" s="90" t="str">
        <f t="shared" si="54"/>
        <v>Price Line 229</v>
      </c>
      <c r="N245" s="90">
        <f t="shared" si="54"/>
        <v>0</v>
      </c>
      <c r="O245" s="90">
        <f t="shared" si="54"/>
        <v>0</v>
      </c>
      <c r="P245" s="90">
        <f t="shared" si="54"/>
        <v>0</v>
      </c>
      <c r="Q245" s="90">
        <f t="shared" si="54"/>
        <v>0</v>
      </c>
      <c r="R245" s="90">
        <f t="shared" si="54"/>
        <v>0</v>
      </c>
      <c r="S245" s="90">
        <f t="shared" si="54"/>
        <v>0</v>
      </c>
      <c r="T245" s="90">
        <f t="shared" si="54"/>
        <v>0</v>
      </c>
      <c r="U245" s="101">
        <f t="shared" si="54"/>
        <v>0</v>
      </c>
      <c r="V245" s="71"/>
      <c r="W245" s="102">
        <f t="shared" si="55"/>
        <v>0</v>
      </c>
      <c r="X245" s="102">
        <f t="shared" si="55"/>
        <v>0</v>
      </c>
      <c r="Y245" s="90">
        <f t="shared" si="55"/>
        <v>0</v>
      </c>
      <c r="Z245" s="102">
        <f t="shared" si="55"/>
        <v>0</v>
      </c>
      <c r="AA245" s="101" t="str">
        <f t="shared" si="55"/>
        <v>EA</v>
      </c>
      <c r="AB245" s="71"/>
      <c r="AC245" s="91">
        <v>1</v>
      </c>
      <c r="AD245" s="91">
        <v>1</v>
      </c>
      <c r="AE245" s="92" t="str">
        <f t="shared" si="53"/>
        <v>Price Line 229</v>
      </c>
      <c r="AF245" s="93">
        <f t="shared" si="52"/>
        <v>0</v>
      </c>
    </row>
    <row r="246" spans="10:32" ht="12.5" hidden="1">
      <c r="J246" s="83">
        <f t="shared" si="47"/>
        <v>0</v>
      </c>
      <c r="K246" s="99">
        <v>230</v>
      </c>
      <c r="L246" s="100">
        <f t="shared" si="54"/>
        <v>1</v>
      </c>
      <c r="M246" s="90" t="str">
        <f t="shared" si="54"/>
        <v>Price Line 230</v>
      </c>
      <c r="N246" s="90">
        <f t="shared" si="54"/>
        <v>0</v>
      </c>
      <c r="O246" s="90">
        <f t="shared" si="54"/>
        <v>0</v>
      </c>
      <c r="P246" s="90">
        <f t="shared" si="54"/>
        <v>0</v>
      </c>
      <c r="Q246" s="90">
        <f t="shared" si="54"/>
        <v>0</v>
      </c>
      <c r="R246" s="90">
        <f t="shared" si="54"/>
        <v>0</v>
      </c>
      <c r="S246" s="90">
        <f t="shared" si="54"/>
        <v>0</v>
      </c>
      <c r="T246" s="90">
        <f t="shared" si="54"/>
        <v>0</v>
      </c>
      <c r="U246" s="101">
        <f t="shared" si="54"/>
        <v>0</v>
      </c>
      <c r="V246" s="71"/>
      <c r="W246" s="102">
        <f t="shared" si="55"/>
        <v>0</v>
      </c>
      <c r="X246" s="102">
        <f t="shared" si="55"/>
        <v>0</v>
      </c>
      <c r="Y246" s="90">
        <f t="shared" si="55"/>
        <v>0</v>
      </c>
      <c r="Z246" s="102">
        <f t="shared" si="55"/>
        <v>0</v>
      </c>
      <c r="AA246" s="101" t="str">
        <f t="shared" si="55"/>
        <v>EA</v>
      </c>
      <c r="AB246" s="71"/>
      <c r="AC246" s="91">
        <v>1</v>
      </c>
      <c r="AD246" s="91">
        <v>1</v>
      </c>
      <c r="AE246" s="92" t="str">
        <f t="shared" si="53"/>
        <v>Price Line 230</v>
      </c>
      <c r="AF246" s="93">
        <f t="shared" si="52"/>
        <v>0</v>
      </c>
    </row>
    <row r="247" spans="10:32" ht="12.5" hidden="1">
      <c r="J247" s="83">
        <f t="shared" si="47"/>
        <v>0</v>
      </c>
      <c r="K247" s="99">
        <v>231</v>
      </c>
      <c r="L247" s="100">
        <f t="shared" si="54"/>
        <v>1</v>
      </c>
      <c r="M247" s="90" t="str">
        <f t="shared" si="54"/>
        <v>Price Line 231</v>
      </c>
      <c r="N247" s="90">
        <f t="shared" si="54"/>
        <v>0</v>
      </c>
      <c r="O247" s="90">
        <f t="shared" si="54"/>
        <v>0</v>
      </c>
      <c r="P247" s="90">
        <f t="shared" si="54"/>
        <v>0</v>
      </c>
      <c r="Q247" s="90">
        <f t="shared" si="54"/>
        <v>0</v>
      </c>
      <c r="R247" s="90">
        <f t="shared" si="54"/>
        <v>0</v>
      </c>
      <c r="S247" s="90">
        <f t="shared" si="54"/>
        <v>0</v>
      </c>
      <c r="T247" s="90">
        <f t="shared" si="54"/>
        <v>0</v>
      </c>
      <c r="U247" s="101">
        <f t="shared" si="54"/>
        <v>0</v>
      </c>
      <c r="V247" s="71"/>
      <c r="W247" s="102">
        <f t="shared" si="55"/>
        <v>0</v>
      </c>
      <c r="X247" s="102">
        <f t="shared" si="55"/>
        <v>0</v>
      </c>
      <c r="Y247" s="90">
        <f t="shared" si="55"/>
        <v>0</v>
      </c>
      <c r="Z247" s="102">
        <f t="shared" si="55"/>
        <v>0</v>
      </c>
      <c r="AA247" s="101" t="str">
        <f t="shared" si="55"/>
        <v>EA</v>
      </c>
      <c r="AB247" s="71"/>
      <c r="AC247" s="91">
        <v>1</v>
      </c>
      <c r="AD247" s="91">
        <v>1</v>
      </c>
      <c r="AE247" s="92" t="str">
        <f t="shared" si="53"/>
        <v>Price Line 231</v>
      </c>
      <c r="AF247" s="93">
        <f t="shared" si="52"/>
        <v>0</v>
      </c>
    </row>
    <row r="248" spans="10:32" ht="12.5" hidden="1">
      <c r="J248" s="83">
        <f t="shared" si="47"/>
        <v>0</v>
      </c>
      <c r="K248" s="99">
        <v>232</v>
      </c>
      <c r="L248" s="100">
        <f t="shared" si="54"/>
        <v>1</v>
      </c>
      <c r="M248" s="90" t="str">
        <f t="shared" si="54"/>
        <v>Price Line 232</v>
      </c>
      <c r="N248" s="90">
        <f t="shared" si="54"/>
        <v>0</v>
      </c>
      <c r="O248" s="90">
        <f t="shared" si="54"/>
        <v>0</v>
      </c>
      <c r="P248" s="90">
        <f t="shared" si="54"/>
        <v>0</v>
      </c>
      <c r="Q248" s="90">
        <f t="shared" si="54"/>
        <v>0</v>
      </c>
      <c r="R248" s="90">
        <f t="shared" si="54"/>
        <v>0</v>
      </c>
      <c r="S248" s="90">
        <f t="shared" si="54"/>
        <v>0</v>
      </c>
      <c r="T248" s="90">
        <f t="shared" si="54"/>
        <v>0</v>
      </c>
      <c r="U248" s="101">
        <f t="shared" si="54"/>
        <v>0</v>
      </c>
      <c r="V248" s="71"/>
      <c r="W248" s="102">
        <f t="shared" si="55"/>
        <v>0</v>
      </c>
      <c r="X248" s="102">
        <f t="shared" si="55"/>
        <v>0</v>
      </c>
      <c r="Y248" s="90">
        <f t="shared" si="55"/>
        <v>0</v>
      </c>
      <c r="Z248" s="102">
        <f t="shared" si="55"/>
        <v>0</v>
      </c>
      <c r="AA248" s="101" t="str">
        <f t="shared" si="55"/>
        <v>EA</v>
      </c>
      <c r="AB248" s="71"/>
      <c r="AC248" s="91">
        <v>1</v>
      </c>
      <c r="AD248" s="91">
        <v>1</v>
      </c>
      <c r="AE248" s="92" t="str">
        <f t="shared" si="53"/>
        <v>Price Line 232</v>
      </c>
      <c r="AF248" s="93">
        <f t="shared" si="52"/>
        <v>0</v>
      </c>
    </row>
    <row r="249" spans="10:32" ht="12.5" hidden="1">
      <c r="J249" s="83">
        <f t="shared" si="47"/>
        <v>0</v>
      </c>
      <c r="K249" s="99">
        <v>233</v>
      </c>
      <c r="L249" s="100">
        <f t="shared" si="54"/>
        <v>1</v>
      </c>
      <c r="M249" s="90" t="str">
        <f t="shared" si="54"/>
        <v>Price Line 233</v>
      </c>
      <c r="N249" s="90">
        <f t="shared" si="54"/>
        <v>0</v>
      </c>
      <c r="O249" s="90">
        <f t="shared" si="54"/>
        <v>0</v>
      </c>
      <c r="P249" s="90">
        <f t="shared" si="54"/>
        <v>0</v>
      </c>
      <c r="Q249" s="90">
        <f t="shared" si="54"/>
        <v>0</v>
      </c>
      <c r="R249" s="90">
        <f t="shared" si="54"/>
        <v>0</v>
      </c>
      <c r="S249" s="90">
        <f t="shared" si="54"/>
        <v>0</v>
      </c>
      <c r="T249" s="90">
        <f t="shared" si="54"/>
        <v>0</v>
      </c>
      <c r="U249" s="101">
        <f t="shared" si="54"/>
        <v>0</v>
      </c>
      <c r="V249" s="71"/>
      <c r="W249" s="102">
        <f t="shared" si="55"/>
        <v>0</v>
      </c>
      <c r="X249" s="102">
        <f t="shared" si="55"/>
        <v>0</v>
      </c>
      <c r="Y249" s="90">
        <f t="shared" si="55"/>
        <v>0</v>
      </c>
      <c r="Z249" s="102">
        <f t="shared" si="55"/>
        <v>0</v>
      </c>
      <c r="AA249" s="101" t="str">
        <f t="shared" si="55"/>
        <v>EA</v>
      </c>
      <c r="AB249" s="71"/>
      <c r="AC249" s="91">
        <v>1</v>
      </c>
      <c r="AD249" s="91">
        <v>1</v>
      </c>
      <c r="AE249" s="92" t="str">
        <f t="shared" si="53"/>
        <v>Price Line 233</v>
      </c>
      <c r="AF249" s="93">
        <f t="shared" si="52"/>
        <v>0</v>
      </c>
    </row>
    <row r="250" spans="10:32" ht="12.5" hidden="1">
      <c r="J250" s="83">
        <f t="shared" si="47"/>
        <v>0</v>
      </c>
      <c r="K250" s="99">
        <v>234</v>
      </c>
      <c r="L250" s="100">
        <f t="shared" si="54"/>
        <v>1</v>
      </c>
      <c r="M250" s="90" t="str">
        <f t="shared" si="54"/>
        <v>Price Line 234</v>
      </c>
      <c r="N250" s="90">
        <f t="shared" si="54"/>
        <v>0</v>
      </c>
      <c r="O250" s="90">
        <f t="shared" si="54"/>
        <v>0</v>
      </c>
      <c r="P250" s="90">
        <f t="shared" si="54"/>
        <v>0</v>
      </c>
      <c r="Q250" s="90">
        <f t="shared" si="54"/>
        <v>0</v>
      </c>
      <c r="R250" s="90">
        <f t="shared" si="54"/>
        <v>0</v>
      </c>
      <c r="S250" s="90">
        <f t="shared" si="54"/>
        <v>0</v>
      </c>
      <c r="T250" s="90">
        <f t="shared" si="54"/>
        <v>0</v>
      </c>
      <c r="U250" s="101">
        <f t="shared" si="54"/>
        <v>0</v>
      </c>
      <c r="V250" s="71"/>
      <c r="W250" s="102">
        <f t="shared" si="55"/>
        <v>0</v>
      </c>
      <c r="X250" s="102">
        <f t="shared" si="55"/>
        <v>0</v>
      </c>
      <c r="Y250" s="90">
        <f t="shared" si="55"/>
        <v>0</v>
      </c>
      <c r="Z250" s="102">
        <f t="shared" si="55"/>
        <v>0</v>
      </c>
      <c r="AA250" s="101" t="str">
        <f t="shared" si="55"/>
        <v>EA</v>
      </c>
      <c r="AB250" s="71"/>
      <c r="AC250" s="91">
        <v>1</v>
      </c>
      <c r="AD250" s="91">
        <v>1</v>
      </c>
      <c r="AE250" s="92" t="str">
        <f t="shared" si="53"/>
        <v>Price Line 234</v>
      </c>
      <c r="AF250" s="93">
        <f t="shared" si="52"/>
        <v>0</v>
      </c>
    </row>
    <row r="251" spans="10:32" ht="12.5" hidden="1">
      <c r="J251" s="83">
        <f t="shared" si="47"/>
        <v>0</v>
      </c>
      <c r="K251" s="99">
        <v>235</v>
      </c>
      <c r="L251" s="100">
        <f t="shared" si="54"/>
        <v>1</v>
      </c>
      <c r="M251" s="90" t="str">
        <f t="shared" si="54"/>
        <v>Price Line 235</v>
      </c>
      <c r="N251" s="90">
        <f t="shared" si="54"/>
        <v>0</v>
      </c>
      <c r="O251" s="90">
        <f t="shared" si="54"/>
        <v>0</v>
      </c>
      <c r="P251" s="90">
        <f t="shared" si="54"/>
        <v>0</v>
      </c>
      <c r="Q251" s="90">
        <f t="shared" si="54"/>
        <v>0</v>
      </c>
      <c r="R251" s="90">
        <f t="shared" si="54"/>
        <v>0</v>
      </c>
      <c r="S251" s="90">
        <f t="shared" si="54"/>
        <v>0</v>
      </c>
      <c r="T251" s="90">
        <f t="shared" si="54"/>
        <v>0</v>
      </c>
      <c r="U251" s="101">
        <f t="shared" si="54"/>
        <v>0</v>
      </c>
      <c r="V251" s="71"/>
      <c r="W251" s="102">
        <f t="shared" si="55"/>
        <v>0</v>
      </c>
      <c r="X251" s="102">
        <f t="shared" si="55"/>
        <v>0</v>
      </c>
      <c r="Y251" s="90">
        <f t="shared" si="55"/>
        <v>0</v>
      </c>
      <c r="Z251" s="102">
        <f t="shared" si="55"/>
        <v>0</v>
      </c>
      <c r="AA251" s="101" t="str">
        <f t="shared" si="55"/>
        <v>EA</v>
      </c>
      <c r="AB251" s="71"/>
      <c r="AC251" s="91">
        <v>1</v>
      </c>
      <c r="AD251" s="91">
        <v>1</v>
      </c>
      <c r="AE251" s="92" t="str">
        <f t="shared" si="53"/>
        <v>Price Line 235</v>
      </c>
      <c r="AF251" s="93">
        <f t="shared" si="52"/>
        <v>0</v>
      </c>
    </row>
    <row r="252" spans="10:32" ht="12.5" hidden="1">
      <c r="J252" s="83">
        <f t="shared" si="47"/>
        <v>0</v>
      </c>
      <c r="K252" s="99">
        <v>236</v>
      </c>
      <c r="L252" s="100">
        <f t="shared" si="54"/>
        <v>1</v>
      </c>
      <c r="M252" s="90" t="str">
        <f t="shared" si="54"/>
        <v>Price Line 236</v>
      </c>
      <c r="N252" s="90">
        <f t="shared" si="54"/>
        <v>0</v>
      </c>
      <c r="O252" s="90">
        <f t="shared" si="54"/>
        <v>0</v>
      </c>
      <c r="P252" s="90">
        <f t="shared" si="54"/>
        <v>0</v>
      </c>
      <c r="Q252" s="90">
        <f t="shared" si="54"/>
        <v>0</v>
      </c>
      <c r="R252" s="90">
        <f t="shared" si="54"/>
        <v>0</v>
      </c>
      <c r="S252" s="90">
        <f t="shared" si="54"/>
        <v>0</v>
      </c>
      <c r="T252" s="90">
        <f t="shared" si="54"/>
        <v>0</v>
      </c>
      <c r="U252" s="101">
        <f t="shared" si="54"/>
        <v>0</v>
      </c>
      <c r="V252" s="71"/>
      <c r="W252" s="102">
        <f t="shared" si="55"/>
        <v>0</v>
      </c>
      <c r="X252" s="102">
        <f t="shared" si="55"/>
        <v>0</v>
      </c>
      <c r="Y252" s="90">
        <f t="shared" si="55"/>
        <v>0</v>
      </c>
      <c r="Z252" s="102">
        <f t="shared" si="55"/>
        <v>0</v>
      </c>
      <c r="AA252" s="101" t="str">
        <f t="shared" si="55"/>
        <v>EA</v>
      </c>
      <c r="AB252" s="71"/>
      <c r="AC252" s="91">
        <v>1</v>
      </c>
      <c r="AD252" s="91">
        <v>1</v>
      </c>
      <c r="AE252" s="92" t="str">
        <f t="shared" si="53"/>
        <v>Price Line 236</v>
      </c>
      <c r="AF252" s="93">
        <f t="shared" si="52"/>
        <v>0</v>
      </c>
    </row>
    <row r="253" spans="10:32" ht="12.5" hidden="1">
      <c r="J253" s="83">
        <f t="shared" si="47"/>
        <v>0</v>
      </c>
      <c r="K253" s="99">
        <v>237</v>
      </c>
      <c r="L253" s="100">
        <f t="shared" si="54"/>
        <v>1</v>
      </c>
      <c r="M253" s="90" t="str">
        <f t="shared" si="54"/>
        <v>Price Line 237</v>
      </c>
      <c r="N253" s="90">
        <f t="shared" si="54"/>
        <v>0</v>
      </c>
      <c r="O253" s="90">
        <f t="shared" si="54"/>
        <v>0</v>
      </c>
      <c r="P253" s="90">
        <f t="shared" si="54"/>
        <v>0</v>
      </c>
      <c r="Q253" s="90">
        <f t="shared" si="54"/>
        <v>0</v>
      </c>
      <c r="R253" s="90">
        <f t="shared" si="54"/>
        <v>0</v>
      </c>
      <c r="S253" s="90">
        <f t="shared" si="54"/>
        <v>0</v>
      </c>
      <c r="T253" s="90">
        <f t="shared" si="54"/>
        <v>0</v>
      </c>
      <c r="U253" s="101">
        <f t="shared" si="54"/>
        <v>0</v>
      </c>
      <c r="V253" s="71"/>
      <c r="W253" s="102">
        <f t="shared" si="55"/>
        <v>0</v>
      </c>
      <c r="X253" s="102">
        <f t="shared" si="55"/>
        <v>0</v>
      </c>
      <c r="Y253" s="90">
        <f t="shared" si="55"/>
        <v>0</v>
      </c>
      <c r="Z253" s="102">
        <f t="shared" si="55"/>
        <v>0</v>
      </c>
      <c r="AA253" s="101" t="str">
        <f t="shared" si="55"/>
        <v>EA</v>
      </c>
      <c r="AB253" s="71"/>
      <c r="AC253" s="91">
        <v>1</v>
      </c>
      <c r="AD253" s="91">
        <v>1</v>
      </c>
      <c r="AE253" s="92" t="str">
        <f t="shared" si="53"/>
        <v>Price Line 237</v>
      </c>
      <c r="AF253" s="93">
        <f t="shared" si="52"/>
        <v>0</v>
      </c>
    </row>
    <row r="254" spans="10:32" ht="12.5" hidden="1">
      <c r="J254" s="83">
        <f t="shared" si="47"/>
        <v>0</v>
      </c>
      <c r="K254" s="99">
        <v>238</v>
      </c>
      <c r="L254" s="100">
        <f t="shared" si="54"/>
        <v>1</v>
      </c>
      <c r="M254" s="90" t="str">
        <f t="shared" si="54"/>
        <v>Price Line 238</v>
      </c>
      <c r="N254" s="90">
        <f t="shared" si="54"/>
        <v>0</v>
      </c>
      <c r="O254" s="90">
        <f t="shared" si="54"/>
        <v>0</v>
      </c>
      <c r="P254" s="90">
        <f t="shared" si="54"/>
        <v>0</v>
      </c>
      <c r="Q254" s="90">
        <f t="shared" si="54"/>
        <v>0</v>
      </c>
      <c r="R254" s="90">
        <f t="shared" si="54"/>
        <v>0</v>
      </c>
      <c r="S254" s="90">
        <f t="shared" si="54"/>
        <v>0</v>
      </c>
      <c r="T254" s="90">
        <f t="shared" si="54"/>
        <v>0</v>
      </c>
      <c r="U254" s="101">
        <f t="shared" si="54"/>
        <v>0</v>
      </c>
      <c r="V254" s="71"/>
      <c r="W254" s="102">
        <f t="shared" si="55"/>
        <v>0</v>
      </c>
      <c r="X254" s="102">
        <f t="shared" si="55"/>
        <v>0</v>
      </c>
      <c r="Y254" s="90">
        <f t="shared" si="55"/>
        <v>0</v>
      </c>
      <c r="Z254" s="102">
        <f t="shared" si="55"/>
        <v>0</v>
      </c>
      <c r="AA254" s="101" t="str">
        <f t="shared" si="55"/>
        <v>EA</v>
      </c>
      <c r="AB254" s="71"/>
      <c r="AC254" s="91">
        <v>1</v>
      </c>
      <c r="AD254" s="91">
        <v>1</v>
      </c>
      <c r="AE254" s="92" t="str">
        <f t="shared" si="53"/>
        <v>Price Line 238</v>
      </c>
      <c r="AF254" s="93">
        <f t="shared" si="52"/>
        <v>0</v>
      </c>
    </row>
    <row r="255" spans="10:32" ht="12.5" hidden="1">
      <c r="J255" s="83">
        <f t="shared" si="47"/>
        <v>0</v>
      </c>
      <c r="K255" s="99">
        <v>239</v>
      </c>
      <c r="L255" s="100">
        <f t="shared" si="54"/>
        <v>1</v>
      </c>
      <c r="M255" s="90" t="str">
        <f t="shared" si="54"/>
        <v>Price Line 239</v>
      </c>
      <c r="N255" s="90">
        <f t="shared" si="54"/>
        <v>0</v>
      </c>
      <c r="O255" s="90">
        <f t="shared" si="54"/>
        <v>0</v>
      </c>
      <c r="P255" s="90">
        <f t="shared" si="54"/>
        <v>0</v>
      </c>
      <c r="Q255" s="90">
        <f t="shared" si="54"/>
        <v>0</v>
      </c>
      <c r="R255" s="90">
        <f t="shared" si="54"/>
        <v>0</v>
      </c>
      <c r="S255" s="90">
        <f t="shared" si="54"/>
        <v>0</v>
      </c>
      <c r="T255" s="90">
        <f t="shared" si="54"/>
        <v>0</v>
      </c>
      <c r="U255" s="101">
        <f t="shared" si="54"/>
        <v>0</v>
      </c>
      <c r="V255" s="71"/>
      <c r="W255" s="102">
        <f t="shared" si="55"/>
        <v>0</v>
      </c>
      <c r="X255" s="102">
        <f t="shared" si="55"/>
        <v>0</v>
      </c>
      <c r="Y255" s="90">
        <f t="shared" si="55"/>
        <v>0</v>
      </c>
      <c r="Z255" s="102">
        <f t="shared" si="55"/>
        <v>0</v>
      </c>
      <c r="AA255" s="101" t="str">
        <f t="shared" si="55"/>
        <v>EA</v>
      </c>
      <c r="AB255" s="71"/>
      <c r="AC255" s="91">
        <v>1</v>
      </c>
      <c r="AD255" s="91">
        <v>1</v>
      </c>
      <c r="AE255" s="92" t="str">
        <f t="shared" si="53"/>
        <v>Price Line 239</v>
      </c>
      <c r="AF255" s="93">
        <f t="shared" si="52"/>
        <v>0</v>
      </c>
    </row>
    <row r="256" spans="10:32" ht="12.5" hidden="1">
      <c r="J256" s="83">
        <f t="shared" si="47"/>
        <v>0</v>
      </c>
      <c r="K256" s="99">
        <v>240</v>
      </c>
      <c r="L256" s="100">
        <f t="shared" si="54"/>
        <v>1</v>
      </c>
      <c r="M256" s="90" t="str">
        <f t="shared" si="54"/>
        <v>Price Line 240</v>
      </c>
      <c r="N256" s="90">
        <f t="shared" si="54"/>
        <v>0</v>
      </c>
      <c r="O256" s="90">
        <f t="shared" si="54"/>
        <v>0</v>
      </c>
      <c r="P256" s="90">
        <f t="shared" si="54"/>
        <v>0</v>
      </c>
      <c r="Q256" s="90">
        <f t="shared" si="54"/>
        <v>0</v>
      </c>
      <c r="R256" s="90">
        <f t="shared" si="54"/>
        <v>0</v>
      </c>
      <c r="S256" s="90">
        <f t="shared" si="54"/>
        <v>0</v>
      </c>
      <c r="T256" s="90">
        <f t="shared" si="54"/>
        <v>0</v>
      </c>
      <c r="U256" s="101">
        <f t="shared" si="54"/>
        <v>0</v>
      </c>
      <c r="V256" s="71"/>
      <c r="W256" s="102">
        <f t="shared" si="55"/>
        <v>0</v>
      </c>
      <c r="X256" s="102">
        <f t="shared" si="55"/>
        <v>0</v>
      </c>
      <c r="Y256" s="90">
        <f t="shared" si="55"/>
        <v>0</v>
      </c>
      <c r="Z256" s="102">
        <f t="shared" si="55"/>
        <v>0</v>
      </c>
      <c r="AA256" s="101" t="str">
        <f t="shared" si="55"/>
        <v>EA</v>
      </c>
      <c r="AB256" s="71"/>
      <c r="AC256" s="91">
        <v>1</v>
      </c>
      <c r="AD256" s="91">
        <v>1</v>
      </c>
      <c r="AE256" s="92" t="str">
        <f t="shared" si="53"/>
        <v>Price Line 240</v>
      </c>
      <c r="AF256" s="93">
        <f t="shared" si="52"/>
        <v>0</v>
      </c>
    </row>
    <row r="257" spans="10:32" ht="12.5" hidden="1">
      <c r="J257" s="83">
        <f t="shared" si="47"/>
        <v>0</v>
      </c>
      <c r="K257" s="99">
        <v>241</v>
      </c>
      <c r="L257" s="100">
        <f t="shared" ref="L257:U272" si="56">INDEX(L$420:L$1632,MATCH($K257,$K$420:$K$1632,0)+MATCH("Option "&amp;$D$9,$K$420:$K$1230,0)-1,1)</f>
        <v>1</v>
      </c>
      <c r="M257" s="90" t="str">
        <f t="shared" si="56"/>
        <v>Price Line 241</v>
      </c>
      <c r="N257" s="90">
        <f t="shared" si="56"/>
        <v>0</v>
      </c>
      <c r="O257" s="90">
        <f t="shared" si="56"/>
        <v>0</v>
      </c>
      <c r="P257" s="90">
        <f t="shared" si="56"/>
        <v>0</v>
      </c>
      <c r="Q257" s="90">
        <f t="shared" si="56"/>
        <v>0</v>
      </c>
      <c r="R257" s="90">
        <f t="shared" si="56"/>
        <v>0</v>
      </c>
      <c r="S257" s="90">
        <f t="shared" si="56"/>
        <v>0</v>
      </c>
      <c r="T257" s="90">
        <f t="shared" si="56"/>
        <v>0</v>
      </c>
      <c r="U257" s="101">
        <f t="shared" si="56"/>
        <v>0</v>
      </c>
      <c r="V257" s="71"/>
      <c r="W257" s="102">
        <f t="shared" ref="W257:AA272" si="57">INDEX(W$420:W$1632,MATCH($K257,$K$420:$K$1632,0)+MATCH("Option "&amp;$D$9,$K$420:$K$1230,0)-1,1)</f>
        <v>0</v>
      </c>
      <c r="X257" s="102">
        <f t="shared" si="57"/>
        <v>0</v>
      </c>
      <c r="Y257" s="90">
        <f t="shared" si="57"/>
        <v>0</v>
      </c>
      <c r="Z257" s="102">
        <f t="shared" si="57"/>
        <v>0</v>
      </c>
      <c r="AA257" s="101" t="str">
        <f t="shared" si="57"/>
        <v>EA</v>
      </c>
      <c r="AB257" s="71"/>
      <c r="AC257" s="91">
        <v>1</v>
      </c>
      <c r="AD257" s="91">
        <v>1</v>
      </c>
      <c r="AE257" s="92" t="str">
        <f t="shared" si="53"/>
        <v>Price Line 241</v>
      </c>
      <c r="AF257" s="93">
        <f t="shared" si="52"/>
        <v>0</v>
      </c>
    </row>
    <row r="258" spans="10:32" ht="12.5" hidden="1">
      <c r="J258" s="83">
        <f t="shared" si="47"/>
        <v>0</v>
      </c>
      <c r="K258" s="99">
        <v>242</v>
      </c>
      <c r="L258" s="100">
        <f t="shared" si="56"/>
        <v>1</v>
      </c>
      <c r="M258" s="90" t="str">
        <f t="shared" si="56"/>
        <v>Price Line 242</v>
      </c>
      <c r="N258" s="90">
        <f t="shared" si="56"/>
        <v>0</v>
      </c>
      <c r="O258" s="90">
        <f t="shared" si="56"/>
        <v>0</v>
      </c>
      <c r="P258" s="90">
        <f t="shared" si="56"/>
        <v>0</v>
      </c>
      <c r="Q258" s="90">
        <f t="shared" si="56"/>
        <v>0</v>
      </c>
      <c r="R258" s="90">
        <f t="shared" si="56"/>
        <v>0</v>
      </c>
      <c r="S258" s="90">
        <f t="shared" si="56"/>
        <v>0</v>
      </c>
      <c r="T258" s="90">
        <f t="shared" si="56"/>
        <v>0</v>
      </c>
      <c r="U258" s="101">
        <f t="shared" si="56"/>
        <v>0</v>
      </c>
      <c r="V258" s="71"/>
      <c r="W258" s="102">
        <f t="shared" si="57"/>
        <v>0</v>
      </c>
      <c r="X258" s="102">
        <f t="shared" si="57"/>
        <v>0</v>
      </c>
      <c r="Y258" s="90">
        <f t="shared" si="57"/>
        <v>0</v>
      </c>
      <c r="Z258" s="102">
        <f t="shared" si="57"/>
        <v>0</v>
      </c>
      <c r="AA258" s="101" t="str">
        <f t="shared" si="57"/>
        <v>EA</v>
      </c>
      <c r="AB258" s="71"/>
      <c r="AC258" s="91">
        <v>1</v>
      </c>
      <c r="AD258" s="91">
        <v>1</v>
      </c>
      <c r="AE258" s="92" t="str">
        <f t="shared" si="53"/>
        <v>Price Line 242</v>
      </c>
      <c r="AF258" s="93">
        <f t="shared" si="52"/>
        <v>0</v>
      </c>
    </row>
    <row r="259" spans="10:32" ht="12.5" hidden="1">
      <c r="J259" s="83">
        <f t="shared" si="47"/>
        <v>0</v>
      </c>
      <c r="K259" s="99">
        <v>243</v>
      </c>
      <c r="L259" s="100">
        <f t="shared" si="56"/>
        <v>1</v>
      </c>
      <c r="M259" s="90" t="str">
        <f t="shared" si="56"/>
        <v>Price Line 243</v>
      </c>
      <c r="N259" s="90">
        <f t="shared" si="56"/>
        <v>0</v>
      </c>
      <c r="O259" s="90">
        <f t="shared" si="56"/>
        <v>0</v>
      </c>
      <c r="P259" s="90">
        <f t="shared" si="56"/>
        <v>0</v>
      </c>
      <c r="Q259" s="90">
        <f t="shared" si="56"/>
        <v>0</v>
      </c>
      <c r="R259" s="90">
        <f t="shared" si="56"/>
        <v>0</v>
      </c>
      <c r="S259" s="90">
        <f t="shared" si="56"/>
        <v>0</v>
      </c>
      <c r="T259" s="90">
        <f t="shared" si="56"/>
        <v>0</v>
      </c>
      <c r="U259" s="101">
        <f t="shared" si="56"/>
        <v>0</v>
      </c>
      <c r="V259" s="71"/>
      <c r="W259" s="102">
        <f t="shared" si="57"/>
        <v>0</v>
      </c>
      <c r="X259" s="102">
        <f t="shared" si="57"/>
        <v>0</v>
      </c>
      <c r="Y259" s="90">
        <f t="shared" si="57"/>
        <v>0</v>
      </c>
      <c r="Z259" s="102">
        <f t="shared" si="57"/>
        <v>0</v>
      </c>
      <c r="AA259" s="101" t="str">
        <f t="shared" si="57"/>
        <v>EA</v>
      </c>
      <c r="AB259" s="71"/>
      <c r="AC259" s="91">
        <v>1</v>
      </c>
      <c r="AD259" s="91">
        <v>1</v>
      </c>
      <c r="AE259" s="92" t="str">
        <f t="shared" si="53"/>
        <v>Price Line 243</v>
      </c>
      <c r="AF259" s="93">
        <f t="shared" si="52"/>
        <v>0</v>
      </c>
    </row>
    <row r="260" spans="10:32" ht="12.5" hidden="1">
      <c r="J260" s="83">
        <f t="shared" si="47"/>
        <v>0</v>
      </c>
      <c r="K260" s="99">
        <v>244</v>
      </c>
      <c r="L260" s="100">
        <f t="shared" si="56"/>
        <v>1</v>
      </c>
      <c r="M260" s="90" t="str">
        <f t="shared" si="56"/>
        <v>Price Line 244</v>
      </c>
      <c r="N260" s="90">
        <f t="shared" si="56"/>
        <v>0</v>
      </c>
      <c r="O260" s="90">
        <f t="shared" si="56"/>
        <v>0</v>
      </c>
      <c r="P260" s="90">
        <f t="shared" si="56"/>
        <v>0</v>
      </c>
      <c r="Q260" s="90">
        <f t="shared" si="56"/>
        <v>0</v>
      </c>
      <c r="R260" s="90">
        <f t="shared" si="56"/>
        <v>0</v>
      </c>
      <c r="S260" s="90">
        <f t="shared" si="56"/>
        <v>0</v>
      </c>
      <c r="T260" s="90">
        <f t="shared" si="56"/>
        <v>0</v>
      </c>
      <c r="U260" s="101">
        <f t="shared" si="56"/>
        <v>0</v>
      </c>
      <c r="V260" s="71"/>
      <c r="W260" s="102">
        <f t="shared" si="57"/>
        <v>0</v>
      </c>
      <c r="X260" s="102">
        <f t="shared" si="57"/>
        <v>0</v>
      </c>
      <c r="Y260" s="90">
        <f t="shared" si="57"/>
        <v>0</v>
      </c>
      <c r="Z260" s="102">
        <f t="shared" si="57"/>
        <v>0</v>
      </c>
      <c r="AA260" s="101" t="str">
        <f t="shared" si="57"/>
        <v>EA</v>
      </c>
      <c r="AB260" s="71"/>
      <c r="AC260" s="91">
        <v>1</v>
      </c>
      <c r="AD260" s="91">
        <v>1</v>
      </c>
      <c r="AE260" s="92" t="str">
        <f t="shared" si="53"/>
        <v>Price Line 244</v>
      </c>
      <c r="AF260" s="93">
        <f t="shared" si="52"/>
        <v>0</v>
      </c>
    </row>
    <row r="261" spans="10:32" ht="12.5" hidden="1">
      <c r="J261" s="83">
        <f t="shared" si="47"/>
        <v>0</v>
      </c>
      <c r="K261" s="99">
        <v>245</v>
      </c>
      <c r="L261" s="100">
        <f t="shared" si="56"/>
        <v>1</v>
      </c>
      <c r="M261" s="90" t="str">
        <f t="shared" si="56"/>
        <v>Price Line 245</v>
      </c>
      <c r="N261" s="90">
        <f t="shared" si="56"/>
        <v>0</v>
      </c>
      <c r="O261" s="90">
        <f t="shared" si="56"/>
        <v>0</v>
      </c>
      <c r="P261" s="90">
        <f t="shared" si="56"/>
        <v>0</v>
      </c>
      <c r="Q261" s="90">
        <f t="shared" si="56"/>
        <v>0</v>
      </c>
      <c r="R261" s="90">
        <f t="shared" si="56"/>
        <v>0</v>
      </c>
      <c r="S261" s="90">
        <f t="shared" si="56"/>
        <v>0</v>
      </c>
      <c r="T261" s="90">
        <f t="shared" si="56"/>
        <v>0</v>
      </c>
      <c r="U261" s="101">
        <f t="shared" si="56"/>
        <v>0</v>
      </c>
      <c r="V261" s="71"/>
      <c r="W261" s="102">
        <f t="shared" si="57"/>
        <v>0</v>
      </c>
      <c r="X261" s="102">
        <f t="shared" si="57"/>
        <v>0</v>
      </c>
      <c r="Y261" s="90">
        <f t="shared" si="57"/>
        <v>0</v>
      </c>
      <c r="Z261" s="102">
        <f t="shared" si="57"/>
        <v>0</v>
      </c>
      <c r="AA261" s="101" t="str">
        <f t="shared" si="57"/>
        <v>EA</v>
      </c>
      <c r="AB261" s="71"/>
      <c r="AC261" s="91">
        <v>1</v>
      </c>
      <c r="AD261" s="91">
        <v>1</v>
      </c>
      <c r="AE261" s="92" t="str">
        <f t="shared" si="53"/>
        <v>Price Line 245</v>
      </c>
      <c r="AF261" s="93">
        <f t="shared" si="52"/>
        <v>0</v>
      </c>
    </row>
    <row r="262" spans="10:32" ht="12.5" hidden="1">
      <c r="J262" s="83">
        <f t="shared" si="47"/>
        <v>0</v>
      </c>
      <c r="K262" s="99">
        <v>246</v>
      </c>
      <c r="L262" s="100">
        <f t="shared" si="56"/>
        <v>1</v>
      </c>
      <c r="M262" s="90" t="str">
        <f t="shared" si="56"/>
        <v>Price Line 246</v>
      </c>
      <c r="N262" s="90">
        <f t="shared" si="56"/>
        <v>0</v>
      </c>
      <c r="O262" s="90">
        <f t="shared" si="56"/>
        <v>0</v>
      </c>
      <c r="P262" s="90">
        <f t="shared" si="56"/>
        <v>0</v>
      </c>
      <c r="Q262" s="90">
        <f t="shared" si="56"/>
        <v>0</v>
      </c>
      <c r="R262" s="90">
        <f t="shared" si="56"/>
        <v>0</v>
      </c>
      <c r="S262" s="90">
        <f t="shared" si="56"/>
        <v>0</v>
      </c>
      <c r="T262" s="90">
        <f t="shared" si="56"/>
        <v>0</v>
      </c>
      <c r="U262" s="101">
        <f t="shared" si="56"/>
        <v>0</v>
      </c>
      <c r="V262" s="71"/>
      <c r="W262" s="102">
        <f t="shared" si="57"/>
        <v>0</v>
      </c>
      <c r="X262" s="102">
        <f t="shared" si="57"/>
        <v>0</v>
      </c>
      <c r="Y262" s="90">
        <f t="shared" si="57"/>
        <v>0</v>
      </c>
      <c r="Z262" s="102">
        <f t="shared" si="57"/>
        <v>0</v>
      </c>
      <c r="AA262" s="101" t="str">
        <f t="shared" si="57"/>
        <v>EA</v>
      </c>
      <c r="AB262" s="71"/>
      <c r="AC262" s="91">
        <v>1</v>
      </c>
      <c r="AD262" s="91">
        <v>1</v>
      </c>
      <c r="AE262" s="92" t="str">
        <f t="shared" si="53"/>
        <v>Price Line 246</v>
      </c>
      <c r="AF262" s="93">
        <f t="shared" si="52"/>
        <v>0</v>
      </c>
    </row>
    <row r="263" spans="10:32" ht="12.5" hidden="1">
      <c r="J263" s="83">
        <f t="shared" si="47"/>
        <v>0</v>
      </c>
      <c r="K263" s="99">
        <v>247</v>
      </c>
      <c r="L263" s="100">
        <f t="shared" si="56"/>
        <v>1</v>
      </c>
      <c r="M263" s="90" t="str">
        <f t="shared" si="56"/>
        <v>Price Line 247</v>
      </c>
      <c r="N263" s="90">
        <f t="shared" si="56"/>
        <v>0</v>
      </c>
      <c r="O263" s="90">
        <f t="shared" si="56"/>
        <v>0</v>
      </c>
      <c r="P263" s="90">
        <f t="shared" si="56"/>
        <v>0</v>
      </c>
      <c r="Q263" s="90">
        <f t="shared" si="56"/>
        <v>0</v>
      </c>
      <c r="R263" s="90">
        <f t="shared" si="56"/>
        <v>0</v>
      </c>
      <c r="S263" s="90">
        <f t="shared" si="56"/>
        <v>0</v>
      </c>
      <c r="T263" s="90">
        <f t="shared" si="56"/>
        <v>0</v>
      </c>
      <c r="U263" s="101">
        <f t="shared" si="56"/>
        <v>0</v>
      </c>
      <c r="V263" s="71"/>
      <c r="W263" s="102">
        <f t="shared" si="57"/>
        <v>0</v>
      </c>
      <c r="X263" s="102">
        <f t="shared" si="57"/>
        <v>0</v>
      </c>
      <c r="Y263" s="90">
        <f t="shared" si="57"/>
        <v>0</v>
      </c>
      <c r="Z263" s="102">
        <f t="shared" si="57"/>
        <v>0</v>
      </c>
      <c r="AA263" s="101" t="str">
        <f t="shared" si="57"/>
        <v>EA</v>
      </c>
      <c r="AB263" s="71"/>
      <c r="AC263" s="91">
        <v>1</v>
      </c>
      <c r="AD263" s="91">
        <v>1</v>
      </c>
      <c r="AE263" s="92" t="str">
        <f t="shared" si="53"/>
        <v>Price Line 247</v>
      </c>
      <c r="AF263" s="93">
        <f t="shared" si="52"/>
        <v>0</v>
      </c>
    </row>
    <row r="264" spans="10:32" ht="12.5" hidden="1">
      <c r="J264" s="83">
        <f t="shared" si="47"/>
        <v>0</v>
      </c>
      <c r="K264" s="99">
        <v>248</v>
      </c>
      <c r="L264" s="100">
        <f t="shared" si="56"/>
        <v>1</v>
      </c>
      <c r="M264" s="90" t="str">
        <f t="shared" si="56"/>
        <v>Price Line 248</v>
      </c>
      <c r="N264" s="90">
        <f t="shared" si="56"/>
        <v>0</v>
      </c>
      <c r="O264" s="90">
        <f t="shared" si="56"/>
        <v>0</v>
      </c>
      <c r="P264" s="90">
        <f t="shared" si="56"/>
        <v>0</v>
      </c>
      <c r="Q264" s="90">
        <f t="shared" si="56"/>
        <v>0</v>
      </c>
      <c r="R264" s="90">
        <f t="shared" si="56"/>
        <v>0</v>
      </c>
      <c r="S264" s="90">
        <f t="shared" si="56"/>
        <v>0</v>
      </c>
      <c r="T264" s="90">
        <f t="shared" si="56"/>
        <v>0</v>
      </c>
      <c r="U264" s="101">
        <f t="shared" si="56"/>
        <v>0</v>
      </c>
      <c r="V264" s="71"/>
      <c r="W264" s="102">
        <f t="shared" si="57"/>
        <v>0</v>
      </c>
      <c r="X264" s="102">
        <f t="shared" si="57"/>
        <v>0</v>
      </c>
      <c r="Y264" s="90">
        <f t="shared" si="57"/>
        <v>0</v>
      </c>
      <c r="Z264" s="102">
        <f t="shared" si="57"/>
        <v>0</v>
      </c>
      <c r="AA264" s="101" t="str">
        <f t="shared" si="57"/>
        <v>EA</v>
      </c>
      <c r="AB264" s="71"/>
      <c r="AC264" s="91">
        <v>1</v>
      </c>
      <c r="AD264" s="91">
        <v>1</v>
      </c>
      <c r="AE264" s="92" t="str">
        <f t="shared" si="53"/>
        <v>Price Line 248</v>
      </c>
      <c r="AF264" s="93">
        <f t="shared" si="52"/>
        <v>0</v>
      </c>
    </row>
    <row r="265" spans="10:32" ht="12.5" hidden="1">
      <c r="J265" s="83">
        <f t="shared" si="47"/>
        <v>0</v>
      </c>
      <c r="K265" s="99">
        <v>249</v>
      </c>
      <c r="L265" s="100">
        <f t="shared" si="56"/>
        <v>1</v>
      </c>
      <c r="M265" s="90" t="str">
        <f t="shared" si="56"/>
        <v>Price Line 249</v>
      </c>
      <c r="N265" s="90">
        <f t="shared" si="56"/>
        <v>0</v>
      </c>
      <c r="O265" s="90">
        <f t="shared" si="56"/>
        <v>0</v>
      </c>
      <c r="P265" s="90">
        <f t="shared" si="56"/>
        <v>0</v>
      </c>
      <c r="Q265" s="90">
        <f t="shared" si="56"/>
        <v>0</v>
      </c>
      <c r="R265" s="90">
        <f t="shared" si="56"/>
        <v>0</v>
      </c>
      <c r="S265" s="90">
        <f t="shared" si="56"/>
        <v>0</v>
      </c>
      <c r="T265" s="90">
        <f t="shared" si="56"/>
        <v>0</v>
      </c>
      <c r="U265" s="101">
        <f t="shared" si="56"/>
        <v>0</v>
      </c>
      <c r="V265" s="71"/>
      <c r="W265" s="102">
        <f t="shared" si="57"/>
        <v>0</v>
      </c>
      <c r="X265" s="102">
        <f t="shared" si="57"/>
        <v>0</v>
      </c>
      <c r="Y265" s="90">
        <f t="shared" si="57"/>
        <v>0</v>
      </c>
      <c r="Z265" s="102">
        <f t="shared" si="57"/>
        <v>0</v>
      </c>
      <c r="AA265" s="101" t="str">
        <f t="shared" si="57"/>
        <v>EA</v>
      </c>
      <c r="AB265" s="71"/>
      <c r="AC265" s="91">
        <v>1</v>
      </c>
      <c r="AD265" s="91">
        <v>1</v>
      </c>
      <c r="AE265" s="92" t="str">
        <f t="shared" si="53"/>
        <v>Price Line 249</v>
      </c>
      <c r="AF265" s="93">
        <f t="shared" si="52"/>
        <v>0</v>
      </c>
    </row>
    <row r="266" spans="10:32" ht="12.5" hidden="1">
      <c r="J266" s="83">
        <f t="shared" si="47"/>
        <v>0</v>
      </c>
      <c r="K266" s="99">
        <v>250</v>
      </c>
      <c r="L266" s="100">
        <f t="shared" si="56"/>
        <v>1</v>
      </c>
      <c r="M266" s="90" t="str">
        <f t="shared" si="56"/>
        <v>Price Line 250</v>
      </c>
      <c r="N266" s="90">
        <f t="shared" si="56"/>
        <v>0</v>
      </c>
      <c r="O266" s="90">
        <f t="shared" si="56"/>
        <v>0</v>
      </c>
      <c r="P266" s="90">
        <f t="shared" si="56"/>
        <v>0</v>
      </c>
      <c r="Q266" s="90">
        <f t="shared" si="56"/>
        <v>0</v>
      </c>
      <c r="R266" s="90">
        <f t="shared" si="56"/>
        <v>0</v>
      </c>
      <c r="S266" s="90">
        <f t="shared" si="56"/>
        <v>0</v>
      </c>
      <c r="T266" s="90">
        <f t="shared" si="56"/>
        <v>0</v>
      </c>
      <c r="U266" s="101">
        <f t="shared" si="56"/>
        <v>0</v>
      </c>
      <c r="V266" s="71"/>
      <c r="W266" s="102">
        <f t="shared" si="57"/>
        <v>0</v>
      </c>
      <c r="X266" s="102">
        <f t="shared" si="57"/>
        <v>0</v>
      </c>
      <c r="Y266" s="90">
        <f t="shared" si="57"/>
        <v>0</v>
      </c>
      <c r="Z266" s="102">
        <f t="shared" si="57"/>
        <v>0</v>
      </c>
      <c r="AA266" s="101" t="str">
        <f t="shared" si="57"/>
        <v>EA</v>
      </c>
      <c r="AB266" s="71"/>
      <c r="AC266" s="91">
        <v>1</v>
      </c>
      <c r="AD266" s="91">
        <v>1</v>
      </c>
      <c r="AE266" s="92" t="str">
        <f t="shared" si="53"/>
        <v>Price Line 250</v>
      </c>
      <c r="AF266" s="93">
        <f t="shared" si="52"/>
        <v>0</v>
      </c>
    </row>
    <row r="267" spans="10:32" ht="12.5" hidden="1">
      <c r="J267" s="83">
        <f t="shared" si="47"/>
        <v>0</v>
      </c>
      <c r="K267" s="99">
        <v>251</v>
      </c>
      <c r="L267" s="100">
        <f t="shared" si="56"/>
        <v>1</v>
      </c>
      <c r="M267" s="90" t="str">
        <f t="shared" si="56"/>
        <v>Price Line 251</v>
      </c>
      <c r="N267" s="90">
        <f t="shared" si="56"/>
        <v>0</v>
      </c>
      <c r="O267" s="90">
        <f t="shared" si="56"/>
        <v>0</v>
      </c>
      <c r="P267" s="90">
        <f t="shared" si="56"/>
        <v>0</v>
      </c>
      <c r="Q267" s="90">
        <f t="shared" si="56"/>
        <v>0</v>
      </c>
      <c r="R267" s="90">
        <f t="shared" si="56"/>
        <v>0</v>
      </c>
      <c r="S267" s="90">
        <f t="shared" si="56"/>
        <v>0</v>
      </c>
      <c r="T267" s="90">
        <f t="shared" si="56"/>
        <v>0</v>
      </c>
      <c r="U267" s="101">
        <f t="shared" si="56"/>
        <v>0</v>
      </c>
      <c r="V267" s="71"/>
      <c r="W267" s="102">
        <f t="shared" si="57"/>
        <v>0</v>
      </c>
      <c r="X267" s="102">
        <f t="shared" si="57"/>
        <v>0</v>
      </c>
      <c r="Y267" s="90">
        <f t="shared" si="57"/>
        <v>0</v>
      </c>
      <c r="Z267" s="102">
        <f t="shared" si="57"/>
        <v>0</v>
      </c>
      <c r="AA267" s="101" t="str">
        <f t="shared" si="57"/>
        <v>EA</v>
      </c>
      <c r="AB267" s="71"/>
      <c r="AC267" s="91">
        <v>1</v>
      </c>
      <c r="AD267" s="91">
        <v>1</v>
      </c>
      <c r="AE267" s="92" t="str">
        <f t="shared" si="53"/>
        <v>Price Line 251</v>
      </c>
      <c r="AF267" s="93">
        <f t="shared" si="52"/>
        <v>0</v>
      </c>
    </row>
    <row r="268" spans="10:32" ht="12.5" hidden="1">
      <c r="J268" s="83">
        <f t="shared" si="47"/>
        <v>0</v>
      </c>
      <c r="K268" s="99">
        <v>252</v>
      </c>
      <c r="L268" s="100">
        <f t="shared" si="56"/>
        <v>1</v>
      </c>
      <c r="M268" s="90" t="str">
        <f t="shared" si="56"/>
        <v>Price Line 252</v>
      </c>
      <c r="N268" s="90">
        <f t="shared" si="56"/>
        <v>0</v>
      </c>
      <c r="O268" s="90">
        <f t="shared" si="56"/>
        <v>0</v>
      </c>
      <c r="P268" s="90">
        <f t="shared" si="56"/>
        <v>0</v>
      </c>
      <c r="Q268" s="90">
        <f t="shared" si="56"/>
        <v>0</v>
      </c>
      <c r="R268" s="90">
        <f t="shared" si="56"/>
        <v>0</v>
      </c>
      <c r="S268" s="90">
        <f t="shared" si="56"/>
        <v>0</v>
      </c>
      <c r="T268" s="90">
        <f t="shared" si="56"/>
        <v>0</v>
      </c>
      <c r="U268" s="101">
        <f t="shared" si="56"/>
        <v>0</v>
      </c>
      <c r="V268" s="71"/>
      <c r="W268" s="102">
        <f t="shared" si="57"/>
        <v>0</v>
      </c>
      <c r="X268" s="102">
        <f t="shared" si="57"/>
        <v>0</v>
      </c>
      <c r="Y268" s="90">
        <f t="shared" si="57"/>
        <v>0</v>
      </c>
      <c r="Z268" s="102">
        <f t="shared" si="57"/>
        <v>0</v>
      </c>
      <c r="AA268" s="101" t="str">
        <f t="shared" si="57"/>
        <v>EA</v>
      </c>
      <c r="AB268" s="71"/>
      <c r="AC268" s="91">
        <v>1</v>
      </c>
      <c r="AD268" s="91">
        <v>1</v>
      </c>
      <c r="AE268" s="92" t="str">
        <f t="shared" si="53"/>
        <v>Price Line 252</v>
      </c>
      <c r="AF268" s="93">
        <f t="shared" si="52"/>
        <v>0</v>
      </c>
    </row>
    <row r="269" spans="10:32" ht="12.5" hidden="1">
      <c r="J269" s="83">
        <f t="shared" si="47"/>
        <v>0</v>
      </c>
      <c r="K269" s="99">
        <v>253</v>
      </c>
      <c r="L269" s="100">
        <f t="shared" si="56"/>
        <v>1</v>
      </c>
      <c r="M269" s="90" t="str">
        <f t="shared" si="56"/>
        <v>Price Line 253</v>
      </c>
      <c r="N269" s="90">
        <f t="shared" si="56"/>
        <v>0</v>
      </c>
      <c r="O269" s="90">
        <f t="shared" si="56"/>
        <v>0</v>
      </c>
      <c r="P269" s="90">
        <f t="shared" si="56"/>
        <v>0</v>
      </c>
      <c r="Q269" s="90">
        <f t="shared" si="56"/>
        <v>0</v>
      </c>
      <c r="R269" s="90">
        <f t="shared" si="56"/>
        <v>0</v>
      </c>
      <c r="S269" s="90">
        <f t="shared" si="56"/>
        <v>0</v>
      </c>
      <c r="T269" s="90">
        <f t="shared" si="56"/>
        <v>0</v>
      </c>
      <c r="U269" s="101">
        <f t="shared" si="56"/>
        <v>0</v>
      </c>
      <c r="V269" s="71"/>
      <c r="W269" s="102">
        <f t="shared" si="57"/>
        <v>0</v>
      </c>
      <c r="X269" s="102">
        <f t="shared" si="57"/>
        <v>0</v>
      </c>
      <c r="Y269" s="90">
        <f t="shared" si="57"/>
        <v>0</v>
      </c>
      <c r="Z269" s="102">
        <f t="shared" si="57"/>
        <v>0</v>
      </c>
      <c r="AA269" s="101" t="str">
        <f t="shared" si="57"/>
        <v>EA</v>
      </c>
      <c r="AB269" s="71"/>
      <c r="AC269" s="91">
        <v>1</v>
      </c>
      <c r="AD269" s="91">
        <v>1</v>
      </c>
      <c r="AE269" s="92" t="str">
        <f t="shared" si="53"/>
        <v>Price Line 253</v>
      </c>
      <c r="AF269" s="93">
        <f t="shared" si="52"/>
        <v>0</v>
      </c>
    </row>
    <row r="270" spans="10:32" ht="12.5" hidden="1">
      <c r="J270" s="83">
        <f t="shared" si="47"/>
        <v>0</v>
      </c>
      <c r="K270" s="99">
        <v>254</v>
      </c>
      <c r="L270" s="100">
        <f t="shared" si="56"/>
        <v>1</v>
      </c>
      <c r="M270" s="90" t="str">
        <f t="shared" si="56"/>
        <v>Price Line 254</v>
      </c>
      <c r="N270" s="90">
        <f t="shared" si="56"/>
        <v>0</v>
      </c>
      <c r="O270" s="90">
        <f t="shared" si="56"/>
        <v>0</v>
      </c>
      <c r="P270" s="90">
        <f t="shared" si="56"/>
        <v>0</v>
      </c>
      <c r="Q270" s="90">
        <f t="shared" si="56"/>
        <v>0</v>
      </c>
      <c r="R270" s="90">
        <f t="shared" si="56"/>
        <v>0</v>
      </c>
      <c r="S270" s="90">
        <f t="shared" si="56"/>
        <v>0</v>
      </c>
      <c r="T270" s="90">
        <f t="shared" si="56"/>
        <v>0</v>
      </c>
      <c r="U270" s="101">
        <f t="shared" si="56"/>
        <v>0</v>
      </c>
      <c r="V270" s="71"/>
      <c r="W270" s="102">
        <f t="shared" si="57"/>
        <v>0</v>
      </c>
      <c r="X270" s="102">
        <f t="shared" si="57"/>
        <v>0</v>
      </c>
      <c r="Y270" s="90">
        <f t="shared" si="57"/>
        <v>0</v>
      </c>
      <c r="Z270" s="102">
        <f t="shared" si="57"/>
        <v>0</v>
      </c>
      <c r="AA270" s="101" t="str">
        <f t="shared" si="57"/>
        <v>EA</v>
      </c>
      <c r="AB270" s="71"/>
      <c r="AC270" s="91">
        <v>1</v>
      </c>
      <c r="AD270" s="91">
        <v>1</v>
      </c>
      <c r="AE270" s="92" t="str">
        <f t="shared" si="53"/>
        <v>Price Line 254</v>
      </c>
      <c r="AF270" s="93">
        <f t="shared" si="52"/>
        <v>0</v>
      </c>
    </row>
    <row r="271" spans="10:32" ht="12.5" hidden="1">
      <c r="J271" s="83">
        <f t="shared" si="47"/>
        <v>0</v>
      </c>
      <c r="K271" s="99">
        <v>255</v>
      </c>
      <c r="L271" s="100">
        <f t="shared" si="56"/>
        <v>1</v>
      </c>
      <c r="M271" s="90" t="str">
        <f t="shared" si="56"/>
        <v>Price Line 255</v>
      </c>
      <c r="N271" s="90">
        <f t="shared" si="56"/>
        <v>0</v>
      </c>
      <c r="O271" s="90">
        <f t="shared" si="56"/>
        <v>0</v>
      </c>
      <c r="P271" s="90">
        <f t="shared" si="56"/>
        <v>0</v>
      </c>
      <c r="Q271" s="90">
        <f t="shared" si="56"/>
        <v>0</v>
      </c>
      <c r="R271" s="90">
        <f t="shared" si="56"/>
        <v>0</v>
      </c>
      <c r="S271" s="90">
        <f t="shared" si="56"/>
        <v>0</v>
      </c>
      <c r="T271" s="90">
        <f t="shared" si="56"/>
        <v>0</v>
      </c>
      <c r="U271" s="101">
        <f t="shared" si="56"/>
        <v>0</v>
      </c>
      <c r="V271" s="71"/>
      <c r="W271" s="102">
        <f t="shared" si="57"/>
        <v>0</v>
      </c>
      <c r="X271" s="102">
        <f t="shared" si="57"/>
        <v>0</v>
      </c>
      <c r="Y271" s="90">
        <f t="shared" si="57"/>
        <v>0</v>
      </c>
      <c r="Z271" s="102">
        <f t="shared" si="57"/>
        <v>0</v>
      </c>
      <c r="AA271" s="101" t="str">
        <f t="shared" si="57"/>
        <v>EA</v>
      </c>
      <c r="AB271" s="71"/>
      <c r="AC271" s="91">
        <v>1</v>
      </c>
      <c r="AD271" s="91">
        <v>1</v>
      </c>
      <c r="AE271" s="92" t="str">
        <f t="shared" si="53"/>
        <v>Price Line 255</v>
      </c>
      <c r="AF271" s="93">
        <f t="shared" si="52"/>
        <v>0</v>
      </c>
    </row>
    <row r="272" spans="10:32" ht="12.5" hidden="1">
      <c r="J272" s="83">
        <f t="shared" si="47"/>
        <v>0</v>
      </c>
      <c r="K272" s="99">
        <v>256</v>
      </c>
      <c r="L272" s="100">
        <f t="shared" si="56"/>
        <v>1</v>
      </c>
      <c r="M272" s="90" t="str">
        <f t="shared" si="56"/>
        <v>Price Line 256</v>
      </c>
      <c r="N272" s="90">
        <f t="shared" si="56"/>
        <v>0</v>
      </c>
      <c r="O272" s="90">
        <f t="shared" si="56"/>
        <v>0</v>
      </c>
      <c r="P272" s="90">
        <f t="shared" si="56"/>
        <v>0</v>
      </c>
      <c r="Q272" s="90">
        <f t="shared" si="56"/>
        <v>0</v>
      </c>
      <c r="R272" s="90">
        <f t="shared" si="56"/>
        <v>0</v>
      </c>
      <c r="S272" s="90">
        <f t="shared" si="56"/>
        <v>0</v>
      </c>
      <c r="T272" s="90">
        <f t="shared" si="56"/>
        <v>0</v>
      </c>
      <c r="U272" s="101">
        <f t="shared" si="56"/>
        <v>0</v>
      </c>
      <c r="V272" s="71"/>
      <c r="W272" s="102">
        <f t="shared" si="57"/>
        <v>0</v>
      </c>
      <c r="X272" s="102">
        <f t="shared" si="57"/>
        <v>0</v>
      </c>
      <c r="Y272" s="90">
        <f t="shared" si="57"/>
        <v>0</v>
      </c>
      <c r="Z272" s="102">
        <f t="shared" si="57"/>
        <v>0</v>
      </c>
      <c r="AA272" s="101" t="str">
        <f t="shared" si="57"/>
        <v>EA</v>
      </c>
      <c r="AB272" s="71"/>
      <c r="AC272" s="91">
        <v>1</v>
      </c>
      <c r="AD272" s="91">
        <v>1</v>
      </c>
      <c r="AE272" s="92" t="str">
        <f t="shared" si="53"/>
        <v>Price Line 256</v>
      </c>
      <c r="AF272" s="93">
        <f t="shared" si="52"/>
        <v>0</v>
      </c>
    </row>
    <row r="273" spans="10:32" ht="12.5" hidden="1">
      <c r="J273" s="83">
        <f t="shared" ref="J273:J336" si="58">INDEX(J$420:J$1632,MATCH($K273,$K$420:$K$1632,0)+MATCH("Option "&amp;$D$9,$K$420:$K$1230,0)-1,1)</f>
        <v>0</v>
      </c>
      <c r="K273" s="99">
        <v>257</v>
      </c>
      <c r="L273" s="100">
        <f t="shared" ref="L273:U288" si="59">INDEX(L$420:L$1632,MATCH($K273,$K$420:$K$1632,0)+MATCH("Option "&amp;$D$9,$K$420:$K$1230,0)-1,1)</f>
        <v>1</v>
      </c>
      <c r="M273" s="90" t="str">
        <f t="shared" si="59"/>
        <v>Price Line 257</v>
      </c>
      <c r="N273" s="90">
        <f t="shared" si="59"/>
        <v>0</v>
      </c>
      <c r="O273" s="90">
        <f t="shared" si="59"/>
        <v>0</v>
      </c>
      <c r="P273" s="90">
        <f t="shared" si="59"/>
        <v>0</v>
      </c>
      <c r="Q273" s="90">
        <f t="shared" si="59"/>
        <v>0</v>
      </c>
      <c r="R273" s="90">
        <f t="shared" si="59"/>
        <v>0</v>
      </c>
      <c r="S273" s="90">
        <f t="shared" si="59"/>
        <v>0</v>
      </c>
      <c r="T273" s="90">
        <f t="shared" si="59"/>
        <v>0</v>
      </c>
      <c r="U273" s="101">
        <f t="shared" si="59"/>
        <v>0</v>
      </c>
      <c r="V273" s="71"/>
      <c r="W273" s="102">
        <f t="shared" ref="W273:AA288" si="60">INDEX(W$420:W$1632,MATCH($K273,$K$420:$K$1632,0)+MATCH("Option "&amp;$D$9,$K$420:$K$1230,0)-1,1)</f>
        <v>0</v>
      </c>
      <c r="X273" s="102">
        <f t="shared" si="60"/>
        <v>0</v>
      </c>
      <c r="Y273" s="90">
        <f t="shared" si="60"/>
        <v>0</v>
      </c>
      <c r="Z273" s="102">
        <f t="shared" si="60"/>
        <v>0</v>
      </c>
      <c r="AA273" s="101" t="str">
        <f t="shared" si="60"/>
        <v>EA</v>
      </c>
      <c r="AB273" s="71"/>
      <c r="AC273" s="91">
        <v>1</v>
      </c>
      <c r="AD273" s="91">
        <v>1</v>
      </c>
      <c r="AE273" s="92" t="str">
        <f t="shared" si="53"/>
        <v>Price Line 257</v>
      </c>
      <c r="AF273" s="93">
        <f t="shared" si="52"/>
        <v>0</v>
      </c>
    </row>
    <row r="274" spans="10:32" ht="12.5" hidden="1">
      <c r="J274" s="83">
        <f t="shared" si="58"/>
        <v>0</v>
      </c>
      <c r="K274" s="99">
        <v>258</v>
      </c>
      <c r="L274" s="100">
        <f t="shared" si="59"/>
        <v>1</v>
      </c>
      <c r="M274" s="90" t="str">
        <f t="shared" si="59"/>
        <v>Price Line 258</v>
      </c>
      <c r="N274" s="90">
        <f t="shared" si="59"/>
        <v>0</v>
      </c>
      <c r="O274" s="90">
        <f t="shared" si="59"/>
        <v>0</v>
      </c>
      <c r="P274" s="90">
        <f t="shared" si="59"/>
        <v>0</v>
      </c>
      <c r="Q274" s="90">
        <f t="shared" si="59"/>
        <v>0</v>
      </c>
      <c r="R274" s="90">
        <f t="shared" si="59"/>
        <v>0</v>
      </c>
      <c r="S274" s="90">
        <f t="shared" si="59"/>
        <v>0</v>
      </c>
      <c r="T274" s="90">
        <f t="shared" si="59"/>
        <v>0</v>
      </c>
      <c r="U274" s="101">
        <f t="shared" si="59"/>
        <v>0</v>
      </c>
      <c r="V274" s="71"/>
      <c r="W274" s="102">
        <f t="shared" si="60"/>
        <v>0</v>
      </c>
      <c r="X274" s="102">
        <f t="shared" si="60"/>
        <v>0</v>
      </c>
      <c r="Y274" s="90">
        <f t="shared" si="60"/>
        <v>0</v>
      </c>
      <c r="Z274" s="102">
        <f t="shared" si="60"/>
        <v>0</v>
      </c>
      <c r="AA274" s="101" t="str">
        <f t="shared" si="60"/>
        <v>EA</v>
      </c>
      <c r="AB274" s="71"/>
      <c r="AC274" s="91">
        <v>1</v>
      </c>
      <c r="AD274" s="91">
        <v>1</v>
      </c>
      <c r="AE274" s="92" t="str">
        <f t="shared" si="53"/>
        <v>Price Line 258</v>
      </c>
      <c r="AF274" s="93">
        <f t="shared" si="52"/>
        <v>0</v>
      </c>
    </row>
    <row r="275" spans="10:32" ht="12.5" hidden="1">
      <c r="J275" s="83">
        <f t="shared" si="58"/>
        <v>0</v>
      </c>
      <c r="K275" s="99">
        <v>259</v>
      </c>
      <c r="L275" s="100">
        <f t="shared" si="59"/>
        <v>1</v>
      </c>
      <c r="M275" s="90" t="str">
        <f t="shared" si="59"/>
        <v>Price Line 259</v>
      </c>
      <c r="N275" s="90">
        <f t="shared" si="59"/>
        <v>0</v>
      </c>
      <c r="O275" s="90">
        <f t="shared" si="59"/>
        <v>0</v>
      </c>
      <c r="P275" s="90">
        <f t="shared" si="59"/>
        <v>0</v>
      </c>
      <c r="Q275" s="90">
        <f t="shared" si="59"/>
        <v>0</v>
      </c>
      <c r="R275" s="90">
        <f t="shared" si="59"/>
        <v>0</v>
      </c>
      <c r="S275" s="90">
        <f t="shared" si="59"/>
        <v>0</v>
      </c>
      <c r="T275" s="90">
        <f t="shared" si="59"/>
        <v>0</v>
      </c>
      <c r="U275" s="101">
        <f t="shared" si="59"/>
        <v>0</v>
      </c>
      <c r="V275" s="71"/>
      <c r="W275" s="102">
        <f t="shared" si="60"/>
        <v>0</v>
      </c>
      <c r="X275" s="102">
        <f t="shared" si="60"/>
        <v>0</v>
      </c>
      <c r="Y275" s="90">
        <f t="shared" si="60"/>
        <v>0</v>
      </c>
      <c r="Z275" s="102">
        <f t="shared" si="60"/>
        <v>0</v>
      </c>
      <c r="AA275" s="101" t="str">
        <f t="shared" si="60"/>
        <v>EA</v>
      </c>
      <c r="AB275" s="71"/>
      <c r="AC275" s="91">
        <v>1</v>
      </c>
      <c r="AD275" s="91">
        <v>1</v>
      </c>
      <c r="AE275" s="92" t="str">
        <f t="shared" si="53"/>
        <v>Price Line 259</v>
      </c>
      <c r="AF275" s="93">
        <f t="shared" si="52"/>
        <v>0</v>
      </c>
    </row>
    <row r="276" spans="10:32" ht="12.5" hidden="1">
      <c r="J276" s="83">
        <f t="shared" si="58"/>
        <v>0</v>
      </c>
      <c r="K276" s="99">
        <v>260</v>
      </c>
      <c r="L276" s="100">
        <f t="shared" si="59"/>
        <v>1</v>
      </c>
      <c r="M276" s="90" t="str">
        <f t="shared" si="59"/>
        <v>Price Line 260</v>
      </c>
      <c r="N276" s="90">
        <f t="shared" si="59"/>
        <v>0</v>
      </c>
      <c r="O276" s="90">
        <f t="shared" si="59"/>
        <v>0</v>
      </c>
      <c r="P276" s="90">
        <f t="shared" si="59"/>
        <v>0</v>
      </c>
      <c r="Q276" s="90">
        <f t="shared" si="59"/>
        <v>0</v>
      </c>
      <c r="R276" s="90">
        <f t="shared" si="59"/>
        <v>0</v>
      </c>
      <c r="S276" s="90">
        <f t="shared" si="59"/>
        <v>0</v>
      </c>
      <c r="T276" s="90">
        <f t="shared" si="59"/>
        <v>0</v>
      </c>
      <c r="U276" s="101">
        <f t="shared" si="59"/>
        <v>0</v>
      </c>
      <c r="V276" s="71"/>
      <c r="W276" s="102">
        <f t="shared" si="60"/>
        <v>0</v>
      </c>
      <c r="X276" s="102">
        <f t="shared" si="60"/>
        <v>0</v>
      </c>
      <c r="Y276" s="90">
        <f t="shared" si="60"/>
        <v>0</v>
      </c>
      <c r="Z276" s="102">
        <f t="shared" si="60"/>
        <v>0</v>
      </c>
      <c r="AA276" s="101" t="str">
        <f t="shared" si="60"/>
        <v>EA</v>
      </c>
      <c r="AB276" s="71"/>
      <c r="AC276" s="91">
        <v>1</v>
      </c>
      <c r="AD276" s="91">
        <v>1</v>
      </c>
      <c r="AE276" s="92" t="str">
        <f t="shared" si="53"/>
        <v>Price Line 260</v>
      </c>
      <c r="AF276" s="93">
        <f t="shared" si="52"/>
        <v>0</v>
      </c>
    </row>
    <row r="277" spans="10:32" ht="12.5" hidden="1">
      <c r="J277" s="83">
        <f t="shared" si="58"/>
        <v>0</v>
      </c>
      <c r="K277" s="99">
        <v>261</v>
      </c>
      <c r="L277" s="100">
        <f t="shared" si="59"/>
        <v>1</v>
      </c>
      <c r="M277" s="90" t="str">
        <f t="shared" si="59"/>
        <v>Price Line 261</v>
      </c>
      <c r="N277" s="90">
        <f t="shared" si="59"/>
        <v>0</v>
      </c>
      <c r="O277" s="90">
        <f t="shared" si="59"/>
        <v>0</v>
      </c>
      <c r="P277" s="90">
        <f t="shared" si="59"/>
        <v>0</v>
      </c>
      <c r="Q277" s="90">
        <f t="shared" si="59"/>
        <v>0</v>
      </c>
      <c r="R277" s="90">
        <f t="shared" si="59"/>
        <v>0</v>
      </c>
      <c r="S277" s="90">
        <f t="shared" si="59"/>
        <v>0</v>
      </c>
      <c r="T277" s="90">
        <f t="shared" si="59"/>
        <v>0</v>
      </c>
      <c r="U277" s="101">
        <f t="shared" si="59"/>
        <v>0</v>
      </c>
      <c r="V277" s="71"/>
      <c r="W277" s="102">
        <f t="shared" si="60"/>
        <v>0</v>
      </c>
      <c r="X277" s="102">
        <f t="shared" si="60"/>
        <v>0</v>
      </c>
      <c r="Y277" s="90">
        <f t="shared" si="60"/>
        <v>0</v>
      </c>
      <c r="Z277" s="102">
        <f t="shared" si="60"/>
        <v>0</v>
      </c>
      <c r="AA277" s="101" t="str">
        <f t="shared" si="60"/>
        <v>EA</v>
      </c>
      <c r="AB277" s="71"/>
      <c r="AC277" s="91">
        <v>1</v>
      </c>
      <c r="AD277" s="91">
        <v>1</v>
      </c>
      <c r="AE277" s="92" t="str">
        <f t="shared" si="53"/>
        <v>Price Line 261</v>
      </c>
      <c r="AF277" s="93">
        <f t="shared" si="52"/>
        <v>0</v>
      </c>
    </row>
    <row r="278" spans="10:32" ht="12.5" hidden="1">
      <c r="J278" s="83">
        <f t="shared" si="58"/>
        <v>0</v>
      </c>
      <c r="K278" s="99">
        <v>262</v>
      </c>
      <c r="L278" s="100">
        <f t="shared" si="59"/>
        <v>1</v>
      </c>
      <c r="M278" s="90" t="str">
        <f t="shared" si="59"/>
        <v>Price Line 262</v>
      </c>
      <c r="N278" s="90">
        <f t="shared" si="59"/>
        <v>0</v>
      </c>
      <c r="O278" s="90">
        <f t="shared" si="59"/>
        <v>0</v>
      </c>
      <c r="P278" s="90">
        <f t="shared" si="59"/>
        <v>0</v>
      </c>
      <c r="Q278" s="90">
        <f t="shared" si="59"/>
        <v>0</v>
      </c>
      <c r="R278" s="90">
        <f t="shared" si="59"/>
        <v>0</v>
      </c>
      <c r="S278" s="90">
        <f t="shared" si="59"/>
        <v>0</v>
      </c>
      <c r="T278" s="90">
        <f t="shared" si="59"/>
        <v>0</v>
      </c>
      <c r="U278" s="101">
        <f t="shared" si="59"/>
        <v>0</v>
      </c>
      <c r="V278" s="71"/>
      <c r="W278" s="102">
        <f t="shared" si="60"/>
        <v>0</v>
      </c>
      <c r="X278" s="102">
        <f t="shared" si="60"/>
        <v>0</v>
      </c>
      <c r="Y278" s="90">
        <f t="shared" si="60"/>
        <v>0</v>
      </c>
      <c r="Z278" s="102">
        <f t="shared" si="60"/>
        <v>0</v>
      </c>
      <c r="AA278" s="101" t="str">
        <f t="shared" si="60"/>
        <v>EA</v>
      </c>
      <c r="AB278" s="71"/>
      <c r="AC278" s="91">
        <v>1</v>
      </c>
      <c r="AD278" s="91">
        <v>1</v>
      </c>
      <c r="AE278" s="92" t="str">
        <f t="shared" si="53"/>
        <v>Price Line 262</v>
      </c>
      <c r="AF278" s="93">
        <f t="shared" si="52"/>
        <v>0</v>
      </c>
    </row>
    <row r="279" spans="10:32" ht="12.5" hidden="1">
      <c r="J279" s="83">
        <f t="shared" si="58"/>
        <v>0</v>
      </c>
      <c r="K279" s="99">
        <v>263</v>
      </c>
      <c r="L279" s="100">
        <f t="shared" si="59"/>
        <v>1</v>
      </c>
      <c r="M279" s="90" t="str">
        <f t="shared" si="59"/>
        <v>Price Line 263</v>
      </c>
      <c r="N279" s="90">
        <f t="shared" si="59"/>
        <v>0</v>
      </c>
      <c r="O279" s="90">
        <f t="shared" si="59"/>
        <v>0</v>
      </c>
      <c r="P279" s="90">
        <f t="shared" si="59"/>
        <v>0</v>
      </c>
      <c r="Q279" s="90">
        <f t="shared" si="59"/>
        <v>0</v>
      </c>
      <c r="R279" s="90">
        <f t="shared" si="59"/>
        <v>0</v>
      </c>
      <c r="S279" s="90">
        <f t="shared" si="59"/>
        <v>0</v>
      </c>
      <c r="T279" s="90">
        <f t="shared" si="59"/>
        <v>0</v>
      </c>
      <c r="U279" s="101">
        <f t="shared" si="59"/>
        <v>0</v>
      </c>
      <c r="V279" s="71"/>
      <c r="W279" s="102">
        <f t="shared" si="60"/>
        <v>0</v>
      </c>
      <c r="X279" s="102">
        <f t="shared" si="60"/>
        <v>0</v>
      </c>
      <c r="Y279" s="90">
        <f t="shared" si="60"/>
        <v>0</v>
      </c>
      <c r="Z279" s="102">
        <f t="shared" si="60"/>
        <v>0</v>
      </c>
      <c r="AA279" s="101" t="str">
        <f t="shared" si="60"/>
        <v>EA</v>
      </c>
      <c r="AB279" s="71"/>
      <c r="AC279" s="91">
        <v>1</v>
      </c>
      <c r="AD279" s="91">
        <v>1</v>
      </c>
      <c r="AE279" s="92" t="str">
        <f t="shared" si="53"/>
        <v>Price Line 263</v>
      </c>
      <c r="AF279" s="93">
        <f t="shared" si="52"/>
        <v>0</v>
      </c>
    </row>
    <row r="280" spans="10:32" ht="12.5" hidden="1">
      <c r="J280" s="83">
        <f t="shared" si="58"/>
        <v>0</v>
      </c>
      <c r="K280" s="99">
        <v>264</v>
      </c>
      <c r="L280" s="100">
        <f t="shared" si="59"/>
        <v>1</v>
      </c>
      <c r="M280" s="90" t="str">
        <f t="shared" si="59"/>
        <v>Price Line 264</v>
      </c>
      <c r="N280" s="90">
        <f t="shared" si="59"/>
        <v>0</v>
      </c>
      <c r="O280" s="90">
        <f t="shared" si="59"/>
        <v>0</v>
      </c>
      <c r="P280" s="90">
        <f t="shared" si="59"/>
        <v>0</v>
      </c>
      <c r="Q280" s="90">
        <f t="shared" si="59"/>
        <v>0</v>
      </c>
      <c r="R280" s="90">
        <f t="shared" si="59"/>
        <v>0</v>
      </c>
      <c r="S280" s="90">
        <f t="shared" si="59"/>
        <v>0</v>
      </c>
      <c r="T280" s="90">
        <f t="shared" si="59"/>
        <v>0</v>
      </c>
      <c r="U280" s="101">
        <f t="shared" si="59"/>
        <v>0</v>
      </c>
      <c r="V280" s="71"/>
      <c r="W280" s="102">
        <f t="shared" si="60"/>
        <v>0</v>
      </c>
      <c r="X280" s="102">
        <f t="shared" si="60"/>
        <v>0</v>
      </c>
      <c r="Y280" s="90">
        <f t="shared" si="60"/>
        <v>0</v>
      </c>
      <c r="Z280" s="102">
        <f t="shared" si="60"/>
        <v>0</v>
      </c>
      <c r="AA280" s="101" t="str">
        <f t="shared" si="60"/>
        <v>EA</v>
      </c>
      <c r="AB280" s="71"/>
      <c r="AC280" s="91">
        <v>1</v>
      </c>
      <c r="AD280" s="91">
        <v>1</v>
      </c>
      <c r="AE280" s="92" t="str">
        <f t="shared" si="53"/>
        <v>Price Line 264</v>
      </c>
      <c r="AF280" s="93">
        <f t="shared" si="52"/>
        <v>0</v>
      </c>
    </row>
    <row r="281" spans="10:32" ht="12.5" hidden="1">
      <c r="J281" s="83">
        <f t="shared" si="58"/>
        <v>0</v>
      </c>
      <c r="K281" s="99">
        <v>265</v>
      </c>
      <c r="L281" s="100">
        <f t="shared" si="59"/>
        <v>1</v>
      </c>
      <c r="M281" s="90" t="str">
        <f t="shared" si="59"/>
        <v>Price Line 265</v>
      </c>
      <c r="N281" s="90">
        <f t="shared" si="59"/>
        <v>0</v>
      </c>
      <c r="O281" s="90">
        <f t="shared" si="59"/>
        <v>0</v>
      </c>
      <c r="P281" s="90">
        <f t="shared" si="59"/>
        <v>0</v>
      </c>
      <c r="Q281" s="90">
        <f t="shared" si="59"/>
        <v>0</v>
      </c>
      <c r="R281" s="90">
        <f t="shared" si="59"/>
        <v>0</v>
      </c>
      <c r="S281" s="90">
        <f t="shared" si="59"/>
        <v>0</v>
      </c>
      <c r="T281" s="90">
        <f t="shared" si="59"/>
        <v>0</v>
      </c>
      <c r="U281" s="101">
        <f t="shared" si="59"/>
        <v>0</v>
      </c>
      <c r="V281" s="71"/>
      <c r="W281" s="102">
        <f t="shared" si="60"/>
        <v>0</v>
      </c>
      <c r="X281" s="102">
        <f t="shared" si="60"/>
        <v>0</v>
      </c>
      <c r="Y281" s="90">
        <f t="shared" si="60"/>
        <v>0</v>
      </c>
      <c r="Z281" s="102">
        <f t="shared" si="60"/>
        <v>0</v>
      </c>
      <c r="AA281" s="101" t="str">
        <f t="shared" si="60"/>
        <v>EA</v>
      </c>
      <c r="AB281" s="71"/>
      <c r="AC281" s="91">
        <v>1</v>
      </c>
      <c r="AD281" s="91">
        <v>1</v>
      </c>
      <c r="AE281" s="92" t="str">
        <f t="shared" si="53"/>
        <v>Price Line 265</v>
      </c>
      <c r="AF281" s="93">
        <f t="shared" si="52"/>
        <v>0</v>
      </c>
    </row>
    <row r="282" spans="10:32" ht="12.5" hidden="1">
      <c r="J282" s="83">
        <f t="shared" si="58"/>
        <v>0</v>
      </c>
      <c r="K282" s="99">
        <v>266</v>
      </c>
      <c r="L282" s="100">
        <f t="shared" si="59"/>
        <v>1</v>
      </c>
      <c r="M282" s="90" t="str">
        <f t="shared" si="59"/>
        <v>Price Line 266</v>
      </c>
      <c r="N282" s="90">
        <f t="shared" si="59"/>
        <v>0</v>
      </c>
      <c r="O282" s="90">
        <f t="shared" si="59"/>
        <v>0</v>
      </c>
      <c r="P282" s="90">
        <f t="shared" si="59"/>
        <v>0</v>
      </c>
      <c r="Q282" s="90">
        <f t="shared" si="59"/>
        <v>0</v>
      </c>
      <c r="R282" s="90">
        <f t="shared" si="59"/>
        <v>0</v>
      </c>
      <c r="S282" s="90">
        <f t="shared" si="59"/>
        <v>0</v>
      </c>
      <c r="T282" s="90">
        <f t="shared" si="59"/>
        <v>0</v>
      </c>
      <c r="U282" s="101">
        <f t="shared" si="59"/>
        <v>0</v>
      </c>
      <c r="V282" s="71"/>
      <c r="W282" s="102">
        <f t="shared" si="60"/>
        <v>0</v>
      </c>
      <c r="X282" s="102">
        <f t="shared" si="60"/>
        <v>0</v>
      </c>
      <c r="Y282" s="90">
        <f t="shared" si="60"/>
        <v>0</v>
      </c>
      <c r="Z282" s="102">
        <f t="shared" si="60"/>
        <v>0</v>
      </c>
      <c r="AA282" s="101" t="str">
        <f t="shared" si="60"/>
        <v>EA</v>
      </c>
      <c r="AB282" s="71"/>
      <c r="AC282" s="91">
        <v>1</v>
      </c>
      <c r="AD282" s="91">
        <v>1</v>
      </c>
      <c r="AE282" s="92" t="str">
        <f t="shared" si="53"/>
        <v>Price Line 266</v>
      </c>
      <c r="AF282" s="93">
        <f t="shared" si="52"/>
        <v>0</v>
      </c>
    </row>
    <row r="283" spans="10:32" ht="12.5" hidden="1">
      <c r="J283" s="83">
        <f t="shared" si="58"/>
        <v>0</v>
      </c>
      <c r="K283" s="99">
        <v>267</v>
      </c>
      <c r="L283" s="100">
        <f t="shared" si="59"/>
        <v>1</v>
      </c>
      <c r="M283" s="90" t="str">
        <f t="shared" si="59"/>
        <v>Price Line 267</v>
      </c>
      <c r="N283" s="90">
        <f t="shared" si="59"/>
        <v>0</v>
      </c>
      <c r="O283" s="90">
        <f t="shared" si="59"/>
        <v>0</v>
      </c>
      <c r="P283" s="90">
        <f t="shared" si="59"/>
        <v>0</v>
      </c>
      <c r="Q283" s="90">
        <f t="shared" si="59"/>
        <v>0</v>
      </c>
      <c r="R283" s="90">
        <f t="shared" si="59"/>
        <v>0</v>
      </c>
      <c r="S283" s="90">
        <f t="shared" si="59"/>
        <v>0</v>
      </c>
      <c r="T283" s="90">
        <f t="shared" si="59"/>
        <v>0</v>
      </c>
      <c r="U283" s="101">
        <f t="shared" si="59"/>
        <v>0</v>
      </c>
      <c r="V283" s="71"/>
      <c r="W283" s="102">
        <f t="shared" si="60"/>
        <v>0</v>
      </c>
      <c r="X283" s="102">
        <f t="shared" si="60"/>
        <v>0</v>
      </c>
      <c r="Y283" s="90">
        <f t="shared" si="60"/>
        <v>0</v>
      </c>
      <c r="Z283" s="102">
        <f t="shared" si="60"/>
        <v>0</v>
      </c>
      <c r="AA283" s="101" t="str">
        <f t="shared" si="60"/>
        <v>EA</v>
      </c>
      <c r="AB283" s="71"/>
      <c r="AC283" s="91">
        <v>1</v>
      </c>
      <c r="AD283" s="91">
        <v>1</v>
      </c>
      <c r="AE283" s="92" t="str">
        <f t="shared" si="53"/>
        <v>Price Line 267</v>
      </c>
      <c r="AF283" s="93">
        <f t="shared" si="52"/>
        <v>0</v>
      </c>
    </row>
    <row r="284" spans="10:32" ht="12.5" hidden="1">
      <c r="J284" s="83">
        <f t="shared" si="58"/>
        <v>0</v>
      </c>
      <c r="K284" s="99">
        <v>268</v>
      </c>
      <c r="L284" s="100">
        <f t="shared" si="59"/>
        <v>1</v>
      </c>
      <c r="M284" s="90" t="str">
        <f t="shared" si="59"/>
        <v>Price Line 268</v>
      </c>
      <c r="N284" s="90">
        <f t="shared" si="59"/>
        <v>0</v>
      </c>
      <c r="O284" s="90">
        <f t="shared" si="59"/>
        <v>0</v>
      </c>
      <c r="P284" s="90">
        <f t="shared" si="59"/>
        <v>0</v>
      </c>
      <c r="Q284" s="90">
        <f t="shared" si="59"/>
        <v>0</v>
      </c>
      <c r="R284" s="90">
        <f t="shared" si="59"/>
        <v>0</v>
      </c>
      <c r="S284" s="90">
        <f t="shared" si="59"/>
        <v>0</v>
      </c>
      <c r="T284" s="90">
        <f t="shared" si="59"/>
        <v>0</v>
      </c>
      <c r="U284" s="101">
        <f t="shared" si="59"/>
        <v>0</v>
      </c>
      <c r="V284" s="71"/>
      <c r="W284" s="102">
        <f t="shared" si="60"/>
        <v>0</v>
      </c>
      <c r="X284" s="102">
        <f t="shared" si="60"/>
        <v>0</v>
      </c>
      <c r="Y284" s="90">
        <f t="shared" si="60"/>
        <v>0</v>
      </c>
      <c r="Z284" s="102">
        <f t="shared" si="60"/>
        <v>0</v>
      </c>
      <c r="AA284" s="101" t="str">
        <f t="shared" si="60"/>
        <v>EA</v>
      </c>
      <c r="AB284" s="71"/>
      <c r="AC284" s="91">
        <v>1</v>
      </c>
      <c r="AD284" s="91">
        <v>1</v>
      </c>
      <c r="AE284" s="92" t="str">
        <f t="shared" si="53"/>
        <v>Price Line 268</v>
      </c>
      <c r="AF284" s="93">
        <f t="shared" si="52"/>
        <v>0</v>
      </c>
    </row>
    <row r="285" spans="10:32" ht="12.5" hidden="1">
      <c r="J285" s="83">
        <f t="shared" si="58"/>
        <v>0</v>
      </c>
      <c r="K285" s="99">
        <v>269</v>
      </c>
      <c r="L285" s="100">
        <f t="shared" si="59"/>
        <v>1</v>
      </c>
      <c r="M285" s="90" t="str">
        <f t="shared" si="59"/>
        <v>Price Line 269</v>
      </c>
      <c r="N285" s="90">
        <f t="shared" si="59"/>
        <v>0</v>
      </c>
      <c r="O285" s="90">
        <f t="shared" si="59"/>
        <v>0</v>
      </c>
      <c r="P285" s="90">
        <f t="shared" si="59"/>
        <v>0</v>
      </c>
      <c r="Q285" s="90">
        <f t="shared" si="59"/>
        <v>0</v>
      </c>
      <c r="R285" s="90">
        <f t="shared" si="59"/>
        <v>0</v>
      </c>
      <c r="S285" s="90">
        <f t="shared" si="59"/>
        <v>0</v>
      </c>
      <c r="T285" s="90">
        <f t="shared" si="59"/>
        <v>0</v>
      </c>
      <c r="U285" s="101">
        <f t="shared" si="59"/>
        <v>0</v>
      </c>
      <c r="V285" s="71"/>
      <c r="W285" s="102">
        <f t="shared" si="60"/>
        <v>0</v>
      </c>
      <c r="X285" s="102">
        <f t="shared" si="60"/>
        <v>0</v>
      </c>
      <c r="Y285" s="90">
        <f t="shared" si="60"/>
        <v>0</v>
      </c>
      <c r="Z285" s="102">
        <f t="shared" si="60"/>
        <v>0</v>
      </c>
      <c r="AA285" s="101" t="str">
        <f t="shared" si="60"/>
        <v>EA</v>
      </c>
      <c r="AB285" s="71"/>
      <c r="AC285" s="91">
        <v>1</v>
      </c>
      <c r="AD285" s="91">
        <v>1</v>
      </c>
      <c r="AE285" s="92" t="str">
        <f t="shared" si="53"/>
        <v>Price Line 269</v>
      </c>
      <c r="AF285" s="93">
        <f t="shared" si="52"/>
        <v>0</v>
      </c>
    </row>
    <row r="286" spans="10:32" ht="12.5" hidden="1">
      <c r="J286" s="83">
        <f t="shared" si="58"/>
        <v>0</v>
      </c>
      <c r="K286" s="99">
        <v>270</v>
      </c>
      <c r="L286" s="100">
        <f t="shared" si="59"/>
        <v>1</v>
      </c>
      <c r="M286" s="90" t="str">
        <f t="shared" si="59"/>
        <v>Price Line 270</v>
      </c>
      <c r="N286" s="90">
        <f t="shared" si="59"/>
        <v>0</v>
      </c>
      <c r="O286" s="90">
        <f t="shared" si="59"/>
        <v>0</v>
      </c>
      <c r="P286" s="90">
        <f t="shared" si="59"/>
        <v>0</v>
      </c>
      <c r="Q286" s="90">
        <f t="shared" si="59"/>
        <v>0</v>
      </c>
      <c r="R286" s="90">
        <f t="shared" si="59"/>
        <v>0</v>
      </c>
      <c r="S286" s="90">
        <f t="shared" si="59"/>
        <v>0</v>
      </c>
      <c r="T286" s="90">
        <f t="shared" si="59"/>
        <v>0</v>
      </c>
      <c r="U286" s="101">
        <f t="shared" si="59"/>
        <v>0</v>
      </c>
      <c r="V286" s="71"/>
      <c r="W286" s="102">
        <f t="shared" si="60"/>
        <v>0</v>
      </c>
      <c r="X286" s="102">
        <f t="shared" si="60"/>
        <v>0</v>
      </c>
      <c r="Y286" s="90">
        <f t="shared" si="60"/>
        <v>0</v>
      </c>
      <c r="Z286" s="102">
        <f t="shared" si="60"/>
        <v>0</v>
      </c>
      <c r="AA286" s="101" t="str">
        <f t="shared" si="60"/>
        <v>EA</v>
      </c>
      <c r="AB286" s="71"/>
      <c r="AC286" s="91">
        <v>1</v>
      </c>
      <c r="AD286" s="91">
        <v>1</v>
      </c>
      <c r="AE286" s="92" t="str">
        <f t="shared" si="53"/>
        <v>Price Line 270</v>
      </c>
      <c r="AF286" s="93">
        <f t="shared" si="52"/>
        <v>0</v>
      </c>
    </row>
    <row r="287" spans="10:32" ht="12.5" hidden="1">
      <c r="J287" s="83">
        <f t="shared" si="58"/>
        <v>0</v>
      </c>
      <c r="K287" s="99">
        <v>271</v>
      </c>
      <c r="L287" s="100">
        <f t="shared" si="59"/>
        <v>1</v>
      </c>
      <c r="M287" s="90" t="str">
        <f t="shared" si="59"/>
        <v>Price Line 271</v>
      </c>
      <c r="N287" s="90">
        <f t="shared" si="59"/>
        <v>0</v>
      </c>
      <c r="O287" s="90">
        <f t="shared" si="59"/>
        <v>0</v>
      </c>
      <c r="P287" s="90">
        <f t="shared" si="59"/>
        <v>0</v>
      </c>
      <c r="Q287" s="90">
        <f t="shared" si="59"/>
        <v>0</v>
      </c>
      <c r="R287" s="90">
        <f t="shared" si="59"/>
        <v>0</v>
      </c>
      <c r="S287" s="90">
        <f t="shared" si="59"/>
        <v>0</v>
      </c>
      <c r="T287" s="90">
        <f t="shared" si="59"/>
        <v>0</v>
      </c>
      <c r="U287" s="101">
        <f t="shared" si="59"/>
        <v>0</v>
      </c>
      <c r="V287" s="71"/>
      <c r="W287" s="102">
        <f t="shared" si="60"/>
        <v>0</v>
      </c>
      <c r="X287" s="102">
        <f t="shared" si="60"/>
        <v>0</v>
      </c>
      <c r="Y287" s="90">
        <f t="shared" si="60"/>
        <v>0</v>
      </c>
      <c r="Z287" s="102">
        <f t="shared" si="60"/>
        <v>0</v>
      </c>
      <c r="AA287" s="101" t="str">
        <f t="shared" si="60"/>
        <v>EA</v>
      </c>
      <c r="AB287" s="71"/>
      <c r="AC287" s="91">
        <v>1</v>
      </c>
      <c r="AD287" s="91">
        <v>1</v>
      </c>
      <c r="AE287" s="92" t="str">
        <f t="shared" si="53"/>
        <v>Price Line 271</v>
      </c>
      <c r="AF287" s="93">
        <f t="shared" si="52"/>
        <v>0</v>
      </c>
    </row>
    <row r="288" spans="10:32" ht="12.5" hidden="1">
      <c r="J288" s="83">
        <f t="shared" si="58"/>
        <v>0</v>
      </c>
      <c r="K288" s="99">
        <v>272</v>
      </c>
      <c r="L288" s="100">
        <f t="shared" si="59"/>
        <v>1</v>
      </c>
      <c r="M288" s="90" t="str">
        <f t="shared" si="59"/>
        <v>Price Line 272</v>
      </c>
      <c r="N288" s="90">
        <f t="shared" si="59"/>
        <v>0</v>
      </c>
      <c r="O288" s="90">
        <f t="shared" si="59"/>
        <v>0</v>
      </c>
      <c r="P288" s="90">
        <f t="shared" si="59"/>
        <v>0</v>
      </c>
      <c r="Q288" s="90">
        <f t="shared" si="59"/>
        <v>0</v>
      </c>
      <c r="R288" s="90">
        <f t="shared" si="59"/>
        <v>0</v>
      </c>
      <c r="S288" s="90">
        <f t="shared" si="59"/>
        <v>0</v>
      </c>
      <c r="T288" s="90">
        <f t="shared" si="59"/>
        <v>0</v>
      </c>
      <c r="U288" s="101">
        <f t="shared" si="59"/>
        <v>0</v>
      </c>
      <c r="V288" s="71"/>
      <c r="W288" s="102">
        <f t="shared" si="60"/>
        <v>0</v>
      </c>
      <c r="X288" s="102">
        <f t="shared" si="60"/>
        <v>0</v>
      </c>
      <c r="Y288" s="90">
        <f t="shared" si="60"/>
        <v>0</v>
      </c>
      <c r="Z288" s="102">
        <f t="shared" si="60"/>
        <v>0</v>
      </c>
      <c r="AA288" s="101" t="str">
        <f t="shared" si="60"/>
        <v>EA</v>
      </c>
      <c r="AB288" s="71"/>
      <c r="AC288" s="91">
        <v>1</v>
      </c>
      <c r="AD288" s="91">
        <v>1</v>
      </c>
      <c r="AE288" s="92" t="str">
        <f t="shared" si="53"/>
        <v>Price Line 272</v>
      </c>
      <c r="AF288" s="93">
        <f t="shared" si="52"/>
        <v>0</v>
      </c>
    </row>
    <row r="289" spans="10:32" ht="12.5" hidden="1">
      <c r="J289" s="83">
        <f t="shared" si="58"/>
        <v>0</v>
      </c>
      <c r="K289" s="99">
        <v>273</v>
      </c>
      <c r="L289" s="100">
        <f t="shared" ref="L289:U304" si="61">INDEX(L$420:L$1632,MATCH($K289,$K$420:$K$1632,0)+MATCH("Option "&amp;$D$9,$K$420:$K$1230,0)-1,1)</f>
        <v>1</v>
      </c>
      <c r="M289" s="90" t="str">
        <f t="shared" si="61"/>
        <v>Price Line 273</v>
      </c>
      <c r="N289" s="90">
        <f t="shared" si="61"/>
        <v>0</v>
      </c>
      <c r="O289" s="90">
        <f t="shared" si="61"/>
        <v>0</v>
      </c>
      <c r="P289" s="90">
        <f t="shared" si="61"/>
        <v>0</v>
      </c>
      <c r="Q289" s="90">
        <f t="shared" si="61"/>
        <v>0</v>
      </c>
      <c r="R289" s="90">
        <f t="shared" si="61"/>
        <v>0</v>
      </c>
      <c r="S289" s="90">
        <f t="shared" si="61"/>
        <v>0</v>
      </c>
      <c r="T289" s="90">
        <f t="shared" si="61"/>
        <v>0</v>
      </c>
      <c r="U289" s="101">
        <f t="shared" si="61"/>
        <v>0</v>
      </c>
      <c r="V289" s="71"/>
      <c r="W289" s="102">
        <f t="shared" ref="W289:AA304" si="62">INDEX(W$420:W$1632,MATCH($K289,$K$420:$K$1632,0)+MATCH("Option "&amp;$D$9,$K$420:$K$1230,0)-1,1)</f>
        <v>0</v>
      </c>
      <c r="X289" s="102">
        <f t="shared" si="62"/>
        <v>0</v>
      </c>
      <c r="Y289" s="90">
        <f t="shared" si="62"/>
        <v>0</v>
      </c>
      <c r="Z289" s="102">
        <f t="shared" si="62"/>
        <v>0</v>
      </c>
      <c r="AA289" s="101" t="str">
        <f t="shared" si="62"/>
        <v>EA</v>
      </c>
      <c r="AB289" s="71"/>
      <c r="AC289" s="91">
        <v>1</v>
      </c>
      <c r="AD289" s="91">
        <v>1</v>
      </c>
      <c r="AE289" s="92" t="str">
        <f t="shared" si="53"/>
        <v>Price Line 273</v>
      </c>
      <c r="AF289" s="93">
        <f t="shared" si="52"/>
        <v>0</v>
      </c>
    </row>
    <row r="290" spans="10:32" ht="12.5" hidden="1">
      <c r="J290" s="83">
        <f t="shared" si="58"/>
        <v>0</v>
      </c>
      <c r="K290" s="99">
        <v>274</v>
      </c>
      <c r="L290" s="100">
        <f t="shared" si="61"/>
        <v>1</v>
      </c>
      <c r="M290" s="90" t="str">
        <f t="shared" si="61"/>
        <v>Price Line 274</v>
      </c>
      <c r="N290" s="90">
        <f t="shared" si="61"/>
        <v>0</v>
      </c>
      <c r="O290" s="90">
        <f t="shared" si="61"/>
        <v>0</v>
      </c>
      <c r="P290" s="90">
        <f t="shared" si="61"/>
        <v>0</v>
      </c>
      <c r="Q290" s="90">
        <f t="shared" si="61"/>
        <v>0</v>
      </c>
      <c r="R290" s="90">
        <f t="shared" si="61"/>
        <v>0</v>
      </c>
      <c r="S290" s="90">
        <f t="shared" si="61"/>
        <v>0</v>
      </c>
      <c r="T290" s="90">
        <f t="shared" si="61"/>
        <v>0</v>
      </c>
      <c r="U290" s="101">
        <f t="shared" si="61"/>
        <v>0</v>
      </c>
      <c r="V290" s="71"/>
      <c r="W290" s="102">
        <f t="shared" si="62"/>
        <v>0</v>
      </c>
      <c r="X290" s="102">
        <f t="shared" si="62"/>
        <v>0</v>
      </c>
      <c r="Y290" s="90">
        <f t="shared" si="62"/>
        <v>0</v>
      </c>
      <c r="Z290" s="102">
        <f t="shared" si="62"/>
        <v>0</v>
      </c>
      <c r="AA290" s="101" t="str">
        <f t="shared" si="62"/>
        <v>EA</v>
      </c>
      <c r="AB290" s="71"/>
      <c r="AC290" s="91">
        <v>1</v>
      </c>
      <c r="AD290" s="91">
        <v>1</v>
      </c>
      <c r="AE290" s="92" t="str">
        <f t="shared" si="53"/>
        <v>Price Line 274</v>
      </c>
      <c r="AF290" s="93">
        <f t="shared" si="52"/>
        <v>0</v>
      </c>
    </row>
    <row r="291" spans="10:32" ht="12.5" hidden="1">
      <c r="J291" s="83">
        <f t="shared" si="58"/>
        <v>0</v>
      </c>
      <c r="K291" s="99">
        <v>275</v>
      </c>
      <c r="L291" s="100">
        <f t="shared" si="61"/>
        <v>1</v>
      </c>
      <c r="M291" s="90" t="str">
        <f t="shared" si="61"/>
        <v>Price Line 275</v>
      </c>
      <c r="N291" s="90">
        <f t="shared" si="61"/>
        <v>0</v>
      </c>
      <c r="O291" s="90">
        <f t="shared" si="61"/>
        <v>0</v>
      </c>
      <c r="P291" s="90">
        <f t="shared" si="61"/>
        <v>0</v>
      </c>
      <c r="Q291" s="90">
        <f t="shared" si="61"/>
        <v>0</v>
      </c>
      <c r="R291" s="90">
        <f t="shared" si="61"/>
        <v>0</v>
      </c>
      <c r="S291" s="90">
        <f t="shared" si="61"/>
        <v>0</v>
      </c>
      <c r="T291" s="90">
        <f t="shared" si="61"/>
        <v>0</v>
      </c>
      <c r="U291" s="101">
        <f t="shared" si="61"/>
        <v>0</v>
      </c>
      <c r="V291" s="71"/>
      <c r="W291" s="102">
        <f t="shared" si="62"/>
        <v>0</v>
      </c>
      <c r="X291" s="102">
        <f t="shared" si="62"/>
        <v>0</v>
      </c>
      <c r="Y291" s="90">
        <f t="shared" si="62"/>
        <v>0</v>
      </c>
      <c r="Z291" s="102">
        <f t="shared" si="62"/>
        <v>0</v>
      </c>
      <c r="AA291" s="101" t="str">
        <f t="shared" si="62"/>
        <v>EA</v>
      </c>
      <c r="AB291" s="71"/>
      <c r="AC291" s="91">
        <v>1</v>
      </c>
      <c r="AD291" s="91">
        <v>1</v>
      </c>
      <c r="AE291" s="92" t="str">
        <f t="shared" si="53"/>
        <v>Price Line 275</v>
      </c>
      <c r="AF291" s="93">
        <f t="shared" si="52"/>
        <v>0</v>
      </c>
    </row>
    <row r="292" spans="10:32" ht="12.5" hidden="1">
      <c r="J292" s="83">
        <f t="shared" si="58"/>
        <v>0</v>
      </c>
      <c r="K292" s="99">
        <v>276</v>
      </c>
      <c r="L292" s="100">
        <f t="shared" si="61"/>
        <v>1</v>
      </c>
      <c r="M292" s="90" t="str">
        <f t="shared" si="61"/>
        <v>Price Line 276</v>
      </c>
      <c r="N292" s="90">
        <f t="shared" si="61"/>
        <v>0</v>
      </c>
      <c r="O292" s="90">
        <f t="shared" si="61"/>
        <v>0</v>
      </c>
      <c r="P292" s="90">
        <f t="shared" si="61"/>
        <v>0</v>
      </c>
      <c r="Q292" s="90">
        <f t="shared" si="61"/>
        <v>0</v>
      </c>
      <c r="R292" s="90">
        <f t="shared" si="61"/>
        <v>0</v>
      </c>
      <c r="S292" s="90">
        <f t="shared" si="61"/>
        <v>0</v>
      </c>
      <c r="T292" s="90">
        <f t="shared" si="61"/>
        <v>0</v>
      </c>
      <c r="U292" s="101">
        <f t="shared" si="61"/>
        <v>0</v>
      </c>
      <c r="V292" s="71"/>
      <c r="W292" s="102">
        <f t="shared" si="62"/>
        <v>0</v>
      </c>
      <c r="X292" s="102">
        <f t="shared" si="62"/>
        <v>0</v>
      </c>
      <c r="Y292" s="90">
        <f t="shared" si="62"/>
        <v>0</v>
      </c>
      <c r="Z292" s="102">
        <f t="shared" si="62"/>
        <v>0</v>
      </c>
      <c r="AA292" s="101" t="str">
        <f t="shared" si="62"/>
        <v>EA</v>
      </c>
      <c r="AB292" s="71"/>
      <c r="AC292" s="91">
        <v>1</v>
      </c>
      <c r="AD292" s="91">
        <v>1</v>
      </c>
      <c r="AE292" s="92" t="str">
        <f t="shared" si="53"/>
        <v>Price Line 276</v>
      </c>
      <c r="AF292" s="93">
        <f t="shared" si="52"/>
        <v>0</v>
      </c>
    </row>
    <row r="293" spans="10:32" ht="12.5" hidden="1">
      <c r="J293" s="83">
        <f t="shared" si="58"/>
        <v>0</v>
      </c>
      <c r="K293" s="99">
        <v>277</v>
      </c>
      <c r="L293" s="100">
        <f t="shared" si="61"/>
        <v>1</v>
      </c>
      <c r="M293" s="90" t="str">
        <f t="shared" si="61"/>
        <v>Price Line 277</v>
      </c>
      <c r="N293" s="90">
        <f t="shared" si="61"/>
        <v>0</v>
      </c>
      <c r="O293" s="90">
        <f t="shared" si="61"/>
        <v>0</v>
      </c>
      <c r="P293" s="90">
        <f t="shared" si="61"/>
        <v>0</v>
      </c>
      <c r="Q293" s="90">
        <f t="shared" si="61"/>
        <v>0</v>
      </c>
      <c r="R293" s="90">
        <f t="shared" si="61"/>
        <v>0</v>
      </c>
      <c r="S293" s="90">
        <f t="shared" si="61"/>
        <v>0</v>
      </c>
      <c r="T293" s="90">
        <f t="shared" si="61"/>
        <v>0</v>
      </c>
      <c r="U293" s="101">
        <f t="shared" si="61"/>
        <v>0</v>
      </c>
      <c r="V293" s="71"/>
      <c r="W293" s="102">
        <f t="shared" si="62"/>
        <v>0</v>
      </c>
      <c r="X293" s="102">
        <f t="shared" si="62"/>
        <v>0</v>
      </c>
      <c r="Y293" s="90">
        <f t="shared" si="62"/>
        <v>0</v>
      </c>
      <c r="Z293" s="102">
        <f t="shared" si="62"/>
        <v>0</v>
      </c>
      <c r="AA293" s="101" t="str">
        <f t="shared" si="62"/>
        <v>EA</v>
      </c>
      <c r="AB293" s="71"/>
      <c r="AC293" s="91">
        <v>1</v>
      </c>
      <c r="AD293" s="91">
        <v>1</v>
      </c>
      <c r="AE293" s="92" t="str">
        <f t="shared" si="53"/>
        <v>Price Line 277</v>
      </c>
      <c r="AF293" s="93">
        <f t="shared" si="52"/>
        <v>0</v>
      </c>
    </row>
    <row r="294" spans="10:32" ht="12.5" hidden="1">
      <c r="J294" s="83">
        <f t="shared" si="58"/>
        <v>0</v>
      </c>
      <c r="K294" s="99">
        <v>278</v>
      </c>
      <c r="L294" s="100">
        <f t="shared" si="61"/>
        <v>1</v>
      </c>
      <c r="M294" s="90" t="str">
        <f t="shared" si="61"/>
        <v>Price Line 278</v>
      </c>
      <c r="N294" s="90">
        <f t="shared" si="61"/>
        <v>0</v>
      </c>
      <c r="O294" s="90">
        <f t="shared" si="61"/>
        <v>0</v>
      </c>
      <c r="P294" s="90">
        <f t="shared" si="61"/>
        <v>0</v>
      </c>
      <c r="Q294" s="90">
        <f t="shared" si="61"/>
        <v>0</v>
      </c>
      <c r="R294" s="90">
        <f t="shared" si="61"/>
        <v>0</v>
      </c>
      <c r="S294" s="90">
        <f t="shared" si="61"/>
        <v>0</v>
      </c>
      <c r="T294" s="90">
        <f t="shared" si="61"/>
        <v>0</v>
      </c>
      <c r="U294" s="101">
        <f t="shared" si="61"/>
        <v>0</v>
      </c>
      <c r="V294" s="71"/>
      <c r="W294" s="102">
        <f t="shared" si="62"/>
        <v>0</v>
      </c>
      <c r="X294" s="102">
        <f t="shared" si="62"/>
        <v>0</v>
      </c>
      <c r="Y294" s="90">
        <f t="shared" si="62"/>
        <v>0</v>
      </c>
      <c r="Z294" s="102">
        <f t="shared" si="62"/>
        <v>0</v>
      </c>
      <c r="AA294" s="101" t="str">
        <f t="shared" si="62"/>
        <v>EA</v>
      </c>
      <c r="AB294" s="71"/>
      <c r="AC294" s="91">
        <v>1</v>
      </c>
      <c r="AD294" s="91">
        <v>1</v>
      </c>
      <c r="AE294" s="92" t="str">
        <f t="shared" si="53"/>
        <v>Price Line 278</v>
      </c>
      <c r="AF294" s="93">
        <f t="shared" ref="AF294:AF357" si="63">INDEX(Y294:Z294,1,MATCH(_WellBasketSelection,$Y$15:$Z$15,0))*U294</f>
        <v>0</v>
      </c>
    </row>
    <row r="295" spans="10:32" ht="12.5" hidden="1">
      <c r="J295" s="83">
        <f t="shared" si="58"/>
        <v>0</v>
      </c>
      <c r="K295" s="99">
        <v>279</v>
      </c>
      <c r="L295" s="100">
        <f t="shared" si="61"/>
        <v>1</v>
      </c>
      <c r="M295" s="90" t="str">
        <f t="shared" si="61"/>
        <v>Price Line 279</v>
      </c>
      <c r="N295" s="90">
        <f t="shared" si="61"/>
        <v>0</v>
      </c>
      <c r="O295" s="90">
        <f t="shared" si="61"/>
        <v>0</v>
      </c>
      <c r="P295" s="90">
        <f t="shared" si="61"/>
        <v>0</v>
      </c>
      <c r="Q295" s="90">
        <f t="shared" si="61"/>
        <v>0</v>
      </c>
      <c r="R295" s="90">
        <f t="shared" si="61"/>
        <v>0</v>
      </c>
      <c r="S295" s="90">
        <f t="shared" si="61"/>
        <v>0</v>
      </c>
      <c r="T295" s="90">
        <f t="shared" si="61"/>
        <v>0</v>
      </c>
      <c r="U295" s="101">
        <f t="shared" si="61"/>
        <v>0</v>
      </c>
      <c r="V295" s="71"/>
      <c r="W295" s="102">
        <f t="shared" si="62"/>
        <v>0</v>
      </c>
      <c r="X295" s="102">
        <f t="shared" si="62"/>
        <v>0</v>
      </c>
      <c r="Y295" s="90">
        <f t="shared" si="62"/>
        <v>0</v>
      </c>
      <c r="Z295" s="102">
        <f t="shared" si="62"/>
        <v>0</v>
      </c>
      <c r="AA295" s="101" t="str">
        <f t="shared" si="62"/>
        <v>EA</v>
      </c>
      <c r="AB295" s="71"/>
      <c r="AC295" s="91">
        <v>1</v>
      </c>
      <c r="AD295" s="91">
        <v>1</v>
      </c>
      <c r="AE295" s="92" t="str">
        <f t="shared" si="53"/>
        <v>Price Line 279</v>
      </c>
      <c r="AF295" s="93">
        <f t="shared" si="63"/>
        <v>0</v>
      </c>
    </row>
    <row r="296" spans="10:32" ht="12.5" hidden="1">
      <c r="J296" s="83">
        <f t="shared" si="58"/>
        <v>0</v>
      </c>
      <c r="K296" s="99">
        <v>280</v>
      </c>
      <c r="L296" s="100">
        <f t="shared" si="61"/>
        <v>1</v>
      </c>
      <c r="M296" s="90" t="str">
        <f t="shared" si="61"/>
        <v>Price Line 280</v>
      </c>
      <c r="N296" s="90">
        <f t="shared" si="61"/>
        <v>0</v>
      </c>
      <c r="O296" s="90">
        <f t="shared" si="61"/>
        <v>0</v>
      </c>
      <c r="P296" s="90">
        <f t="shared" si="61"/>
        <v>0</v>
      </c>
      <c r="Q296" s="90">
        <f t="shared" si="61"/>
        <v>0</v>
      </c>
      <c r="R296" s="90">
        <f t="shared" si="61"/>
        <v>0</v>
      </c>
      <c r="S296" s="90">
        <f t="shared" si="61"/>
        <v>0</v>
      </c>
      <c r="T296" s="90">
        <f t="shared" si="61"/>
        <v>0</v>
      </c>
      <c r="U296" s="101">
        <f t="shared" si="61"/>
        <v>0</v>
      </c>
      <c r="V296" s="71"/>
      <c r="W296" s="102">
        <f t="shared" si="62"/>
        <v>0</v>
      </c>
      <c r="X296" s="102">
        <f t="shared" si="62"/>
        <v>0</v>
      </c>
      <c r="Y296" s="90">
        <f t="shared" si="62"/>
        <v>0</v>
      </c>
      <c r="Z296" s="102">
        <f t="shared" si="62"/>
        <v>0</v>
      </c>
      <c r="AA296" s="101" t="str">
        <f t="shared" si="62"/>
        <v>EA</v>
      </c>
      <c r="AB296" s="71"/>
      <c r="AC296" s="91">
        <v>1</v>
      </c>
      <c r="AD296" s="91">
        <v>1</v>
      </c>
      <c r="AE296" s="92" t="str">
        <f t="shared" si="53"/>
        <v>Price Line 280</v>
      </c>
      <c r="AF296" s="93">
        <f t="shared" si="63"/>
        <v>0</v>
      </c>
    </row>
    <row r="297" spans="10:32" ht="12.5" hidden="1">
      <c r="J297" s="83">
        <f t="shared" si="58"/>
        <v>0</v>
      </c>
      <c r="K297" s="99">
        <v>281</v>
      </c>
      <c r="L297" s="100">
        <f t="shared" si="61"/>
        <v>1</v>
      </c>
      <c r="M297" s="90" t="str">
        <f t="shared" si="61"/>
        <v>Price Line 281</v>
      </c>
      <c r="N297" s="90">
        <f t="shared" si="61"/>
        <v>0</v>
      </c>
      <c r="O297" s="90">
        <f t="shared" si="61"/>
        <v>0</v>
      </c>
      <c r="P297" s="90">
        <f t="shared" si="61"/>
        <v>0</v>
      </c>
      <c r="Q297" s="90">
        <f t="shared" si="61"/>
        <v>0</v>
      </c>
      <c r="R297" s="90">
        <f t="shared" si="61"/>
        <v>0</v>
      </c>
      <c r="S297" s="90">
        <f t="shared" si="61"/>
        <v>0</v>
      </c>
      <c r="T297" s="90">
        <f t="shared" si="61"/>
        <v>0</v>
      </c>
      <c r="U297" s="101">
        <f t="shared" si="61"/>
        <v>0</v>
      </c>
      <c r="V297" s="71"/>
      <c r="W297" s="102">
        <f t="shared" si="62"/>
        <v>0</v>
      </c>
      <c r="X297" s="102">
        <f t="shared" si="62"/>
        <v>0</v>
      </c>
      <c r="Y297" s="90">
        <f t="shared" si="62"/>
        <v>0</v>
      </c>
      <c r="Z297" s="102">
        <f t="shared" si="62"/>
        <v>0</v>
      </c>
      <c r="AA297" s="101" t="str">
        <f t="shared" si="62"/>
        <v>EA</v>
      </c>
      <c r="AB297" s="71"/>
      <c r="AC297" s="91">
        <v>1</v>
      </c>
      <c r="AD297" s="91">
        <v>1</v>
      </c>
      <c r="AE297" s="92" t="str">
        <f t="shared" si="53"/>
        <v>Price Line 281</v>
      </c>
      <c r="AF297" s="93">
        <f t="shared" si="63"/>
        <v>0</v>
      </c>
    </row>
    <row r="298" spans="10:32" ht="12.5" hidden="1">
      <c r="J298" s="83">
        <f t="shared" si="58"/>
        <v>0</v>
      </c>
      <c r="K298" s="99">
        <v>282</v>
      </c>
      <c r="L298" s="100">
        <f t="shared" si="61"/>
        <v>1</v>
      </c>
      <c r="M298" s="90" t="str">
        <f t="shared" si="61"/>
        <v>Price Line 282</v>
      </c>
      <c r="N298" s="90">
        <f t="shared" si="61"/>
        <v>0</v>
      </c>
      <c r="O298" s="90">
        <f t="shared" si="61"/>
        <v>0</v>
      </c>
      <c r="P298" s="90">
        <f t="shared" si="61"/>
        <v>0</v>
      </c>
      <c r="Q298" s="90">
        <f t="shared" si="61"/>
        <v>0</v>
      </c>
      <c r="R298" s="90">
        <f t="shared" si="61"/>
        <v>0</v>
      </c>
      <c r="S298" s="90">
        <f t="shared" si="61"/>
        <v>0</v>
      </c>
      <c r="T298" s="90">
        <f t="shared" si="61"/>
        <v>0</v>
      </c>
      <c r="U298" s="101">
        <f t="shared" si="61"/>
        <v>0</v>
      </c>
      <c r="V298" s="71"/>
      <c r="W298" s="102">
        <f t="shared" si="62"/>
        <v>0</v>
      </c>
      <c r="X298" s="102">
        <f t="shared" si="62"/>
        <v>0</v>
      </c>
      <c r="Y298" s="90">
        <f t="shared" si="62"/>
        <v>0</v>
      </c>
      <c r="Z298" s="102">
        <f t="shared" si="62"/>
        <v>0</v>
      </c>
      <c r="AA298" s="101" t="str">
        <f t="shared" si="62"/>
        <v>EA</v>
      </c>
      <c r="AB298" s="71"/>
      <c r="AC298" s="91">
        <v>1</v>
      </c>
      <c r="AD298" s="91">
        <v>1</v>
      </c>
      <c r="AE298" s="92" t="str">
        <f t="shared" ref="AE298:AE361" si="64">$M298</f>
        <v>Price Line 282</v>
      </c>
      <c r="AF298" s="93">
        <f t="shared" si="63"/>
        <v>0</v>
      </c>
    </row>
    <row r="299" spans="10:32" ht="12.5" hidden="1">
      <c r="J299" s="83">
        <f t="shared" si="58"/>
        <v>0</v>
      </c>
      <c r="K299" s="99">
        <v>283</v>
      </c>
      <c r="L299" s="100">
        <f t="shared" si="61"/>
        <v>1</v>
      </c>
      <c r="M299" s="90" t="str">
        <f t="shared" si="61"/>
        <v>Price Line 283</v>
      </c>
      <c r="N299" s="90">
        <f t="shared" si="61"/>
        <v>0</v>
      </c>
      <c r="O299" s="90">
        <f t="shared" si="61"/>
        <v>0</v>
      </c>
      <c r="P299" s="90">
        <f t="shared" si="61"/>
        <v>0</v>
      </c>
      <c r="Q299" s="90">
        <f t="shared" si="61"/>
        <v>0</v>
      </c>
      <c r="R299" s="90">
        <f t="shared" si="61"/>
        <v>0</v>
      </c>
      <c r="S299" s="90">
        <f t="shared" si="61"/>
        <v>0</v>
      </c>
      <c r="T299" s="90">
        <f t="shared" si="61"/>
        <v>0</v>
      </c>
      <c r="U299" s="101">
        <f t="shared" si="61"/>
        <v>0</v>
      </c>
      <c r="V299" s="71"/>
      <c r="W299" s="102">
        <f t="shared" si="62"/>
        <v>0</v>
      </c>
      <c r="X299" s="102">
        <f t="shared" si="62"/>
        <v>0</v>
      </c>
      <c r="Y299" s="90">
        <f t="shared" si="62"/>
        <v>0</v>
      </c>
      <c r="Z299" s="102">
        <f t="shared" si="62"/>
        <v>0</v>
      </c>
      <c r="AA299" s="101" t="str">
        <f t="shared" si="62"/>
        <v>EA</v>
      </c>
      <c r="AB299" s="71"/>
      <c r="AC299" s="91">
        <v>1</v>
      </c>
      <c r="AD299" s="91">
        <v>1</v>
      </c>
      <c r="AE299" s="92" t="str">
        <f t="shared" si="64"/>
        <v>Price Line 283</v>
      </c>
      <c r="AF299" s="93">
        <f t="shared" si="63"/>
        <v>0</v>
      </c>
    </row>
    <row r="300" spans="10:32" ht="12.5" hidden="1">
      <c r="J300" s="83">
        <f t="shared" si="58"/>
        <v>0</v>
      </c>
      <c r="K300" s="99">
        <v>284</v>
      </c>
      <c r="L300" s="100">
        <f t="shared" si="61"/>
        <v>1</v>
      </c>
      <c r="M300" s="90" t="str">
        <f t="shared" si="61"/>
        <v>Price Line 284</v>
      </c>
      <c r="N300" s="90">
        <f t="shared" si="61"/>
        <v>0</v>
      </c>
      <c r="O300" s="90">
        <f t="shared" si="61"/>
        <v>0</v>
      </c>
      <c r="P300" s="90">
        <f t="shared" si="61"/>
        <v>0</v>
      </c>
      <c r="Q300" s="90">
        <f t="shared" si="61"/>
        <v>0</v>
      </c>
      <c r="R300" s="90">
        <f t="shared" si="61"/>
        <v>0</v>
      </c>
      <c r="S300" s="90">
        <f t="shared" si="61"/>
        <v>0</v>
      </c>
      <c r="T300" s="90">
        <f t="shared" si="61"/>
        <v>0</v>
      </c>
      <c r="U300" s="101">
        <f t="shared" si="61"/>
        <v>0</v>
      </c>
      <c r="V300" s="71"/>
      <c r="W300" s="102">
        <f t="shared" si="62"/>
        <v>0</v>
      </c>
      <c r="X300" s="102">
        <f t="shared" si="62"/>
        <v>0</v>
      </c>
      <c r="Y300" s="90">
        <f t="shared" si="62"/>
        <v>0</v>
      </c>
      <c r="Z300" s="102">
        <f t="shared" si="62"/>
        <v>0</v>
      </c>
      <c r="AA300" s="101" t="str">
        <f t="shared" si="62"/>
        <v>EA</v>
      </c>
      <c r="AB300" s="71"/>
      <c r="AC300" s="91">
        <v>1</v>
      </c>
      <c r="AD300" s="91">
        <v>1</v>
      </c>
      <c r="AE300" s="92" t="str">
        <f t="shared" si="64"/>
        <v>Price Line 284</v>
      </c>
      <c r="AF300" s="93">
        <f t="shared" si="63"/>
        <v>0</v>
      </c>
    </row>
    <row r="301" spans="10:32" ht="12.5" hidden="1">
      <c r="J301" s="83">
        <f t="shared" si="58"/>
        <v>0</v>
      </c>
      <c r="K301" s="99">
        <v>285</v>
      </c>
      <c r="L301" s="100">
        <f t="shared" si="61"/>
        <v>1</v>
      </c>
      <c r="M301" s="90" t="str">
        <f t="shared" si="61"/>
        <v>Price Line 285</v>
      </c>
      <c r="N301" s="90">
        <f t="shared" si="61"/>
        <v>0</v>
      </c>
      <c r="O301" s="90">
        <f t="shared" si="61"/>
        <v>0</v>
      </c>
      <c r="P301" s="90">
        <f t="shared" si="61"/>
        <v>0</v>
      </c>
      <c r="Q301" s="90">
        <f t="shared" si="61"/>
        <v>0</v>
      </c>
      <c r="R301" s="90">
        <f t="shared" si="61"/>
        <v>0</v>
      </c>
      <c r="S301" s="90">
        <f t="shared" si="61"/>
        <v>0</v>
      </c>
      <c r="T301" s="90">
        <f t="shared" si="61"/>
        <v>0</v>
      </c>
      <c r="U301" s="101">
        <f t="shared" si="61"/>
        <v>0</v>
      </c>
      <c r="V301" s="71"/>
      <c r="W301" s="102">
        <f t="shared" si="62"/>
        <v>0</v>
      </c>
      <c r="X301" s="102">
        <f t="shared" si="62"/>
        <v>0</v>
      </c>
      <c r="Y301" s="90">
        <f t="shared" si="62"/>
        <v>0</v>
      </c>
      <c r="Z301" s="102">
        <f t="shared" si="62"/>
        <v>0</v>
      </c>
      <c r="AA301" s="101" t="str">
        <f t="shared" si="62"/>
        <v>EA</v>
      </c>
      <c r="AB301" s="71"/>
      <c r="AC301" s="91">
        <v>1</v>
      </c>
      <c r="AD301" s="91">
        <v>1</v>
      </c>
      <c r="AE301" s="92" t="str">
        <f t="shared" si="64"/>
        <v>Price Line 285</v>
      </c>
      <c r="AF301" s="93">
        <f t="shared" si="63"/>
        <v>0</v>
      </c>
    </row>
    <row r="302" spans="10:32" ht="12.5" hidden="1">
      <c r="J302" s="83">
        <f t="shared" si="58"/>
        <v>0</v>
      </c>
      <c r="K302" s="99">
        <v>286</v>
      </c>
      <c r="L302" s="100">
        <f t="shared" si="61"/>
        <v>1</v>
      </c>
      <c r="M302" s="90" t="str">
        <f t="shared" si="61"/>
        <v>Price Line 286</v>
      </c>
      <c r="N302" s="90">
        <f t="shared" si="61"/>
        <v>0</v>
      </c>
      <c r="O302" s="90">
        <f t="shared" si="61"/>
        <v>0</v>
      </c>
      <c r="P302" s="90">
        <f t="shared" si="61"/>
        <v>0</v>
      </c>
      <c r="Q302" s="90">
        <f t="shared" si="61"/>
        <v>0</v>
      </c>
      <c r="R302" s="90">
        <f t="shared" si="61"/>
        <v>0</v>
      </c>
      <c r="S302" s="90">
        <f t="shared" si="61"/>
        <v>0</v>
      </c>
      <c r="T302" s="90">
        <f t="shared" si="61"/>
        <v>0</v>
      </c>
      <c r="U302" s="101">
        <f t="shared" si="61"/>
        <v>0</v>
      </c>
      <c r="V302" s="71"/>
      <c r="W302" s="102">
        <f t="shared" si="62"/>
        <v>0</v>
      </c>
      <c r="X302" s="102">
        <f t="shared" si="62"/>
        <v>0</v>
      </c>
      <c r="Y302" s="90">
        <f t="shared" si="62"/>
        <v>0</v>
      </c>
      <c r="Z302" s="102">
        <f t="shared" si="62"/>
        <v>0</v>
      </c>
      <c r="AA302" s="101" t="str">
        <f t="shared" si="62"/>
        <v>EA</v>
      </c>
      <c r="AB302" s="71"/>
      <c r="AC302" s="91">
        <v>1</v>
      </c>
      <c r="AD302" s="91">
        <v>1</v>
      </c>
      <c r="AE302" s="92" t="str">
        <f t="shared" si="64"/>
        <v>Price Line 286</v>
      </c>
      <c r="AF302" s="93">
        <f t="shared" si="63"/>
        <v>0</v>
      </c>
    </row>
    <row r="303" spans="10:32" ht="12.5" hidden="1">
      <c r="J303" s="83">
        <f t="shared" si="58"/>
        <v>0</v>
      </c>
      <c r="K303" s="99">
        <v>287</v>
      </c>
      <c r="L303" s="100">
        <f t="shared" si="61"/>
        <v>1</v>
      </c>
      <c r="M303" s="90" t="str">
        <f t="shared" si="61"/>
        <v>Price Line 287</v>
      </c>
      <c r="N303" s="90">
        <f t="shared" si="61"/>
        <v>0</v>
      </c>
      <c r="O303" s="90">
        <f t="shared" si="61"/>
        <v>0</v>
      </c>
      <c r="P303" s="90">
        <f t="shared" si="61"/>
        <v>0</v>
      </c>
      <c r="Q303" s="90">
        <f t="shared" si="61"/>
        <v>0</v>
      </c>
      <c r="R303" s="90">
        <f t="shared" si="61"/>
        <v>0</v>
      </c>
      <c r="S303" s="90">
        <f t="shared" si="61"/>
        <v>0</v>
      </c>
      <c r="T303" s="90">
        <f t="shared" si="61"/>
        <v>0</v>
      </c>
      <c r="U303" s="101">
        <f t="shared" si="61"/>
        <v>0</v>
      </c>
      <c r="V303" s="71"/>
      <c r="W303" s="102">
        <f t="shared" si="62"/>
        <v>0</v>
      </c>
      <c r="X303" s="102">
        <f t="shared" si="62"/>
        <v>0</v>
      </c>
      <c r="Y303" s="90">
        <f t="shared" si="62"/>
        <v>0</v>
      </c>
      <c r="Z303" s="102">
        <f t="shared" si="62"/>
        <v>0</v>
      </c>
      <c r="AA303" s="101" t="str">
        <f t="shared" si="62"/>
        <v>EA</v>
      </c>
      <c r="AB303" s="71"/>
      <c r="AC303" s="91">
        <v>1</v>
      </c>
      <c r="AD303" s="91">
        <v>1</v>
      </c>
      <c r="AE303" s="92" t="str">
        <f t="shared" si="64"/>
        <v>Price Line 287</v>
      </c>
      <c r="AF303" s="93">
        <f t="shared" si="63"/>
        <v>0</v>
      </c>
    </row>
    <row r="304" spans="10:32" ht="12.5" hidden="1">
      <c r="J304" s="83">
        <f t="shared" si="58"/>
        <v>0</v>
      </c>
      <c r="K304" s="99">
        <v>288</v>
      </c>
      <c r="L304" s="100">
        <f t="shared" si="61"/>
        <v>1</v>
      </c>
      <c r="M304" s="90" t="str">
        <f t="shared" si="61"/>
        <v>Price Line 288</v>
      </c>
      <c r="N304" s="90">
        <f t="shared" si="61"/>
        <v>0</v>
      </c>
      <c r="O304" s="90">
        <f t="shared" si="61"/>
        <v>0</v>
      </c>
      <c r="P304" s="90">
        <f t="shared" si="61"/>
        <v>0</v>
      </c>
      <c r="Q304" s="90">
        <f t="shared" si="61"/>
        <v>0</v>
      </c>
      <c r="R304" s="90">
        <f t="shared" si="61"/>
        <v>0</v>
      </c>
      <c r="S304" s="90">
        <f t="shared" si="61"/>
        <v>0</v>
      </c>
      <c r="T304" s="90">
        <f t="shared" si="61"/>
        <v>0</v>
      </c>
      <c r="U304" s="101">
        <f t="shared" si="61"/>
        <v>0</v>
      </c>
      <c r="V304" s="71"/>
      <c r="W304" s="102">
        <f t="shared" si="62"/>
        <v>0</v>
      </c>
      <c r="X304" s="102">
        <f t="shared" si="62"/>
        <v>0</v>
      </c>
      <c r="Y304" s="90">
        <f t="shared" si="62"/>
        <v>0</v>
      </c>
      <c r="Z304" s="102">
        <f t="shared" si="62"/>
        <v>0</v>
      </c>
      <c r="AA304" s="101" t="str">
        <f t="shared" si="62"/>
        <v>EA</v>
      </c>
      <c r="AB304" s="71"/>
      <c r="AC304" s="91">
        <v>1</v>
      </c>
      <c r="AD304" s="91">
        <v>1</v>
      </c>
      <c r="AE304" s="92" t="str">
        <f t="shared" si="64"/>
        <v>Price Line 288</v>
      </c>
      <c r="AF304" s="93">
        <f t="shared" si="63"/>
        <v>0</v>
      </c>
    </row>
    <row r="305" spans="10:32" ht="12.5" hidden="1">
      <c r="J305" s="83">
        <f t="shared" si="58"/>
        <v>0</v>
      </c>
      <c r="K305" s="99">
        <v>289</v>
      </c>
      <c r="L305" s="100">
        <f t="shared" ref="L305:U320" si="65">INDEX(L$420:L$1632,MATCH($K305,$K$420:$K$1632,0)+MATCH("Option "&amp;$D$9,$K$420:$K$1230,0)-1,1)</f>
        <v>1</v>
      </c>
      <c r="M305" s="90" t="str">
        <f t="shared" si="65"/>
        <v>Price Line 289</v>
      </c>
      <c r="N305" s="90">
        <f t="shared" si="65"/>
        <v>0</v>
      </c>
      <c r="O305" s="90">
        <f t="shared" si="65"/>
        <v>0</v>
      </c>
      <c r="P305" s="90">
        <f t="shared" si="65"/>
        <v>0</v>
      </c>
      <c r="Q305" s="90">
        <f t="shared" si="65"/>
        <v>0</v>
      </c>
      <c r="R305" s="90">
        <f t="shared" si="65"/>
        <v>0</v>
      </c>
      <c r="S305" s="90">
        <f t="shared" si="65"/>
        <v>0</v>
      </c>
      <c r="T305" s="90">
        <f t="shared" si="65"/>
        <v>0</v>
      </c>
      <c r="U305" s="101">
        <f t="shared" si="65"/>
        <v>0</v>
      </c>
      <c r="V305" s="71"/>
      <c r="W305" s="102">
        <f t="shared" ref="W305:AA320" si="66">INDEX(W$420:W$1632,MATCH($K305,$K$420:$K$1632,0)+MATCH("Option "&amp;$D$9,$K$420:$K$1230,0)-1,1)</f>
        <v>0</v>
      </c>
      <c r="X305" s="102">
        <f t="shared" si="66"/>
        <v>0</v>
      </c>
      <c r="Y305" s="90">
        <f t="shared" si="66"/>
        <v>0</v>
      </c>
      <c r="Z305" s="102">
        <f t="shared" si="66"/>
        <v>0</v>
      </c>
      <c r="AA305" s="101" t="str">
        <f t="shared" si="66"/>
        <v>EA</v>
      </c>
      <c r="AB305" s="71"/>
      <c r="AC305" s="91">
        <v>1</v>
      </c>
      <c r="AD305" s="91">
        <v>1</v>
      </c>
      <c r="AE305" s="92" t="str">
        <f t="shared" si="64"/>
        <v>Price Line 289</v>
      </c>
      <c r="AF305" s="93">
        <f t="shared" si="63"/>
        <v>0</v>
      </c>
    </row>
    <row r="306" spans="10:32" ht="12.5" hidden="1">
      <c r="J306" s="83">
        <f t="shared" si="58"/>
        <v>0</v>
      </c>
      <c r="K306" s="99">
        <v>290</v>
      </c>
      <c r="L306" s="100">
        <f t="shared" si="65"/>
        <v>1</v>
      </c>
      <c r="M306" s="90" t="str">
        <f t="shared" si="65"/>
        <v>Price Line 290</v>
      </c>
      <c r="N306" s="90">
        <f t="shared" si="65"/>
        <v>0</v>
      </c>
      <c r="O306" s="90">
        <f t="shared" si="65"/>
        <v>0</v>
      </c>
      <c r="P306" s="90">
        <f t="shared" si="65"/>
        <v>0</v>
      </c>
      <c r="Q306" s="90">
        <f t="shared" si="65"/>
        <v>0</v>
      </c>
      <c r="R306" s="90">
        <f t="shared" si="65"/>
        <v>0</v>
      </c>
      <c r="S306" s="90">
        <f t="shared" si="65"/>
        <v>0</v>
      </c>
      <c r="T306" s="90">
        <f t="shared" si="65"/>
        <v>0</v>
      </c>
      <c r="U306" s="101">
        <f t="shared" si="65"/>
        <v>0</v>
      </c>
      <c r="V306" s="71"/>
      <c r="W306" s="102">
        <f t="shared" si="66"/>
        <v>0</v>
      </c>
      <c r="X306" s="102">
        <f t="shared" si="66"/>
        <v>0</v>
      </c>
      <c r="Y306" s="90">
        <f t="shared" si="66"/>
        <v>0</v>
      </c>
      <c r="Z306" s="102">
        <f t="shared" si="66"/>
        <v>0</v>
      </c>
      <c r="AA306" s="101" t="str">
        <f t="shared" si="66"/>
        <v>EA</v>
      </c>
      <c r="AB306" s="71"/>
      <c r="AC306" s="91">
        <v>1</v>
      </c>
      <c r="AD306" s="91">
        <v>1</v>
      </c>
      <c r="AE306" s="92" t="str">
        <f t="shared" si="64"/>
        <v>Price Line 290</v>
      </c>
      <c r="AF306" s="93">
        <f t="shared" si="63"/>
        <v>0</v>
      </c>
    </row>
    <row r="307" spans="10:32" ht="12.5" hidden="1">
      <c r="J307" s="83">
        <f t="shared" si="58"/>
        <v>0</v>
      </c>
      <c r="K307" s="99">
        <v>291</v>
      </c>
      <c r="L307" s="100">
        <f t="shared" si="65"/>
        <v>1</v>
      </c>
      <c r="M307" s="90" t="str">
        <f t="shared" si="65"/>
        <v>Price Line 291</v>
      </c>
      <c r="N307" s="90">
        <f t="shared" si="65"/>
        <v>0</v>
      </c>
      <c r="O307" s="90">
        <f t="shared" si="65"/>
        <v>0</v>
      </c>
      <c r="P307" s="90">
        <f t="shared" si="65"/>
        <v>0</v>
      </c>
      <c r="Q307" s="90">
        <f t="shared" si="65"/>
        <v>0</v>
      </c>
      <c r="R307" s="90">
        <f t="shared" si="65"/>
        <v>0</v>
      </c>
      <c r="S307" s="90">
        <f t="shared" si="65"/>
        <v>0</v>
      </c>
      <c r="T307" s="90">
        <f t="shared" si="65"/>
        <v>0</v>
      </c>
      <c r="U307" s="101">
        <f t="shared" si="65"/>
        <v>0</v>
      </c>
      <c r="V307" s="71"/>
      <c r="W307" s="102">
        <f t="shared" si="66"/>
        <v>0</v>
      </c>
      <c r="X307" s="102">
        <f t="shared" si="66"/>
        <v>0</v>
      </c>
      <c r="Y307" s="90">
        <f t="shared" si="66"/>
        <v>0</v>
      </c>
      <c r="Z307" s="102">
        <f t="shared" si="66"/>
        <v>0</v>
      </c>
      <c r="AA307" s="101" t="str">
        <f t="shared" si="66"/>
        <v>EA</v>
      </c>
      <c r="AB307" s="71"/>
      <c r="AC307" s="91">
        <v>1</v>
      </c>
      <c r="AD307" s="91">
        <v>1</v>
      </c>
      <c r="AE307" s="92" t="str">
        <f t="shared" si="64"/>
        <v>Price Line 291</v>
      </c>
      <c r="AF307" s="93">
        <f t="shared" si="63"/>
        <v>0</v>
      </c>
    </row>
    <row r="308" spans="10:32" ht="12.5" hidden="1">
      <c r="J308" s="83">
        <f t="shared" si="58"/>
        <v>0</v>
      </c>
      <c r="K308" s="99">
        <v>292</v>
      </c>
      <c r="L308" s="100">
        <f t="shared" si="65"/>
        <v>1</v>
      </c>
      <c r="M308" s="90" t="str">
        <f t="shared" si="65"/>
        <v>Price Line 292</v>
      </c>
      <c r="N308" s="90">
        <f t="shared" si="65"/>
        <v>0</v>
      </c>
      <c r="O308" s="90">
        <f t="shared" si="65"/>
        <v>0</v>
      </c>
      <c r="P308" s="90">
        <f t="shared" si="65"/>
        <v>0</v>
      </c>
      <c r="Q308" s="90">
        <f t="shared" si="65"/>
        <v>0</v>
      </c>
      <c r="R308" s="90">
        <f t="shared" si="65"/>
        <v>0</v>
      </c>
      <c r="S308" s="90">
        <f t="shared" si="65"/>
        <v>0</v>
      </c>
      <c r="T308" s="90">
        <f t="shared" si="65"/>
        <v>0</v>
      </c>
      <c r="U308" s="101">
        <f t="shared" si="65"/>
        <v>0</v>
      </c>
      <c r="V308" s="71"/>
      <c r="W308" s="102">
        <f t="shared" si="66"/>
        <v>0</v>
      </c>
      <c r="X308" s="102">
        <f t="shared" si="66"/>
        <v>0</v>
      </c>
      <c r="Y308" s="90">
        <f t="shared" si="66"/>
        <v>0</v>
      </c>
      <c r="Z308" s="102">
        <f t="shared" si="66"/>
        <v>0</v>
      </c>
      <c r="AA308" s="101" t="str">
        <f t="shared" si="66"/>
        <v>EA</v>
      </c>
      <c r="AB308" s="71"/>
      <c r="AC308" s="91">
        <v>1</v>
      </c>
      <c r="AD308" s="91">
        <v>1</v>
      </c>
      <c r="AE308" s="92" t="str">
        <f t="shared" si="64"/>
        <v>Price Line 292</v>
      </c>
      <c r="AF308" s="93">
        <f t="shared" si="63"/>
        <v>0</v>
      </c>
    </row>
    <row r="309" spans="10:32" ht="12.5" hidden="1">
      <c r="J309" s="83">
        <f t="shared" si="58"/>
        <v>0</v>
      </c>
      <c r="K309" s="99">
        <v>293</v>
      </c>
      <c r="L309" s="100">
        <f t="shared" si="65"/>
        <v>1</v>
      </c>
      <c r="M309" s="90" t="str">
        <f t="shared" si="65"/>
        <v>Price Line 293</v>
      </c>
      <c r="N309" s="90">
        <f t="shared" si="65"/>
        <v>0</v>
      </c>
      <c r="O309" s="90">
        <f t="shared" si="65"/>
        <v>0</v>
      </c>
      <c r="P309" s="90">
        <f t="shared" si="65"/>
        <v>0</v>
      </c>
      <c r="Q309" s="90">
        <f t="shared" si="65"/>
        <v>0</v>
      </c>
      <c r="R309" s="90">
        <f t="shared" si="65"/>
        <v>0</v>
      </c>
      <c r="S309" s="90">
        <f t="shared" si="65"/>
        <v>0</v>
      </c>
      <c r="T309" s="90">
        <f t="shared" si="65"/>
        <v>0</v>
      </c>
      <c r="U309" s="101">
        <f t="shared" si="65"/>
        <v>0</v>
      </c>
      <c r="V309" s="71"/>
      <c r="W309" s="102">
        <f t="shared" si="66"/>
        <v>0</v>
      </c>
      <c r="X309" s="102">
        <f t="shared" si="66"/>
        <v>0</v>
      </c>
      <c r="Y309" s="90">
        <f t="shared" si="66"/>
        <v>0</v>
      </c>
      <c r="Z309" s="102">
        <f t="shared" si="66"/>
        <v>0</v>
      </c>
      <c r="AA309" s="101" t="str">
        <f t="shared" si="66"/>
        <v>EA</v>
      </c>
      <c r="AB309" s="71"/>
      <c r="AC309" s="91">
        <v>1</v>
      </c>
      <c r="AD309" s="91">
        <v>1</v>
      </c>
      <c r="AE309" s="92" t="str">
        <f t="shared" si="64"/>
        <v>Price Line 293</v>
      </c>
      <c r="AF309" s="93">
        <f t="shared" si="63"/>
        <v>0</v>
      </c>
    </row>
    <row r="310" spans="10:32" ht="12.5" hidden="1">
      <c r="J310" s="83">
        <f t="shared" si="58"/>
        <v>0</v>
      </c>
      <c r="K310" s="99">
        <v>294</v>
      </c>
      <c r="L310" s="100">
        <f t="shared" si="65"/>
        <v>1</v>
      </c>
      <c r="M310" s="90" t="str">
        <f t="shared" si="65"/>
        <v>Price Line 294</v>
      </c>
      <c r="N310" s="90">
        <f t="shared" si="65"/>
        <v>0</v>
      </c>
      <c r="O310" s="90">
        <f t="shared" si="65"/>
        <v>0</v>
      </c>
      <c r="P310" s="90">
        <f t="shared" si="65"/>
        <v>0</v>
      </c>
      <c r="Q310" s="90">
        <f t="shared" si="65"/>
        <v>0</v>
      </c>
      <c r="R310" s="90">
        <f t="shared" si="65"/>
        <v>0</v>
      </c>
      <c r="S310" s="90">
        <f t="shared" si="65"/>
        <v>0</v>
      </c>
      <c r="T310" s="90">
        <f t="shared" si="65"/>
        <v>0</v>
      </c>
      <c r="U310" s="101">
        <f t="shared" si="65"/>
        <v>0</v>
      </c>
      <c r="V310" s="71"/>
      <c r="W310" s="102">
        <f t="shared" si="66"/>
        <v>0</v>
      </c>
      <c r="X310" s="102">
        <f t="shared" si="66"/>
        <v>0</v>
      </c>
      <c r="Y310" s="90">
        <f t="shared" si="66"/>
        <v>0</v>
      </c>
      <c r="Z310" s="102">
        <f t="shared" si="66"/>
        <v>0</v>
      </c>
      <c r="AA310" s="101" t="str">
        <f t="shared" si="66"/>
        <v>EA</v>
      </c>
      <c r="AB310" s="71"/>
      <c r="AC310" s="91">
        <v>1</v>
      </c>
      <c r="AD310" s="91">
        <v>1</v>
      </c>
      <c r="AE310" s="92" t="str">
        <f t="shared" si="64"/>
        <v>Price Line 294</v>
      </c>
      <c r="AF310" s="93">
        <f t="shared" si="63"/>
        <v>0</v>
      </c>
    </row>
    <row r="311" spans="10:32" ht="12.5" hidden="1">
      <c r="J311" s="83">
        <f t="shared" si="58"/>
        <v>0</v>
      </c>
      <c r="K311" s="99">
        <v>295</v>
      </c>
      <c r="L311" s="100">
        <f t="shared" si="65"/>
        <v>1</v>
      </c>
      <c r="M311" s="90" t="str">
        <f t="shared" si="65"/>
        <v>Price Line 295</v>
      </c>
      <c r="N311" s="90">
        <f t="shared" si="65"/>
        <v>0</v>
      </c>
      <c r="O311" s="90">
        <f t="shared" si="65"/>
        <v>0</v>
      </c>
      <c r="P311" s="90">
        <f t="shared" si="65"/>
        <v>0</v>
      </c>
      <c r="Q311" s="90">
        <f t="shared" si="65"/>
        <v>0</v>
      </c>
      <c r="R311" s="90">
        <f t="shared" si="65"/>
        <v>0</v>
      </c>
      <c r="S311" s="90">
        <f t="shared" si="65"/>
        <v>0</v>
      </c>
      <c r="T311" s="90">
        <f t="shared" si="65"/>
        <v>0</v>
      </c>
      <c r="U311" s="101">
        <f t="shared" si="65"/>
        <v>0</v>
      </c>
      <c r="V311" s="71"/>
      <c r="W311" s="102">
        <f t="shared" si="66"/>
        <v>0</v>
      </c>
      <c r="X311" s="102">
        <f t="shared" si="66"/>
        <v>0</v>
      </c>
      <c r="Y311" s="90">
        <f t="shared" si="66"/>
        <v>0</v>
      </c>
      <c r="Z311" s="102">
        <f t="shared" si="66"/>
        <v>0</v>
      </c>
      <c r="AA311" s="101" t="str">
        <f t="shared" si="66"/>
        <v>EA</v>
      </c>
      <c r="AB311" s="71"/>
      <c r="AC311" s="91">
        <v>1</v>
      </c>
      <c r="AD311" s="91">
        <v>1</v>
      </c>
      <c r="AE311" s="92" t="str">
        <f t="shared" si="64"/>
        <v>Price Line 295</v>
      </c>
      <c r="AF311" s="93">
        <f t="shared" si="63"/>
        <v>0</v>
      </c>
    </row>
    <row r="312" spans="10:32" ht="12.5" hidden="1">
      <c r="J312" s="83">
        <f t="shared" si="58"/>
        <v>0</v>
      </c>
      <c r="K312" s="99">
        <v>296</v>
      </c>
      <c r="L312" s="100">
        <f t="shared" si="65"/>
        <v>1</v>
      </c>
      <c r="M312" s="90" t="str">
        <f t="shared" si="65"/>
        <v>Price Line 296</v>
      </c>
      <c r="N312" s="90">
        <f t="shared" si="65"/>
        <v>0</v>
      </c>
      <c r="O312" s="90">
        <f t="shared" si="65"/>
        <v>0</v>
      </c>
      <c r="P312" s="90">
        <f t="shared" si="65"/>
        <v>0</v>
      </c>
      <c r="Q312" s="90">
        <f t="shared" si="65"/>
        <v>0</v>
      </c>
      <c r="R312" s="90">
        <f t="shared" si="65"/>
        <v>0</v>
      </c>
      <c r="S312" s="90">
        <f t="shared" si="65"/>
        <v>0</v>
      </c>
      <c r="T312" s="90">
        <f t="shared" si="65"/>
        <v>0</v>
      </c>
      <c r="U312" s="101">
        <f t="shared" si="65"/>
        <v>0</v>
      </c>
      <c r="V312" s="71"/>
      <c r="W312" s="102">
        <f t="shared" si="66"/>
        <v>0</v>
      </c>
      <c r="X312" s="102">
        <f t="shared" si="66"/>
        <v>0</v>
      </c>
      <c r="Y312" s="90">
        <f t="shared" si="66"/>
        <v>0</v>
      </c>
      <c r="Z312" s="102">
        <f t="shared" si="66"/>
        <v>0</v>
      </c>
      <c r="AA312" s="101" t="str">
        <f t="shared" si="66"/>
        <v>EA</v>
      </c>
      <c r="AB312" s="71"/>
      <c r="AC312" s="91">
        <v>1</v>
      </c>
      <c r="AD312" s="91">
        <v>1</v>
      </c>
      <c r="AE312" s="92" t="str">
        <f t="shared" si="64"/>
        <v>Price Line 296</v>
      </c>
      <c r="AF312" s="93">
        <f t="shared" si="63"/>
        <v>0</v>
      </c>
    </row>
    <row r="313" spans="10:32" ht="12.5" hidden="1">
      <c r="J313" s="83">
        <f t="shared" si="58"/>
        <v>0</v>
      </c>
      <c r="K313" s="99">
        <v>297</v>
      </c>
      <c r="L313" s="100">
        <f t="shared" si="65"/>
        <v>1</v>
      </c>
      <c r="M313" s="90" t="str">
        <f t="shared" si="65"/>
        <v>Price Line 297</v>
      </c>
      <c r="N313" s="90">
        <f t="shared" si="65"/>
        <v>0</v>
      </c>
      <c r="O313" s="90">
        <f t="shared" si="65"/>
        <v>0</v>
      </c>
      <c r="P313" s="90">
        <f t="shared" si="65"/>
        <v>0</v>
      </c>
      <c r="Q313" s="90">
        <f t="shared" si="65"/>
        <v>0</v>
      </c>
      <c r="R313" s="90">
        <f t="shared" si="65"/>
        <v>0</v>
      </c>
      <c r="S313" s="90">
        <f t="shared" si="65"/>
        <v>0</v>
      </c>
      <c r="T313" s="90">
        <f t="shared" si="65"/>
        <v>0</v>
      </c>
      <c r="U313" s="101">
        <f t="shared" si="65"/>
        <v>0</v>
      </c>
      <c r="V313" s="71"/>
      <c r="W313" s="102">
        <f t="shared" si="66"/>
        <v>0</v>
      </c>
      <c r="X313" s="102">
        <f t="shared" si="66"/>
        <v>0</v>
      </c>
      <c r="Y313" s="90">
        <f t="shared" si="66"/>
        <v>0</v>
      </c>
      <c r="Z313" s="102">
        <f t="shared" si="66"/>
        <v>0</v>
      </c>
      <c r="AA313" s="101" t="str">
        <f t="shared" si="66"/>
        <v>EA</v>
      </c>
      <c r="AB313" s="71"/>
      <c r="AC313" s="91">
        <v>1</v>
      </c>
      <c r="AD313" s="91">
        <v>1</v>
      </c>
      <c r="AE313" s="92" t="str">
        <f t="shared" si="64"/>
        <v>Price Line 297</v>
      </c>
      <c r="AF313" s="93">
        <f t="shared" si="63"/>
        <v>0</v>
      </c>
    </row>
    <row r="314" spans="10:32" ht="12.5" hidden="1">
      <c r="J314" s="83">
        <f t="shared" si="58"/>
        <v>0</v>
      </c>
      <c r="K314" s="99">
        <v>298</v>
      </c>
      <c r="L314" s="100">
        <f t="shared" si="65"/>
        <v>1</v>
      </c>
      <c r="M314" s="90" t="str">
        <f t="shared" si="65"/>
        <v>Price Line 298</v>
      </c>
      <c r="N314" s="90">
        <f t="shared" si="65"/>
        <v>0</v>
      </c>
      <c r="O314" s="90">
        <f t="shared" si="65"/>
        <v>0</v>
      </c>
      <c r="P314" s="90">
        <f t="shared" si="65"/>
        <v>0</v>
      </c>
      <c r="Q314" s="90">
        <f t="shared" si="65"/>
        <v>0</v>
      </c>
      <c r="R314" s="90">
        <f t="shared" si="65"/>
        <v>0</v>
      </c>
      <c r="S314" s="90">
        <f t="shared" si="65"/>
        <v>0</v>
      </c>
      <c r="T314" s="90">
        <f t="shared" si="65"/>
        <v>0</v>
      </c>
      <c r="U314" s="101">
        <f t="shared" si="65"/>
        <v>0</v>
      </c>
      <c r="V314" s="71"/>
      <c r="W314" s="102">
        <f t="shared" si="66"/>
        <v>0</v>
      </c>
      <c r="X314" s="102">
        <f t="shared" si="66"/>
        <v>0</v>
      </c>
      <c r="Y314" s="90">
        <f t="shared" si="66"/>
        <v>0</v>
      </c>
      <c r="Z314" s="102">
        <f t="shared" si="66"/>
        <v>0</v>
      </c>
      <c r="AA314" s="101" t="str">
        <f t="shared" si="66"/>
        <v>EA</v>
      </c>
      <c r="AB314" s="71"/>
      <c r="AC314" s="91">
        <v>1</v>
      </c>
      <c r="AD314" s="91">
        <v>1</v>
      </c>
      <c r="AE314" s="92" t="str">
        <f t="shared" si="64"/>
        <v>Price Line 298</v>
      </c>
      <c r="AF314" s="93">
        <f t="shared" si="63"/>
        <v>0</v>
      </c>
    </row>
    <row r="315" spans="10:32" ht="12.5" hidden="1">
      <c r="J315" s="83">
        <f t="shared" si="58"/>
        <v>0</v>
      </c>
      <c r="K315" s="99">
        <v>299</v>
      </c>
      <c r="L315" s="100">
        <f t="shared" si="65"/>
        <v>1</v>
      </c>
      <c r="M315" s="90" t="str">
        <f t="shared" si="65"/>
        <v>Price Line 299</v>
      </c>
      <c r="N315" s="90">
        <f t="shared" si="65"/>
        <v>0</v>
      </c>
      <c r="O315" s="90">
        <f t="shared" si="65"/>
        <v>0</v>
      </c>
      <c r="P315" s="90">
        <f t="shared" si="65"/>
        <v>0</v>
      </c>
      <c r="Q315" s="90">
        <f t="shared" si="65"/>
        <v>0</v>
      </c>
      <c r="R315" s="90">
        <f t="shared" si="65"/>
        <v>0</v>
      </c>
      <c r="S315" s="90">
        <f t="shared" si="65"/>
        <v>0</v>
      </c>
      <c r="T315" s="90">
        <f t="shared" si="65"/>
        <v>0</v>
      </c>
      <c r="U315" s="101">
        <f t="shared" si="65"/>
        <v>0</v>
      </c>
      <c r="V315" s="71"/>
      <c r="W315" s="102">
        <f t="shared" si="66"/>
        <v>0</v>
      </c>
      <c r="X315" s="102">
        <f t="shared" si="66"/>
        <v>0</v>
      </c>
      <c r="Y315" s="90">
        <f t="shared" si="66"/>
        <v>0</v>
      </c>
      <c r="Z315" s="102">
        <f t="shared" si="66"/>
        <v>0</v>
      </c>
      <c r="AA315" s="101" t="str">
        <f t="shared" si="66"/>
        <v>EA</v>
      </c>
      <c r="AB315" s="71"/>
      <c r="AC315" s="91">
        <v>1</v>
      </c>
      <c r="AD315" s="91">
        <v>1</v>
      </c>
      <c r="AE315" s="92" t="str">
        <f t="shared" si="64"/>
        <v>Price Line 299</v>
      </c>
      <c r="AF315" s="93">
        <f t="shared" si="63"/>
        <v>0</v>
      </c>
    </row>
    <row r="316" spans="10:32" ht="12.5" hidden="1">
      <c r="J316" s="83">
        <f t="shared" si="58"/>
        <v>0</v>
      </c>
      <c r="K316" s="99">
        <v>300</v>
      </c>
      <c r="L316" s="100">
        <f t="shared" si="65"/>
        <v>1</v>
      </c>
      <c r="M316" s="90" t="str">
        <f t="shared" si="65"/>
        <v>Price Line 300</v>
      </c>
      <c r="N316" s="90">
        <f t="shared" si="65"/>
        <v>0</v>
      </c>
      <c r="O316" s="90">
        <f t="shared" si="65"/>
        <v>0</v>
      </c>
      <c r="P316" s="90">
        <f t="shared" si="65"/>
        <v>0</v>
      </c>
      <c r="Q316" s="90">
        <f t="shared" si="65"/>
        <v>0</v>
      </c>
      <c r="R316" s="90">
        <f t="shared" si="65"/>
        <v>0</v>
      </c>
      <c r="S316" s="90">
        <f t="shared" si="65"/>
        <v>0</v>
      </c>
      <c r="T316" s="90">
        <f t="shared" si="65"/>
        <v>0</v>
      </c>
      <c r="U316" s="101">
        <f t="shared" si="65"/>
        <v>0</v>
      </c>
      <c r="V316" s="71"/>
      <c r="W316" s="102">
        <f t="shared" si="66"/>
        <v>0</v>
      </c>
      <c r="X316" s="102">
        <f t="shared" si="66"/>
        <v>0</v>
      </c>
      <c r="Y316" s="90">
        <f t="shared" si="66"/>
        <v>0</v>
      </c>
      <c r="Z316" s="102">
        <f t="shared" si="66"/>
        <v>0</v>
      </c>
      <c r="AA316" s="101" t="str">
        <f t="shared" si="66"/>
        <v>EA</v>
      </c>
      <c r="AB316" s="71"/>
      <c r="AC316" s="91">
        <v>1</v>
      </c>
      <c r="AD316" s="91">
        <v>1</v>
      </c>
      <c r="AE316" s="92" t="str">
        <f t="shared" si="64"/>
        <v>Price Line 300</v>
      </c>
      <c r="AF316" s="93">
        <f t="shared" si="63"/>
        <v>0</v>
      </c>
    </row>
    <row r="317" spans="10:32" ht="12.5" hidden="1">
      <c r="J317" s="83">
        <f t="shared" si="58"/>
        <v>0</v>
      </c>
      <c r="K317" s="99">
        <v>301</v>
      </c>
      <c r="L317" s="100">
        <f t="shared" si="65"/>
        <v>1</v>
      </c>
      <c r="M317" s="90" t="str">
        <f t="shared" si="65"/>
        <v>Price Line 301</v>
      </c>
      <c r="N317" s="90">
        <f t="shared" si="65"/>
        <v>0</v>
      </c>
      <c r="O317" s="90">
        <f t="shared" si="65"/>
        <v>0</v>
      </c>
      <c r="P317" s="90">
        <f t="shared" si="65"/>
        <v>0</v>
      </c>
      <c r="Q317" s="90">
        <f t="shared" si="65"/>
        <v>0</v>
      </c>
      <c r="R317" s="90">
        <f t="shared" si="65"/>
        <v>0</v>
      </c>
      <c r="S317" s="90">
        <f t="shared" si="65"/>
        <v>0</v>
      </c>
      <c r="T317" s="90">
        <f t="shared" si="65"/>
        <v>0</v>
      </c>
      <c r="U317" s="101">
        <f t="shared" si="65"/>
        <v>0</v>
      </c>
      <c r="V317" s="71"/>
      <c r="W317" s="102">
        <f t="shared" si="66"/>
        <v>0</v>
      </c>
      <c r="X317" s="102">
        <f t="shared" si="66"/>
        <v>0</v>
      </c>
      <c r="Y317" s="90">
        <f t="shared" si="66"/>
        <v>0</v>
      </c>
      <c r="Z317" s="102">
        <f t="shared" si="66"/>
        <v>0</v>
      </c>
      <c r="AA317" s="101" t="str">
        <f t="shared" si="66"/>
        <v>EA</v>
      </c>
      <c r="AB317" s="71"/>
      <c r="AC317" s="91">
        <v>1</v>
      </c>
      <c r="AD317" s="91">
        <v>1</v>
      </c>
      <c r="AE317" s="92" t="str">
        <f t="shared" si="64"/>
        <v>Price Line 301</v>
      </c>
      <c r="AF317" s="93">
        <f t="shared" si="63"/>
        <v>0</v>
      </c>
    </row>
    <row r="318" spans="10:32" ht="12.5" hidden="1">
      <c r="J318" s="83">
        <f t="shared" si="58"/>
        <v>0</v>
      </c>
      <c r="K318" s="99">
        <v>302</v>
      </c>
      <c r="L318" s="100">
        <f t="shared" si="65"/>
        <v>1</v>
      </c>
      <c r="M318" s="90" t="str">
        <f t="shared" si="65"/>
        <v>Price Line 302</v>
      </c>
      <c r="N318" s="90">
        <f t="shared" si="65"/>
        <v>0</v>
      </c>
      <c r="O318" s="90">
        <f t="shared" si="65"/>
        <v>0</v>
      </c>
      <c r="P318" s="90">
        <f t="shared" si="65"/>
        <v>0</v>
      </c>
      <c r="Q318" s="90">
        <f t="shared" si="65"/>
        <v>0</v>
      </c>
      <c r="R318" s="90">
        <f t="shared" si="65"/>
        <v>0</v>
      </c>
      <c r="S318" s="90">
        <f t="shared" si="65"/>
        <v>0</v>
      </c>
      <c r="T318" s="90">
        <f t="shared" si="65"/>
        <v>0</v>
      </c>
      <c r="U318" s="101">
        <f t="shared" si="65"/>
        <v>0</v>
      </c>
      <c r="V318" s="71"/>
      <c r="W318" s="102">
        <f t="shared" si="66"/>
        <v>0</v>
      </c>
      <c r="X318" s="102">
        <f t="shared" si="66"/>
        <v>0</v>
      </c>
      <c r="Y318" s="90">
        <f t="shared" si="66"/>
        <v>0</v>
      </c>
      <c r="Z318" s="102">
        <f t="shared" si="66"/>
        <v>0</v>
      </c>
      <c r="AA318" s="101" t="str">
        <f t="shared" si="66"/>
        <v>EA</v>
      </c>
      <c r="AB318" s="71"/>
      <c r="AC318" s="91">
        <v>1</v>
      </c>
      <c r="AD318" s="91">
        <v>1</v>
      </c>
      <c r="AE318" s="92" t="str">
        <f t="shared" si="64"/>
        <v>Price Line 302</v>
      </c>
      <c r="AF318" s="93">
        <f t="shared" si="63"/>
        <v>0</v>
      </c>
    </row>
    <row r="319" spans="10:32" ht="12.5" hidden="1">
      <c r="J319" s="83">
        <f t="shared" si="58"/>
        <v>0</v>
      </c>
      <c r="K319" s="99">
        <v>303</v>
      </c>
      <c r="L319" s="100">
        <f t="shared" si="65"/>
        <v>1</v>
      </c>
      <c r="M319" s="90" t="str">
        <f t="shared" si="65"/>
        <v>Price Line 303</v>
      </c>
      <c r="N319" s="90">
        <f t="shared" si="65"/>
        <v>0</v>
      </c>
      <c r="O319" s="90">
        <f t="shared" si="65"/>
        <v>0</v>
      </c>
      <c r="P319" s="90">
        <f t="shared" si="65"/>
        <v>0</v>
      </c>
      <c r="Q319" s="90">
        <f t="shared" si="65"/>
        <v>0</v>
      </c>
      <c r="R319" s="90">
        <f t="shared" si="65"/>
        <v>0</v>
      </c>
      <c r="S319" s="90">
        <f t="shared" si="65"/>
        <v>0</v>
      </c>
      <c r="T319" s="90">
        <f t="shared" si="65"/>
        <v>0</v>
      </c>
      <c r="U319" s="101">
        <f t="shared" si="65"/>
        <v>0</v>
      </c>
      <c r="V319" s="71"/>
      <c r="W319" s="102">
        <f t="shared" si="66"/>
        <v>0</v>
      </c>
      <c r="X319" s="102">
        <f t="shared" si="66"/>
        <v>0</v>
      </c>
      <c r="Y319" s="90">
        <f t="shared" si="66"/>
        <v>0</v>
      </c>
      <c r="Z319" s="102">
        <f t="shared" si="66"/>
        <v>0</v>
      </c>
      <c r="AA319" s="101" t="str">
        <f t="shared" si="66"/>
        <v>EA</v>
      </c>
      <c r="AB319" s="71"/>
      <c r="AC319" s="91">
        <v>1</v>
      </c>
      <c r="AD319" s="91">
        <v>1</v>
      </c>
      <c r="AE319" s="92" t="str">
        <f t="shared" si="64"/>
        <v>Price Line 303</v>
      </c>
      <c r="AF319" s="93">
        <f t="shared" si="63"/>
        <v>0</v>
      </c>
    </row>
    <row r="320" spans="10:32" ht="12.5" hidden="1">
      <c r="J320" s="83">
        <f t="shared" si="58"/>
        <v>0</v>
      </c>
      <c r="K320" s="99">
        <v>304</v>
      </c>
      <c r="L320" s="100">
        <f t="shared" si="65"/>
        <v>1</v>
      </c>
      <c r="M320" s="90" t="str">
        <f t="shared" si="65"/>
        <v>Price Line 304</v>
      </c>
      <c r="N320" s="90">
        <f t="shared" si="65"/>
        <v>0</v>
      </c>
      <c r="O320" s="90">
        <f t="shared" si="65"/>
        <v>0</v>
      </c>
      <c r="P320" s="90">
        <f t="shared" si="65"/>
        <v>0</v>
      </c>
      <c r="Q320" s="90">
        <f t="shared" si="65"/>
        <v>0</v>
      </c>
      <c r="R320" s="90">
        <f t="shared" si="65"/>
        <v>0</v>
      </c>
      <c r="S320" s="90">
        <f t="shared" si="65"/>
        <v>0</v>
      </c>
      <c r="T320" s="90">
        <f t="shared" si="65"/>
        <v>0</v>
      </c>
      <c r="U320" s="101">
        <f t="shared" si="65"/>
        <v>0</v>
      </c>
      <c r="V320" s="71"/>
      <c r="W320" s="102">
        <f t="shared" si="66"/>
        <v>0</v>
      </c>
      <c r="X320" s="102">
        <f t="shared" si="66"/>
        <v>0</v>
      </c>
      <c r="Y320" s="90">
        <f t="shared" si="66"/>
        <v>0</v>
      </c>
      <c r="Z320" s="102">
        <f t="shared" si="66"/>
        <v>0</v>
      </c>
      <c r="AA320" s="101" t="str">
        <f t="shared" si="66"/>
        <v>EA</v>
      </c>
      <c r="AB320" s="71"/>
      <c r="AC320" s="91">
        <v>1</v>
      </c>
      <c r="AD320" s="91">
        <v>1</v>
      </c>
      <c r="AE320" s="92" t="str">
        <f t="shared" si="64"/>
        <v>Price Line 304</v>
      </c>
      <c r="AF320" s="93">
        <f t="shared" si="63"/>
        <v>0</v>
      </c>
    </row>
    <row r="321" spans="10:32" ht="12.5" hidden="1">
      <c r="J321" s="83">
        <f t="shared" si="58"/>
        <v>0</v>
      </c>
      <c r="K321" s="99">
        <v>305</v>
      </c>
      <c r="L321" s="100">
        <f t="shared" ref="L321:U336" si="67">INDEX(L$420:L$1632,MATCH($K321,$K$420:$K$1632,0)+MATCH("Option "&amp;$D$9,$K$420:$K$1230,0)-1,1)</f>
        <v>1</v>
      </c>
      <c r="M321" s="90" t="str">
        <f t="shared" si="67"/>
        <v>Price Line 305</v>
      </c>
      <c r="N321" s="90">
        <f t="shared" si="67"/>
        <v>0</v>
      </c>
      <c r="O321" s="90">
        <f t="shared" si="67"/>
        <v>0</v>
      </c>
      <c r="P321" s="90">
        <f t="shared" si="67"/>
        <v>0</v>
      </c>
      <c r="Q321" s="90">
        <f t="shared" si="67"/>
        <v>0</v>
      </c>
      <c r="R321" s="90">
        <f t="shared" si="67"/>
        <v>0</v>
      </c>
      <c r="S321" s="90">
        <f t="shared" si="67"/>
        <v>0</v>
      </c>
      <c r="T321" s="90">
        <f t="shared" si="67"/>
        <v>0</v>
      </c>
      <c r="U321" s="101">
        <f t="shared" si="67"/>
        <v>0</v>
      </c>
      <c r="V321" s="71"/>
      <c r="W321" s="102">
        <f t="shared" ref="W321:AA336" si="68">INDEX(W$420:W$1632,MATCH($K321,$K$420:$K$1632,0)+MATCH("Option "&amp;$D$9,$K$420:$K$1230,0)-1,1)</f>
        <v>0</v>
      </c>
      <c r="X321" s="102">
        <f t="shared" si="68"/>
        <v>0</v>
      </c>
      <c r="Y321" s="90">
        <f t="shared" si="68"/>
        <v>0</v>
      </c>
      <c r="Z321" s="102">
        <f t="shared" si="68"/>
        <v>0</v>
      </c>
      <c r="AA321" s="101" t="str">
        <f t="shared" si="68"/>
        <v>EA</v>
      </c>
      <c r="AB321" s="71"/>
      <c r="AC321" s="91">
        <v>1</v>
      </c>
      <c r="AD321" s="91">
        <v>1</v>
      </c>
      <c r="AE321" s="92" t="str">
        <f t="shared" si="64"/>
        <v>Price Line 305</v>
      </c>
      <c r="AF321" s="93">
        <f t="shared" si="63"/>
        <v>0</v>
      </c>
    </row>
    <row r="322" spans="10:32" ht="12.5" hidden="1">
      <c r="J322" s="83">
        <f t="shared" si="58"/>
        <v>0</v>
      </c>
      <c r="K322" s="99">
        <v>306</v>
      </c>
      <c r="L322" s="100">
        <f t="shared" si="67"/>
        <v>1</v>
      </c>
      <c r="M322" s="90" t="str">
        <f t="shared" si="67"/>
        <v>Price Line 306</v>
      </c>
      <c r="N322" s="90">
        <f t="shared" si="67"/>
        <v>0</v>
      </c>
      <c r="O322" s="90">
        <f t="shared" si="67"/>
        <v>0</v>
      </c>
      <c r="P322" s="90">
        <f t="shared" si="67"/>
        <v>0</v>
      </c>
      <c r="Q322" s="90">
        <f t="shared" si="67"/>
        <v>0</v>
      </c>
      <c r="R322" s="90">
        <f t="shared" si="67"/>
        <v>0</v>
      </c>
      <c r="S322" s="90">
        <f t="shared" si="67"/>
        <v>0</v>
      </c>
      <c r="T322" s="90">
        <f t="shared" si="67"/>
        <v>0</v>
      </c>
      <c r="U322" s="101">
        <f t="shared" si="67"/>
        <v>0</v>
      </c>
      <c r="V322" s="71"/>
      <c r="W322" s="102">
        <f t="shared" si="68"/>
        <v>0</v>
      </c>
      <c r="X322" s="102">
        <f t="shared" si="68"/>
        <v>0</v>
      </c>
      <c r="Y322" s="90">
        <f t="shared" si="68"/>
        <v>0</v>
      </c>
      <c r="Z322" s="102">
        <f t="shared" si="68"/>
        <v>0</v>
      </c>
      <c r="AA322" s="101" t="str">
        <f t="shared" si="68"/>
        <v>EA</v>
      </c>
      <c r="AB322" s="71"/>
      <c r="AC322" s="91">
        <v>1</v>
      </c>
      <c r="AD322" s="91">
        <v>1</v>
      </c>
      <c r="AE322" s="92" t="str">
        <f t="shared" si="64"/>
        <v>Price Line 306</v>
      </c>
      <c r="AF322" s="93">
        <f t="shared" si="63"/>
        <v>0</v>
      </c>
    </row>
    <row r="323" spans="10:32" ht="12.5" hidden="1">
      <c r="J323" s="83">
        <f t="shared" si="58"/>
        <v>0</v>
      </c>
      <c r="K323" s="99">
        <v>307</v>
      </c>
      <c r="L323" s="100">
        <f t="shared" si="67"/>
        <v>1</v>
      </c>
      <c r="M323" s="90" t="str">
        <f t="shared" si="67"/>
        <v>Price Line 307</v>
      </c>
      <c r="N323" s="90">
        <f t="shared" si="67"/>
        <v>0</v>
      </c>
      <c r="O323" s="90">
        <f t="shared" si="67"/>
        <v>0</v>
      </c>
      <c r="P323" s="90">
        <f t="shared" si="67"/>
        <v>0</v>
      </c>
      <c r="Q323" s="90">
        <f t="shared" si="67"/>
        <v>0</v>
      </c>
      <c r="R323" s="90">
        <f t="shared" si="67"/>
        <v>0</v>
      </c>
      <c r="S323" s="90">
        <f t="shared" si="67"/>
        <v>0</v>
      </c>
      <c r="T323" s="90">
        <f t="shared" si="67"/>
        <v>0</v>
      </c>
      <c r="U323" s="101">
        <f t="shared" si="67"/>
        <v>0</v>
      </c>
      <c r="V323" s="71"/>
      <c r="W323" s="102">
        <f t="shared" si="68"/>
        <v>0</v>
      </c>
      <c r="X323" s="102">
        <f t="shared" si="68"/>
        <v>0</v>
      </c>
      <c r="Y323" s="90">
        <f t="shared" si="68"/>
        <v>0</v>
      </c>
      <c r="Z323" s="102">
        <f t="shared" si="68"/>
        <v>0</v>
      </c>
      <c r="AA323" s="101" t="str">
        <f t="shared" si="68"/>
        <v>EA</v>
      </c>
      <c r="AB323" s="71"/>
      <c r="AC323" s="91">
        <v>1</v>
      </c>
      <c r="AD323" s="91">
        <v>1</v>
      </c>
      <c r="AE323" s="92" t="str">
        <f t="shared" si="64"/>
        <v>Price Line 307</v>
      </c>
      <c r="AF323" s="93">
        <f t="shared" si="63"/>
        <v>0</v>
      </c>
    </row>
    <row r="324" spans="10:32" ht="12.5" hidden="1">
      <c r="J324" s="83">
        <f t="shared" si="58"/>
        <v>0</v>
      </c>
      <c r="K324" s="99">
        <v>308</v>
      </c>
      <c r="L324" s="100">
        <f t="shared" si="67"/>
        <v>1</v>
      </c>
      <c r="M324" s="90" t="str">
        <f t="shared" si="67"/>
        <v>Price Line 308</v>
      </c>
      <c r="N324" s="90">
        <f t="shared" si="67"/>
        <v>0</v>
      </c>
      <c r="O324" s="90">
        <f t="shared" si="67"/>
        <v>0</v>
      </c>
      <c r="P324" s="90">
        <f t="shared" si="67"/>
        <v>0</v>
      </c>
      <c r="Q324" s="90">
        <f t="shared" si="67"/>
        <v>0</v>
      </c>
      <c r="R324" s="90">
        <f t="shared" si="67"/>
        <v>0</v>
      </c>
      <c r="S324" s="90">
        <f t="shared" si="67"/>
        <v>0</v>
      </c>
      <c r="T324" s="90">
        <f t="shared" si="67"/>
        <v>0</v>
      </c>
      <c r="U324" s="101">
        <f t="shared" si="67"/>
        <v>0</v>
      </c>
      <c r="V324" s="71"/>
      <c r="W324" s="102">
        <f t="shared" si="68"/>
        <v>0</v>
      </c>
      <c r="X324" s="102">
        <f t="shared" si="68"/>
        <v>0</v>
      </c>
      <c r="Y324" s="90">
        <f t="shared" si="68"/>
        <v>0</v>
      </c>
      <c r="Z324" s="102">
        <f t="shared" si="68"/>
        <v>0</v>
      </c>
      <c r="AA324" s="101" t="str">
        <f t="shared" si="68"/>
        <v>EA</v>
      </c>
      <c r="AB324" s="71"/>
      <c r="AC324" s="91">
        <v>1</v>
      </c>
      <c r="AD324" s="91">
        <v>1</v>
      </c>
      <c r="AE324" s="92" t="str">
        <f t="shared" si="64"/>
        <v>Price Line 308</v>
      </c>
      <c r="AF324" s="93">
        <f t="shared" si="63"/>
        <v>0</v>
      </c>
    </row>
    <row r="325" spans="10:32" ht="12.5" hidden="1">
      <c r="J325" s="83">
        <f t="shared" si="58"/>
        <v>0</v>
      </c>
      <c r="K325" s="99">
        <v>309</v>
      </c>
      <c r="L325" s="100">
        <f t="shared" si="67"/>
        <v>1</v>
      </c>
      <c r="M325" s="90" t="str">
        <f t="shared" si="67"/>
        <v>Price Line 309</v>
      </c>
      <c r="N325" s="90">
        <f t="shared" si="67"/>
        <v>0</v>
      </c>
      <c r="O325" s="90">
        <f t="shared" si="67"/>
        <v>0</v>
      </c>
      <c r="P325" s="90">
        <f t="shared" si="67"/>
        <v>0</v>
      </c>
      <c r="Q325" s="90">
        <f t="shared" si="67"/>
        <v>0</v>
      </c>
      <c r="R325" s="90">
        <f t="shared" si="67"/>
        <v>0</v>
      </c>
      <c r="S325" s="90">
        <f t="shared" si="67"/>
        <v>0</v>
      </c>
      <c r="T325" s="90">
        <f t="shared" si="67"/>
        <v>0</v>
      </c>
      <c r="U325" s="101">
        <f t="shared" si="67"/>
        <v>0</v>
      </c>
      <c r="V325" s="71"/>
      <c r="W325" s="102">
        <f t="shared" si="68"/>
        <v>0</v>
      </c>
      <c r="X325" s="102">
        <f t="shared" si="68"/>
        <v>0</v>
      </c>
      <c r="Y325" s="90">
        <f t="shared" si="68"/>
        <v>0</v>
      </c>
      <c r="Z325" s="102">
        <f t="shared" si="68"/>
        <v>0</v>
      </c>
      <c r="AA325" s="101" t="str">
        <f t="shared" si="68"/>
        <v>EA</v>
      </c>
      <c r="AB325" s="71"/>
      <c r="AC325" s="91">
        <v>1</v>
      </c>
      <c r="AD325" s="91">
        <v>1</v>
      </c>
      <c r="AE325" s="92" t="str">
        <f t="shared" si="64"/>
        <v>Price Line 309</v>
      </c>
      <c r="AF325" s="93">
        <f t="shared" si="63"/>
        <v>0</v>
      </c>
    </row>
    <row r="326" spans="10:32" ht="12.5" hidden="1">
      <c r="J326" s="83">
        <f t="shared" si="58"/>
        <v>0</v>
      </c>
      <c r="K326" s="99">
        <v>310</v>
      </c>
      <c r="L326" s="100">
        <f t="shared" si="67"/>
        <v>1</v>
      </c>
      <c r="M326" s="90" t="str">
        <f t="shared" si="67"/>
        <v>Price Line 310</v>
      </c>
      <c r="N326" s="90">
        <f t="shared" si="67"/>
        <v>0</v>
      </c>
      <c r="O326" s="90">
        <f t="shared" si="67"/>
        <v>0</v>
      </c>
      <c r="P326" s="90">
        <f t="shared" si="67"/>
        <v>0</v>
      </c>
      <c r="Q326" s="90">
        <f t="shared" si="67"/>
        <v>0</v>
      </c>
      <c r="R326" s="90">
        <f t="shared" si="67"/>
        <v>0</v>
      </c>
      <c r="S326" s="90">
        <f t="shared" si="67"/>
        <v>0</v>
      </c>
      <c r="T326" s="90">
        <f t="shared" si="67"/>
        <v>0</v>
      </c>
      <c r="U326" s="101">
        <f t="shared" si="67"/>
        <v>0</v>
      </c>
      <c r="V326" s="71"/>
      <c r="W326" s="102">
        <f t="shared" si="68"/>
        <v>0</v>
      </c>
      <c r="X326" s="102">
        <f t="shared" si="68"/>
        <v>0</v>
      </c>
      <c r="Y326" s="90">
        <f t="shared" si="68"/>
        <v>0</v>
      </c>
      <c r="Z326" s="102">
        <f t="shared" si="68"/>
        <v>0</v>
      </c>
      <c r="AA326" s="101" t="str">
        <f t="shared" si="68"/>
        <v>EA</v>
      </c>
      <c r="AB326" s="71"/>
      <c r="AC326" s="91">
        <v>1</v>
      </c>
      <c r="AD326" s="91">
        <v>1</v>
      </c>
      <c r="AE326" s="92" t="str">
        <f t="shared" si="64"/>
        <v>Price Line 310</v>
      </c>
      <c r="AF326" s="93">
        <f t="shared" si="63"/>
        <v>0</v>
      </c>
    </row>
    <row r="327" spans="10:32" ht="12.5" hidden="1">
      <c r="J327" s="83">
        <f t="shared" si="58"/>
        <v>0</v>
      </c>
      <c r="K327" s="99">
        <v>311</v>
      </c>
      <c r="L327" s="100">
        <f t="shared" si="67"/>
        <v>1</v>
      </c>
      <c r="M327" s="90" t="str">
        <f t="shared" si="67"/>
        <v>Price Line 311</v>
      </c>
      <c r="N327" s="90">
        <f t="shared" si="67"/>
        <v>0</v>
      </c>
      <c r="O327" s="90">
        <f t="shared" si="67"/>
        <v>0</v>
      </c>
      <c r="P327" s="90">
        <f t="shared" si="67"/>
        <v>0</v>
      </c>
      <c r="Q327" s="90">
        <f t="shared" si="67"/>
        <v>0</v>
      </c>
      <c r="R327" s="90">
        <f t="shared" si="67"/>
        <v>0</v>
      </c>
      <c r="S327" s="90">
        <f t="shared" si="67"/>
        <v>0</v>
      </c>
      <c r="T327" s="90">
        <f t="shared" si="67"/>
        <v>0</v>
      </c>
      <c r="U327" s="101">
        <f t="shared" si="67"/>
        <v>0</v>
      </c>
      <c r="V327" s="71"/>
      <c r="W327" s="102">
        <f t="shared" si="68"/>
        <v>0</v>
      </c>
      <c r="X327" s="102">
        <f t="shared" si="68"/>
        <v>0</v>
      </c>
      <c r="Y327" s="90">
        <f t="shared" si="68"/>
        <v>0</v>
      </c>
      <c r="Z327" s="102">
        <f t="shared" si="68"/>
        <v>0</v>
      </c>
      <c r="AA327" s="101" t="str">
        <f t="shared" si="68"/>
        <v>EA</v>
      </c>
      <c r="AB327" s="71"/>
      <c r="AC327" s="91">
        <v>1</v>
      </c>
      <c r="AD327" s="91">
        <v>1</v>
      </c>
      <c r="AE327" s="92" t="str">
        <f t="shared" si="64"/>
        <v>Price Line 311</v>
      </c>
      <c r="AF327" s="93">
        <f t="shared" si="63"/>
        <v>0</v>
      </c>
    </row>
    <row r="328" spans="10:32" ht="12.5" hidden="1">
      <c r="J328" s="83">
        <f t="shared" si="58"/>
        <v>0</v>
      </c>
      <c r="K328" s="99">
        <v>312</v>
      </c>
      <c r="L328" s="100">
        <f t="shared" si="67"/>
        <v>1</v>
      </c>
      <c r="M328" s="90" t="str">
        <f t="shared" si="67"/>
        <v>Price Line 312</v>
      </c>
      <c r="N328" s="90">
        <f t="shared" si="67"/>
        <v>0</v>
      </c>
      <c r="O328" s="90">
        <f t="shared" si="67"/>
        <v>0</v>
      </c>
      <c r="P328" s="90">
        <f t="shared" si="67"/>
        <v>0</v>
      </c>
      <c r="Q328" s="90">
        <f t="shared" si="67"/>
        <v>0</v>
      </c>
      <c r="R328" s="90">
        <f t="shared" si="67"/>
        <v>0</v>
      </c>
      <c r="S328" s="90">
        <f t="shared" si="67"/>
        <v>0</v>
      </c>
      <c r="T328" s="90">
        <f t="shared" si="67"/>
        <v>0</v>
      </c>
      <c r="U328" s="101">
        <f t="shared" si="67"/>
        <v>0</v>
      </c>
      <c r="V328" s="71"/>
      <c r="W328" s="102">
        <f t="shared" si="68"/>
        <v>0</v>
      </c>
      <c r="X328" s="102">
        <f t="shared" si="68"/>
        <v>0</v>
      </c>
      <c r="Y328" s="90">
        <f t="shared" si="68"/>
        <v>0</v>
      </c>
      <c r="Z328" s="102">
        <f t="shared" si="68"/>
        <v>0</v>
      </c>
      <c r="AA328" s="101" t="str">
        <f t="shared" si="68"/>
        <v>EA</v>
      </c>
      <c r="AB328" s="71"/>
      <c r="AC328" s="91">
        <v>1</v>
      </c>
      <c r="AD328" s="91">
        <v>1</v>
      </c>
      <c r="AE328" s="92" t="str">
        <f t="shared" si="64"/>
        <v>Price Line 312</v>
      </c>
      <c r="AF328" s="93">
        <f t="shared" si="63"/>
        <v>0</v>
      </c>
    </row>
    <row r="329" spans="10:32" ht="12.5" hidden="1">
      <c r="J329" s="83">
        <f t="shared" si="58"/>
        <v>0</v>
      </c>
      <c r="K329" s="99">
        <v>313</v>
      </c>
      <c r="L329" s="100">
        <f t="shared" si="67"/>
        <v>1</v>
      </c>
      <c r="M329" s="90" t="str">
        <f t="shared" si="67"/>
        <v>Price Line 313</v>
      </c>
      <c r="N329" s="90">
        <f t="shared" si="67"/>
        <v>0</v>
      </c>
      <c r="O329" s="90">
        <f t="shared" si="67"/>
        <v>0</v>
      </c>
      <c r="P329" s="90">
        <f t="shared" si="67"/>
        <v>0</v>
      </c>
      <c r="Q329" s="90">
        <f t="shared" si="67"/>
        <v>0</v>
      </c>
      <c r="R329" s="90">
        <f t="shared" si="67"/>
        <v>0</v>
      </c>
      <c r="S329" s="90">
        <f t="shared" si="67"/>
        <v>0</v>
      </c>
      <c r="T329" s="90">
        <f t="shared" si="67"/>
        <v>0</v>
      </c>
      <c r="U329" s="101">
        <f t="shared" si="67"/>
        <v>0</v>
      </c>
      <c r="V329" s="71"/>
      <c r="W329" s="102">
        <f t="shared" si="68"/>
        <v>0</v>
      </c>
      <c r="X329" s="102">
        <f t="shared" si="68"/>
        <v>0</v>
      </c>
      <c r="Y329" s="90">
        <f t="shared" si="68"/>
        <v>0</v>
      </c>
      <c r="Z329" s="102">
        <f t="shared" si="68"/>
        <v>0</v>
      </c>
      <c r="AA329" s="101" t="str">
        <f t="shared" si="68"/>
        <v>EA</v>
      </c>
      <c r="AB329" s="71"/>
      <c r="AC329" s="91">
        <v>1</v>
      </c>
      <c r="AD329" s="91">
        <v>1</v>
      </c>
      <c r="AE329" s="92" t="str">
        <f t="shared" si="64"/>
        <v>Price Line 313</v>
      </c>
      <c r="AF329" s="93">
        <f t="shared" si="63"/>
        <v>0</v>
      </c>
    </row>
    <row r="330" spans="10:32" ht="12.5" hidden="1">
      <c r="J330" s="83">
        <f t="shared" si="58"/>
        <v>0</v>
      </c>
      <c r="K330" s="99">
        <v>314</v>
      </c>
      <c r="L330" s="100">
        <f t="shared" si="67"/>
        <v>1</v>
      </c>
      <c r="M330" s="90" t="str">
        <f t="shared" si="67"/>
        <v>Price Line 314</v>
      </c>
      <c r="N330" s="90">
        <f t="shared" si="67"/>
        <v>0</v>
      </c>
      <c r="O330" s="90">
        <f t="shared" si="67"/>
        <v>0</v>
      </c>
      <c r="P330" s="90">
        <f t="shared" si="67"/>
        <v>0</v>
      </c>
      <c r="Q330" s="90">
        <f t="shared" si="67"/>
        <v>0</v>
      </c>
      <c r="R330" s="90">
        <f t="shared" si="67"/>
        <v>0</v>
      </c>
      <c r="S330" s="90">
        <f t="shared" si="67"/>
        <v>0</v>
      </c>
      <c r="T330" s="90">
        <f t="shared" si="67"/>
        <v>0</v>
      </c>
      <c r="U330" s="101">
        <f t="shared" si="67"/>
        <v>0</v>
      </c>
      <c r="V330" s="71"/>
      <c r="W330" s="102">
        <f t="shared" si="68"/>
        <v>0</v>
      </c>
      <c r="X330" s="102">
        <f t="shared" si="68"/>
        <v>0</v>
      </c>
      <c r="Y330" s="90">
        <f t="shared" si="68"/>
        <v>0</v>
      </c>
      <c r="Z330" s="102">
        <f t="shared" si="68"/>
        <v>0</v>
      </c>
      <c r="AA330" s="101" t="str">
        <f t="shared" si="68"/>
        <v>EA</v>
      </c>
      <c r="AB330" s="71"/>
      <c r="AC330" s="91">
        <v>1</v>
      </c>
      <c r="AD330" s="91">
        <v>1</v>
      </c>
      <c r="AE330" s="92" t="str">
        <f t="shared" si="64"/>
        <v>Price Line 314</v>
      </c>
      <c r="AF330" s="93">
        <f t="shared" si="63"/>
        <v>0</v>
      </c>
    </row>
    <row r="331" spans="10:32" ht="12.5" hidden="1">
      <c r="J331" s="83">
        <f t="shared" si="58"/>
        <v>0</v>
      </c>
      <c r="K331" s="99">
        <v>315</v>
      </c>
      <c r="L331" s="100">
        <f t="shared" si="67"/>
        <v>1</v>
      </c>
      <c r="M331" s="90" t="str">
        <f t="shared" si="67"/>
        <v>Price Line 315</v>
      </c>
      <c r="N331" s="90">
        <f t="shared" si="67"/>
        <v>0</v>
      </c>
      <c r="O331" s="90">
        <f t="shared" si="67"/>
        <v>0</v>
      </c>
      <c r="P331" s="90">
        <f t="shared" si="67"/>
        <v>0</v>
      </c>
      <c r="Q331" s="90">
        <f t="shared" si="67"/>
        <v>0</v>
      </c>
      <c r="R331" s="90">
        <f t="shared" si="67"/>
        <v>0</v>
      </c>
      <c r="S331" s="90">
        <f t="shared" si="67"/>
        <v>0</v>
      </c>
      <c r="T331" s="90">
        <f t="shared" si="67"/>
        <v>0</v>
      </c>
      <c r="U331" s="101">
        <f t="shared" si="67"/>
        <v>0</v>
      </c>
      <c r="V331" s="71"/>
      <c r="W331" s="102">
        <f t="shared" si="68"/>
        <v>0</v>
      </c>
      <c r="X331" s="102">
        <f t="shared" si="68"/>
        <v>0</v>
      </c>
      <c r="Y331" s="90">
        <f t="shared" si="68"/>
        <v>0</v>
      </c>
      <c r="Z331" s="102">
        <f t="shared" si="68"/>
        <v>0</v>
      </c>
      <c r="AA331" s="101" t="str">
        <f t="shared" si="68"/>
        <v>EA</v>
      </c>
      <c r="AB331" s="71"/>
      <c r="AC331" s="91">
        <v>1</v>
      </c>
      <c r="AD331" s="91">
        <v>1</v>
      </c>
      <c r="AE331" s="92" t="str">
        <f t="shared" si="64"/>
        <v>Price Line 315</v>
      </c>
      <c r="AF331" s="93">
        <f t="shared" si="63"/>
        <v>0</v>
      </c>
    </row>
    <row r="332" spans="10:32" ht="12.5" hidden="1">
      <c r="J332" s="83">
        <f t="shared" si="58"/>
        <v>0</v>
      </c>
      <c r="K332" s="99">
        <v>316</v>
      </c>
      <c r="L332" s="100">
        <f t="shared" si="67"/>
        <v>1</v>
      </c>
      <c r="M332" s="90" t="str">
        <f t="shared" si="67"/>
        <v>Price Line 316</v>
      </c>
      <c r="N332" s="90">
        <f t="shared" si="67"/>
        <v>0</v>
      </c>
      <c r="O332" s="90">
        <f t="shared" si="67"/>
        <v>0</v>
      </c>
      <c r="P332" s="90">
        <f t="shared" si="67"/>
        <v>0</v>
      </c>
      <c r="Q332" s="90">
        <f t="shared" si="67"/>
        <v>0</v>
      </c>
      <c r="R332" s="90">
        <f t="shared" si="67"/>
        <v>0</v>
      </c>
      <c r="S332" s="90">
        <f t="shared" si="67"/>
        <v>0</v>
      </c>
      <c r="T332" s="90">
        <f t="shared" si="67"/>
        <v>0</v>
      </c>
      <c r="U332" s="101">
        <f t="shared" si="67"/>
        <v>0</v>
      </c>
      <c r="V332" s="71"/>
      <c r="W332" s="102">
        <f t="shared" si="68"/>
        <v>0</v>
      </c>
      <c r="X332" s="102">
        <f t="shared" si="68"/>
        <v>0</v>
      </c>
      <c r="Y332" s="90">
        <f t="shared" si="68"/>
        <v>0</v>
      </c>
      <c r="Z332" s="102">
        <f t="shared" si="68"/>
        <v>0</v>
      </c>
      <c r="AA332" s="101" t="str">
        <f t="shared" si="68"/>
        <v>EA</v>
      </c>
      <c r="AB332" s="71"/>
      <c r="AC332" s="91">
        <v>1</v>
      </c>
      <c r="AD332" s="91">
        <v>1</v>
      </c>
      <c r="AE332" s="92" t="str">
        <f t="shared" si="64"/>
        <v>Price Line 316</v>
      </c>
      <c r="AF332" s="93">
        <f t="shared" si="63"/>
        <v>0</v>
      </c>
    </row>
    <row r="333" spans="10:32" ht="12.5" hidden="1">
      <c r="J333" s="83">
        <f t="shared" si="58"/>
        <v>0</v>
      </c>
      <c r="K333" s="99">
        <v>317</v>
      </c>
      <c r="L333" s="100">
        <f t="shared" si="67"/>
        <v>1</v>
      </c>
      <c r="M333" s="90" t="str">
        <f t="shared" si="67"/>
        <v>Price Line 317</v>
      </c>
      <c r="N333" s="90">
        <f t="shared" si="67"/>
        <v>0</v>
      </c>
      <c r="O333" s="90">
        <f t="shared" si="67"/>
        <v>0</v>
      </c>
      <c r="P333" s="90">
        <f t="shared" si="67"/>
        <v>0</v>
      </c>
      <c r="Q333" s="90">
        <f t="shared" si="67"/>
        <v>0</v>
      </c>
      <c r="R333" s="90">
        <f t="shared" si="67"/>
        <v>0</v>
      </c>
      <c r="S333" s="90">
        <f t="shared" si="67"/>
        <v>0</v>
      </c>
      <c r="T333" s="90">
        <f t="shared" si="67"/>
        <v>0</v>
      </c>
      <c r="U333" s="101">
        <f t="shared" si="67"/>
        <v>0</v>
      </c>
      <c r="V333" s="71"/>
      <c r="W333" s="102">
        <f t="shared" si="68"/>
        <v>0</v>
      </c>
      <c r="X333" s="102">
        <f t="shared" si="68"/>
        <v>0</v>
      </c>
      <c r="Y333" s="90">
        <f t="shared" si="68"/>
        <v>0</v>
      </c>
      <c r="Z333" s="102">
        <f t="shared" si="68"/>
        <v>0</v>
      </c>
      <c r="AA333" s="101" t="str">
        <f t="shared" si="68"/>
        <v>EA</v>
      </c>
      <c r="AB333" s="71"/>
      <c r="AC333" s="91">
        <v>1</v>
      </c>
      <c r="AD333" s="91">
        <v>1</v>
      </c>
      <c r="AE333" s="92" t="str">
        <f t="shared" si="64"/>
        <v>Price Line 317</v>
      </c>
      <c r="AF333" s="93">
        <f t="shared" si="63"/>
        <v>0</v>
      </c>
    </row>
    <row r="334" spans="10:32" ht="12.5" hidden="1">
      <c r="J334" s="83">
        <f t="shared" si="58"/>
        <v>0</v>
      </c>
      <c r="K334" s="99">
        <v>318</v>
      </c>
      <c r="L334" s="100">
        <f t="shared" si="67"/>
        <v>1</v>
      </c>
      <c r="M334" s="90" t="str">
        <f t="shared" si="67"/>
        <v>Price Line 318</v>
      </c>
      <c r="N334" s="90">
        <f t="shared" si="67"/>
        <v>0</v>
      </c>
      <c r="O334" s="90">
        <f t="shared" si="67"/>
        <v>0</v>
      </c>
      <c r="P334" s="90">
        <f t="shared" si="67"/>
        <v>0</v>
      </c>
      <c r="Q334" s="90">
        <f t="shared" si="67"/>
        <v>0</v>
      </c>
      <c r="R334" s="90">
        <f t="shared" si="67"/>
        <v>0</v>
      </c>
      <c r="S334" s="90">
        <f t="shared" si="67"/>
        <v>0</v>
      </c>
      <c r="T334" s="90">
        <f t="shared" si="67"/>
        <v>0</v>
      </c>
      <c r="U334" s="101">
        <f t="shared" si="67"/>
        <v>0</v>
      </c>
      <c r="V334" s="71"/>
      <c r="W334" s="102">
        <f t="shared" si="68"/>
        <v>0</v>
      </c>
      <c r="X334" s="102">
        <f t="shared" si="68"/>
        <v>0</v>
      </c>
      <c r="Y334" s="90">
        <f t="shared" si="68"/>
        <v>0</v>
      </c>
      <c r="Z334" s="102">
        <f t="shared" si="68"/>
        <v>0</v>
      </c>
      <c r="AA334" s="101" t="str">
        <f t="shared" si="68"/>
        <v>EA</v>
      </c>
      <c r="AB334" s="71"/>
      <c r="AC334" s="91">
        <v>1</v>
      </c>
      <c r="AD334" s="91">
        <v>1</v>
      </c>
      <c r="AE334" s="92" t="str">
        <f t="shared" si="64"/>
        <v>Price Line 318</v>
      </c>
      <c r="AF334" s="93">
        <f t="shared" si="63"/>
        <v>0</v>
      </c>
    </row>
    <row r="335" spans="10:32" ht="12.5" hidden="1">
      <c r="J335" s="83">
        <f t="shared" si="58"/>
        <v>0</v>
      </c>
      <c r="K335" s="99">
        <v>319</v>
      </c>
      <c r="L335" s="100">
        <f t="shared" si="67"/>
        <v>1</v>
      </c>
      <c r="M335" s="90" t="str">
        <f t="shared" si="67"/>
        <v>Price Line 319</v>
      </c>
      <c r="N335" s="90">
        <f t="shared" si="67"/>
        <v>0</v>
      </c>
      <c r="O335" s="90">
        <f t="shared" si="67"/>
        <v>0</v>
      </c>
      <c r="P335" s="90">
        <f t="shared" si="67"/>
        <v>0</v>
      </c>
      <c r="Q335" s="90">
        <f t="shared" si="67"/>
        <v>0</v>
      </c>
      <c r="R335" s="90">
        <f t="shared" si="67"/>
        <v>0</v>
      </c>
      <c r="S335" s="90">
        <f t="shared" si="67"/>
        <v>0</v>
      </c>
      <c r="T335" s="90">
        <f t="shared" si="67"/>
        <v>0</v>
      </c>
      <c r="U335" s="101">
        <f t="shared" si="67"/>
        <v>0</v>
      </c>
      <c r="V335" s="71"/>
      <c r="W335" s="102">
        <f t="shared" si="68"/>
        <v>0</v>
      </c>
      <c r="X335" s="102">
        <f t="shared" si="68"/>
        <v>0</v>
      </c>
      <c r="Y335" s="90">
        <f t="shared" si="68"/>
        <v>0</v>
      </c>
      <c r="Z335" s="102">
        <f t="shared" si="68"/>
        <v>0</v>
      </c>
      <c r="AA335" s="101" t="str">
        <f t="shared" si="68"/>
        <v>EA</v>
      </c>
      <c r="AB335" s="71"/>
      <c r="AC335" s="91">
        <v>1</v>
      </c>
      <c r="AD335" s="91">
        <v>1</v>
      </c>
      <c r="AE335" s="92" t="str">
        <f t="shared" si="64"/>
        <v>Price Line 319</v>
      </c>
      <c r="AF335" s="93">
        <f t="shared" si="63"/>
        <v>0</v>
      </c>
    </row>
    <row r="336" spans="10:32" ht="12.5" hidden="1">
      <c r="J336" s="83">
        <f t="shared" si="58"/>
        <v>0</v>
      </c>
      <c r="K336" s="99">
        <v>320</v>
      </c>
      <c r="L336" s="100">
        <f t="shared" si="67"/>
        <v>1</v>
      </c>
      <c r="M336" s="90" t="str">
        <f t="shared" si="67"/>
        <v>Price Line 320</v>
      </c>
      <c r="N336" s="90">
        <f t="shared" si="67"/>
        <v>0</v>
      </c>
      <c r="O336" s="90">
        <f t="shared" si="67"/>
        <v>0</v>
      </c>
      <c r="P336" s="90">
        <f t="shared" si="67"/>
        <v>0</v>
      </c>
      <c r="Q336" s="90">
        <f t="shared" si="67"/>
        <v>0</v>
      </c>
      <c r="R336" s="90">
        <f t="shared" si="67"/>
        <v>0</v>
      </c>
      <c r="S336" s="90">
        <f t="shared" si="67"/>
        <v>0</v>
      </c>
      <c r="T336" s="90">
        <f t="shared" si="67"/>
        <v>0</v>
      </c>
      <c r="U336" s="101">
        <f t="shared" si="67"/>
        <v>0</v>
      </c>
      <c r="V336" s="71"/>
      <c r="W336" s="102">
        <f t="shared" si="68"/>
        <v>0</v>
      </c>
      <c r="X336" s="102">
        <f t="shared" si="68"/>
        <v>0</v>
      </c>
      <c r="Y336" s="90">
        <f t="shared" si="68"/>
        <v>0</v>
      </c>
      <c r="Z336" s="102">
        <f t="shared" si="68"/>
        <v>0</v>
      </c>
      <c r="AA336" s="101" t="str">
        <f t="shared" si="68"/>
        <v>EA</v>
      </c>
      <c r="AB336" s="71"/>
      <c r="AC336" s="91">
        <v>1</v>
      </c>
      <c r="AD336" s="91">
        <v>1</v>
      </c>
      <c r="AE336" s="92" t="str">
        <f t="shared" si="64"/>
        <v>Price Line 320</v>
      </c>
      <c r="AF336" s="93">
        <f t="shared" si="63"/>
        <v>0</v>
      </c>
    </row>
    <row r="337" spans="10:32" ht="12.5" hidden="1">
      <c r="J337" s="83">
        <f t="shared" ref="J337:J400" si="69">INDEX(J$420:J$1632,MATCH($K337,$K$420:$K$1632,0)+MATCH("Option "&amp;$D$9,$K$420:$K$1230,0)-1,1)</f>
        <v>0</v>
      </c>
      <c r="K337" s="99">
        <v>321</v>
      </c>
      <c r="L337" s="100">
        <f t="shared" ref="L337:U352" si="70">INDEX(L$420:L$1632,MATCH($K337,$K$420:$K$1632,0)+MATCH("Option "&amp;$D$9,$K$420:$K$1230,0)-1,1)</f>
        <v>1</v>
      </c>
      <c r="M337" s="90" t="str">
        <f t="shared" si="70"/>
        <v>Price Line 321</v>
      </c>
      <c r="N337" s="90">
        <f t="shared" si="70"/>
        <v>0</v>
      </c>
      <c r="O337" s="90">
        <f t="shared" si="70"/>
        <v>0</v>
      </c>
      <c r="P337" s="90">
        <f t="shared" si="70"/>
        <v>0</v>
      </c>
      <c r="Q337" s="90">
        <f t="shared" si="70"/>
        <v>0</v>
      </c>
      <c r="R337" s="90">
        <f t="shared" si="70"/>
        <v>0</v>
      </c>
      <c r="S337" s="90">
        <f t="shared" si="70"/>
        <v>0</v>
      </c>
      <c r="T337" s="90">
        <f t="shared" si="70"/>
        <v>0</v>
      </c>
      <c r="U337" s="101">
        <f t="shared" si="70"/>
        <v>0</v>
      </c>
      <c r="V337" s="71"/>
      <c r="W337" s="102">
        <f t="shared" ref="W337:AA352" si="71">INDEX(W$420:W$1632,MATCH($K337,$K$420:$K$1632,0)+MATCH("Option "&amp;$D$9,$K$420:$K$1230,0)-1,1)</f>
        <v>0</v>
      </c>
      <c r="X337" s="102">
        <f t="shared" si="71"/>
        <v>0</v>
      </c>
      <c r="Y337" s="90">
        <f t="shared" si="71"/>
        <v>0</v>
      </c>
      <c r="Z337" s="102">
        <f t="shared" si="71"/>
        <v>0</v>
      </c>
      <c r="AA337" s="101" t="str">
        <f t="shared" si="71"/>
        <v>EA</v>
      </c>
      <c r="AB337" s="71"/>
      <c r="AC337" s="91">
        <v>1</v>
      </c>
      <c r="AD337" s="91">
        <v>1</v>
      </c>
      <c r="AE337" s="92" t="str">
        <f t="shared" si="64"/>
        <v>Price Line 321</v>
      </c>
      <c r="AF337" s="93">
        <f t="shared" si="63"/>
        <v>0</v>
      </c>
    </row>
    <row r="338" spans="10:32" ht="12.5" hidden="1">
      <c r="J338" s="83">
        <f t="shared" si="69"/>
        <v>0</v>
      </c>
      <c r="K338" s="99">
        <v>322</v>
      </c>
      <c r="L338" s="100">
        <f t="shared" si="70"/>
        <v>1</v>
      </c>
      <c r="M338" s="90" t="str">
        <f t="shared" si="70"/>
        <v>Price Line 322</v>
      </c>
      <c r="N338" s="90">
        <f t="shared" si="70"/>
        <v>0</v>
      </c>
      <c r="O338" s="90">
        <f t="shared" si="70"/>
        <v>0</v>
      </c>
      <c r="P338" s="90">
        <f t="shared" si="70"/>
        <v>0</v>
      </c>
      <c r="Q338" s="90">
        <f t="shared" si="70"/>
        <v>0</v>
      </c>
      <c r="R338" s="90">
        <f t="shared" si="70"/>
        <v>0</v>
      </c>
      <c r="S338" s="90">
        <f t="shared" si="70"/>
        <v>0</v>
      </c>
      <c r="T338" s="90">
        <f t="shared" si="70"/>
        <v>0</v>
      </c>
      <c r="U338" s="101">
        <f t="shared" si="70"/>
        <v>0</v>
      </c>
      <c r="V338" s="71"/>
      <c r="W338" s="102">
        <f t="shared" si="71"/>
        <v>0</v>
      </c>
      <c r="X338" s="102">
        <f t="shared" si="71"/>
        <v>0</v>
      </c>
      <c r="Y338" s="90">
        <f t="shared" si="71"/>
        <v>0</v>
      </c>
      <c r="Z338" s="102">
        <f t="shared" si="71"/>
        <v>0</v>
      </c>
      <c r="AA338" s="101" t="str">
        <f t="shared" si="71"/>
        <v>EA</v>
      </c>
      <c r="AB338" s="71"/>
      <c r="AC338" s="91">
        <v>1</v>
      </c>
      <c r="AD338" s="91">
        <v>1</v>
      </c>
      <c r="AE338" s="92" t="str">
        <f t="shared" si="64"/>
        <v>Price Line 322</v>
      </c>
      <c r="AF338" s="93">
        <f t="shared" si="63"/>
        <v>0</v>
      </c>
    </row>
    <row r="339" spans="10:32" ht="12.5" hidden="1">
      <c r="J339" s="83">
        <f t="shared" si="69"/>
        <v>0</v>
      </c>
      <c r="K339" s="99">
        <v>323</v>
      </c>
      <c r="L339" s="100">
        <f t="shared" si="70"/>
        <v>1</v>
      </c>
      <c r="M339" s="90" t="str">
        <f t="shared" si="70"/>
        <v>Price Line 323</v>
      </c>
      <c r="N339" s="90">
        <f t="shared" si="70"/>
        <v>0</v>
      </c>
      <c r="O339" s="90">
        <f t="shared" si="70"/>
        <v>0</v>
      </c>
      <c r="P339" s="90">
        <f t="shared" si="70"/>
        <v>0</v>
      </c>
      <c r="Q339" s="90">
        <f t="shared" si="70"/>
        <v>0</v>
      </c>
      <c r="R339" s="90">
        <f t="shared" si="70"/>
        <v>0</v>
      </c>
      <c r="S339" s="90">
        <f t="shared" si="70"/>
        <v>0</v>
      </c>
      <c r="T339" s="90">
        <f t="shared" si="70"/>
        <v>0</v>
      </c>
      <c r="U339" s="101">
        <f t="shared" si="70"/>
        <v>0</v>
      </c>
      <c r="V339" s="71"/>
      <c r="W339" s="102">
        <f t="shared" si="71"/>
        <v>0</v>
      </c>
      <c r="X339" s="102">
        <f t="shared" si="71"/>
        <v>0</v>
      </c>
      <c r="Y339" s="90">
        <f t="shared" si="71"/>
        <v>0</v>
      </c>
      <c r="Z339" s="102">
        <f t="shared" si="71"/>
        <v>0</v>
      </c>
      <c r="AA339" s="101" t="str">
        <f t="shared" si="71"/>
        <v>EA</v>
      </c>
      <c r="AB339" s="71"/>
      <c r="AC339" s="91">
        <v>1</v>
      </c>
      <c r="AD339" s="91">
        <v>1</v>
      </c>
      <c r="AE339" s="92" t="str">
        <f t="shared" si="64"/>
        <v>Price Line 323</v>
      </c>
      <c r="AF339" s="93">
        <f t="shared" si="63"/>
        <v>0</v>
      </c>
    </row>
    <row r="340" spans="10:32" ht="12.5" hidden="1">
      <c r="J340" s="83">
        <f t="shared" si="69"/>
        <v>0</v>
      </c>
      <c r="K340" s="99">
        <v>324</v>
      </c>
      <c r="L340" s="100">
        <f t="shared" si="70"/>
        <v>1</v>
      </c>
      <c r="M340" s="90" t="str">
        <f t="shared" si="70"/>
        <v>Price Line 324</v>
      </c>
      <c r="N340" s="90">
        <f t="shared" si="70"/>
        <v>0</v>
      </c>
      <c r="O340" s="90">
        <f t="shared" si="70"/>
        <v>0</v>
      </c>
      <c r="P340" s="90">
        <f t="shared" si="70"/>
        <v>0</v>
      </c>
      <c r="Q340" s="90">
        <f t="shared" si="70"/>
        <v>0</v>
      </c>
      <c r="R340" s="90">
        <f t="shared" si="70"/>
        <v>0</v>
      </c>
      <c r="S340" s="90">
        <f t="shared" si="70"/>
        <v>0</v>
      </c>
      <c r="T340" s="90">
        <f t="shared" si="70"/>
        <v>0</v>
      </c>
      <c r="U340" s="101">
        <f t="shared" si="70"/>
        <v>0</v>
      </c>
      <c r="V340" s="71"/>
      <c r="W340" s="102">
        <f t="shared" si="71"/>
        <v>0</v>
      </c>
      <c r="X340" s="102">
        <f t="shared" si="71"/>
        <v>0</v>
      </c>
      <c r="Y340" s="90">
        <f t="shared" si="71"/>
        <v>0</v>
      </c>
      <c r="Z340" s="102">
        <f t="shared" si="71"/>
        <v>0</v>
      </c>
      <c r="AA340" s="101" t="str">
        <f t="shared" si="71"/>
        <v>EA</v>
      </c>
      <c r="AB340" s="71"/>
      <c r="AC340" s="91">
        <v>1</v>
      </c>
      <c r="AD340" s="91">
        <v>1</v>
      </c>
      <c r="AE340" s="92" t="str">
        <f t="shared" si="64"/>
        <v>Price Line 324</v>
      </c>
      <c r="AF340" s="93">
        <f t="shared" si="63"/>
        <v>0</v>
      </c>
    </row>
    <row r="341" spans="10:32" ht="12.5" hidden="1">
      <c r="J341" s="83">
        <f t="shared" si="69"/>
        <v>0</v>
      </c>
      <c r="K341" s="99">
        <v>325</v>
      </c>
      <c r="L341" s="100">
        <f t="shared" si="70"/>
        <v>1</v>
      </c>
      <c r="M341" s="90" t="str">
        <f t="shared" si="70"/>
        <v>Price Line 325</v>
      </c>
      <c r="N341" s="90">
        <f t="shared" si="70"/>
        <v>0</v>
      </c>
      <c r="O341" s="90">
        <f t="shared" si="70"/>
        <v>0</v>
      </c>
      <c r="P341" s="90">
        <f t="shared" si="70"/>
        <v>0</v>
      </c>
      <c r="Q341" s="90">
        <f t="shared" si="70"/>
        <v>0</v>
      </c>
      <c r="R341" s="90">
        <f t="shared" si="70"/>
        <v>0</v>
      </c>
      <c r="S341" s="90">
        <f t="shared" si="70"/>
        <v>0</v>
      </c>
      <c r="T341" s="90">
        <f t="shared" si="70"/>
        <v>0</v>
      </c>
      <c r="U341" s="101">
        <f t="shared" si="70"/>
        <v>0</v>
      </c>
      <c r="V341" s="71"/>
      <c r="W341" s="102">
        <f t="shared" si="71"/>
        <v>0</v>
      </c>
      <c r="X341" s="102">
        <f t="shared" si="71"/>
        <v>0</v>
      </c>
      <c r="Y341" s="90">
        <f t="shared" si="71"/>
        <v>0</v>
      </c>
      <c r="Z341" s="102">
        <f t="shared" si="71"/>
        <v>0</v>
      </c>
      <c r="AA341" s="101" t="str">
        <f t="shared" si="71"/>
        <v>EA</v>
      </c>
      <c r="AB341" s="71"/>
      <c r="AC341" s="91">
        <v>1</v>
      </c>
      <c r="AD341" s="91">
        <v>1</v>
      </c>
      <c r="AE341" s="92" t="str">
        <f t="shared" si="64"/>
        <v>Price Line 325</v>
      </c>
      <c r="AF341" s="93">
        <f t="shared" si="63"/>
        <v>0</v>
      </c>
    </row>
    <row r="342" spans="10:32" ht="12.5" hidden="1">
      <c r="J342" s="83">
        <f t="shared" si="69"/>
        <v>0</v>
      </c>
      <c r="K342" s="99">
        <v>326</v>
      </c>
      <c r="L342" s="100">
        <f t="shared" si="70"/>
        <v>1</v>
      </c>
      <c r="M342" s="90" t="str">
        <f t="shared" si="70"/>
        <v>Price Line 326</v>
      </c>
      <c r="N342" s="90">
        <f t="shared" si="70"/>
        <v>0</v>
      </c>
      <c r="O342" s="90">
        <f t="shared" si="70"/>
        <v>0</v>
      </c>
      <c r="P342" s="90">
        <f t="shared" si="70"/>
        <v>0</v>
      </c>
      <c r="Q342" s="90">
        <f t="shared" si="70"/>
        <v>0</v>
      </c>
      <c r="R342" s="90">
        <f t="shared" si="70"/>
        <v>0</v>
      </c>
      <c r="S342" s="90">
        <f t="shared" si="70"/>
        <v>0</v>
      </c>
      <c r="T342" s="90">
        <f t="shared" si="70"/>
        <v>0</v>
      </c>
      <c r="U342" s="101">
        <f t="shared" si="70"/>
        <v>0</v>
      </c>
      <c r="V342" s="71"/>
      <c r="W342" s="102">
        <f t="shared" si="71"/>
        <v>0</v>
      </c>
      <c r="X342" s="102">
        <f t="shared" si="71"/>
        <v>0</v>
      </c>
      <c r="Y342" s="90">
        <f t="shared" si="71"/>
        <v>0</v>
      </c>
      <c r="Z342" s="102">
        <f t="shared" si="71"/>
        <v>0</v>
      </c>
      <c r="AA342" s="101" t="str">
        <f t="shared" si="71"/>
        <v>EA</v>
      </c>
      <c r="AB342" s="71"/>
      <c r="AC342" s="91">
        <v>1</v>
      </c>
      <c r="AD342" s="91">
        <v>1</v>
      </c>
      <c r="AE342" s="92" t="str">
        <f t="shared" si="64"/>
        <v>Price Line 326</v>
      </c>
      <c r="AF342" s="93">
        <f t="shared" si="63"/>
        <v>0</v>
      </c>
    </row>
    <row r="343" spans="10:32" ht="12.5" hidden="1">
      <c r="J343" s="83">
        <f t="shared" si="69"/>
        <v>0</v>
      </c>
      <c r="K343" s="99">
        <v>327</v>
      </c>
      <c r="L343" s="100">
        <f t="shared" si="70"/>
        <v>1</v>
      </c>
      <c r="M343" s="90" t="str">
        <f t="shared" si="70"/>
        <v>Price Line 327</v>
      </c>
      <c r="N343" s="90">
        <f t="shared" si="70"/>
        <v>0</v>
      </c>
      <c r="O343" s="90">
        <f t="shared" si="70"/>
        <v>0</v>
      </c>
      <c r="P343" s="90">
        <f t="shared" si="70"/>
        <v>0</v>
      </c>
      <c r="Q343" s="90">
        <f t="shared" si="70"/>
        <v>0</v>
      </c>
      <c r="R343" s="90">
        <f t="shared" si="70"/>
        <v>0</v>
      </c>
      <c r="S343" s="90">
        <f t="shared" si="70"/>
        <v>0</v>
      </c>
      <c r="T343" s="90">
        <f t="shared" si="70"/>
        <v>0</v>
      </c>
      <c r="U343" s="101">
        <f t="shared" si="70"/>
        <v>0</v>
      </c>
      <c r="V343" s="71"/>
      <c r="W343" s="102">
        <f t="shared" si="71"/>
        <v>0</v>
      </c>
      <c r="X343" s="102">
        <f t="shared" si="71"/>
        <v>0</v>
      </c>
      <c r="Y343" s="90">
        <f t="shared" si="71"/>
        <v>0</v>
      </c>
      <c r="Z343" s="102">
        <f t="shared" si="71"/>
        <v>0</v>
      </c>
      <c r="AA343" s="101" t="str">
        <f t="shared" si="71"/>
        <v>EA</v>
      </c>
      <c r="AB343" s="71"/>
      <c r="AC343" s="91">
        <v>1</v>
      </c>
      <c r="AD343" s="91">
        <v>1</v>
      </c>
      <c r="AE343" s="92" t="str">
        <f t="shared" si="64"/>
        <v>Price Line 327</v>
      </c>
      <c r="AF343" s="93">
        <f t="shared" si="63"/>
        <v>0</v>
      </c>
    </row>
    <row r="344" spans="10:32" ht="12.5" hidden="1">
      <c r="J344" s="83">
        <f t="shared" si="69"/>
        <v>0</v>
      </c>
      <c r="K344" s="99">
        <v>328</v>
      </c>
      <c r="L344" s="100">
        <f t="shared" si="70"/>
        <v>1</v>
      </c>
      <c r="M344" s="90" t="str">
        <f t="shared" si="70"/>
        <v>Price Line 328</v>
      </c>
      <c r="N344" s="90">
        <f t="shared" si="70"/>
        <v>0</v>
      </c>
      <c r="O344" s="90">
        <f t="shared" si="70"/>
        <v>0</v>
      </c>
      <c r="P344" s="90">
        <f t="shared" si="70"/>
        <v>0</v>
      </c>
      <c r="Q344" s="90">
        <f t="shared" si="70"/>
        <v>0</v>
      </c>
      <c r="R344" s="90">
        <f t="shared" si="70"/>
        <v>0</v>
      </c>
      <c r="S344" s="90">
        <f t="shared" si="70"/>
        <v>0</v>
      </c>
      <c r="T344" s="90">
        <f t="shared" si="70"/>
        <v>0</v>
      </c>
      <c r="U344" s="101">
        <f t="shared" si="70"/>
        <v>0</v>
      </c>
      <c r="V344" s="71"/>
      <c r="W344" s="102">
        <f t="shared" si="71"/>
        <v>0</v>
      </c>
      <c r="X344" s="102">
        <f t="shared" si="71"/>
        <v>0</v>
      </c>
      <c r="Y344" s="90">
        <f t="shared" si="71"/>
        <v>0</v>
      </c>
      <c r="Z344" s="102">
        <f t="shared" si="71"/>
        <v>0</v>
      </c>
      <c r="AA344" s="101" t="str">
        <f t="shared" si="71"/>
        <v>EA</v>
      </c>
      <c r="AB344" s="71"/>
      <c r="AC344" s="91">
        <v>1</v>
      </c>
      <c r="AD344" s="91">
        <v>1</v>
      </c>
      <c r="AE344" s="92" t="str">
        <f t="shared" si="64"/>
        <v>Price Line 328</v>
      </c>
      <c r="AF344" s="93">
        <f t="shared" si="63"/>
        <v>0</v>
      </c>
    </row>
    <row r="345" spans="10:32" ht="12.5" hidden="1">
      <c r="J345" s="83">
        <f t="shared" si="69"/>
        <v>0</v>
      </c>
      <c r="K345" s="99">
        <v>329</v>
      </c>
      <c r="L345" s="100">
        <f t="shared" si="70"/>
        <v>1</v>
      </c>
      <c r="M345" s="90" t="str">
        <f t="shared" si="70"/>
        <v>Price Line 329</v>
      </c>
      <c r="N345" s="90">
        <f t="shared" si="70"/>
        <v>0</v>
      </c>
      <c r="O345" s="90">
        <f t="shared" si="70"/>
        <v>0</v>
      </c>
      <c r="P345" s="90">
        <f t="shared" si="70"/>
        <v>0</v>
      </c>
      <c r="Q345" s="90">
        <f t="shared" si="70"/>
        <v>0</v>
      </c>
      <c r="R345" s="90">
        <f t="shared" si="70"/>
        <v>0</v>
      </c>
      <c r="S345" s="90">
        <f t="shared" si="70"/>
        <v>0</v>
      </c>
      <c r="T345" s="90">
        <f t="shared" si="70"/>
        <v>0</v>
      </c>
      <c r="U345" s="101">
        <f t="shared" si="70"/>
        <v>0</v>
      </c>
      <c r="V345" s="71"/>
      <c r="W345" s="102">
        <f t="shared" si="71"/>
        <v>0</v>
      </c>
      <c r="X345" s="102">
        <f t="shared" si="71"/>
        <v>0</v>
      </c>
      <c r="Y345" s="90">
        <f t="shared" si="71"/>
        <v>0</v>
      </c>
      <c r="Z345" s="102">
        <f t="shared" si="71"/>
        <v>0</v>
      </c>
      <c r="AA345" s="101" t="str">
        <f t="shared" si="71"/>
        <v>EA</v>
      </c>
      <c r="AB345" s="71"/>
      <c r="AC345" s="91">
        <v>1</v>
      </c>
      <c r="AD345" s="91">
        <v>1</v>
      </c>
      <c r="AE345" s="92" t="str">
        <f t="shared" si="64"/>
        <v>Price Line 329</v>
      </c>
      <c r="AF345" s="93">
        <f t="shared" si="63"/>
        <v>0</v>
      </c>
    </row>
    <row r="346" spans="10:32" ht="12.5" hidden="1">
      <c r="J346" s="83">
        <f t="shared" si="69"/>
        <v>0</v>
      </c>
      <c r="K346" s="99">
        <v>330</v>
      </c>
      <c r="L346" s="100">
        <f t="shared" si="70"/>
        <v>1</v>
      </c>
      <c r="M346" s="90" t="str">
        <f t="shared" si="70"/>
        <v>Price Line 330</v>
      </c>
      <c r="N346" s="90">
        <f t="shared" si="70"/>
        <v>0</v>
      </c>
      <c r="O346" s="90">
        <f t="shared" si="70"/>
        <v>0</v>
      </c>
      <c r="P346" s="90">
        <f t="shared" si="70"/>
        <v>0</v>
      </c>
      <c r="Q346" s="90">
        <f t="shared" si="70"/>
        <v>0</v>
      </c>
      <c r="R346" s="90">
        <f t="shared" si="70"/>
        <v>0</v>
      </c>
      <c r="S346" s="90">
        <f t="shared" si="70"/>
        <v>0</v>
      </c>
      <c r="T346" s="90">
        <f t="shared" si="70"/>
        <v>0</v>
      </c>
      <c r="U346" s="101">
        <f t="shared" si="70"/>
        <v>0</v>
      </c>
      <c r="V346" s="71"/>
      <c r="W346" s="102">
        <f t="shared" si="71"/>
        <v>0</v>
      </c>
      <c r="X346" s="102">
        <f t="shared" si="71"/>
        <v>0</v>
      </c>
      <c r="Y346" s="90">
        <f t="shared" si="71"/>
        <v>0</v>
      </c>
      <c r="Z346" s="102">
        <f t="shared" si="71"/>
        <v>0</v>
      </c>
      <c r="AA346" s="101" t="str">
        <f t="shared" si="71"/>
        <v>EA</v>
      </c>
      <c r="AB346" s="71"/>
      <c r="AC346" s="91">
        <v>1</v>
      </c>
      <c r="AD346" s="91">
        <v>1</v>
      </c>
      <c r="AE346" s="92" t="str">
        <f t="shared" si="64"/>
        <v>Price Line 330</v>
      </c>
      <c r="AF346" s="93">
        <f t="shared" si="63"/>
        <v>0</v>
      </c>
    </row>
    <row r="347" spans="10:32" ht="12.5" hidden="1">
      <c r="J347" s="83">
        <f t="shared" si="69"/>
        <v>0</v>
      </c>
      <c r="K347" s="99">
        <v>331</v>
      </c>
      <c r="L347" s="100">
        <f t="shared" si="70"/>
        <v>1</v>
      </c>
      <c r="M347" s="90" t="str">
        <f t="shared" si="70"/>
        <v>Price Line 331</v>
      </c>
      <c r="N347" s="90">
        <f t="shared" si="70"/>
        <v>0</v>
      </c>
      <c r="O347" s="90">
        <f t="shared" si="70"/>
        <v>0</v>
      </c>
      <c r="P347" s="90">
        <f t="shared" si="70"/>
        <v>0</v>
      </c>
      <c r="Q347" s="90">
        <f t="shared" si="70"/>
        <v>0</v>
      </c>
      <c r="R347" s="90">
        <f t="shared" si="70"/>
        <v>0</v>
      </c>
      <c r="S347" s="90">
        <f t="shared" si="70"/>
        <v>0</v>
      </c>
      <c r="T347" s="90">
        <f t="shared" si="70"/>
        <v>0</v>
      </c>
      <c r="U347" s="101">
        <f t="shared" si="70"/>
        <v>0</v>
      </c>
      <c r="V347" s="71"/>
      <c r="W347" s="102">
        <f t="shared" si="71"/>
        <v>0</v>
      </c>
      <c r="X347" s="102">
        <f t="shared" si="71"/>
        <v>0</v>
      </c>
      <c r="Y347" s="90">
        <f t="shared" si="71"/>
        <v>0</v>
      </c>
      <c r="Z347" s="102">
        <f t="shared" si="71"/>
        <v>0</v>
      </c>
      <c r="AA347" s="101" t="str">
        <f t="shared" si="71"/>
        <v>EA</v>
      </c>
      <c r="AB347" s="71"/>
      <c r="AC347" s="91">
        <v>1</v>
      </c>
      <c r="AD347" s="91">
        <v>1</v>
      </c>
      <c r="AE347" s="92" t="str">
        <f t="shared" si="64"/>
        <v>Price Line 331</v>
      </c>
      <c r="AF347" s="93">
        <f t="shared" si="63"/>
        <v>0</v>
      </c>
    </row>
    <row r="348" spans="10:32" ht="12.5" hidden="1">
      <c r="J348" s="83">
        <f t="shared" si="69"/>
        <v>0</v>
      </c>
      <c r="K348" s="99">
        <v>332</v>
      </c>
      <c r="L348" s="100">
        <f t="shared" si="70"/>
        <v>1</v>
      </c>
      <c r="M348" s="90" t="str">
        <f t="shared" si="70"/>
        <v>Price Line 332</v>
      </c>
      <c r="N348" s="90">
        <f t="shared" si="70"/>
        <v>0</v>
      </c>
      <c r="O348" s="90">
        <f t="shared" si="70"/>
        <v>0</v>
      </c>
      <c r="P348" s="90">
        <f t="shared" si="70"/>
        <v>0</v>
      </c>
      <c r="Q348" s="90">
        <f t="shared" si="70"/>
        <v>0</v>
      </c>
      <c r="R348" s="90">
        <f t="shared" si="70"/>
        <v>0</v>
      </c>
      <c r="S348" s="90">
        <f t="shared" si="70"/>
        <v>0</v>
      </c>
      <c r="T348" s="90">
        <f t="shared" si="70"/>
        <v>0</v>
      </c>
      <c r="U348" s="101">
        <f t="shared" si="70"/>
        <v>0</v>
      </c>
      <c r="V348" s="71"/>
      <c r="W348" s="102">
        <f t="shared" si="71"/>
        <v>0</v>
      </c>
      <c r="X348" s="102">
        <f t="shared" si="71"/>
        <v>0</v>
      </c>
      <c r="Y348" s="90">
        <f t="shared" si="71"/>
        <v>0</v>
      </c>
      <c r="Z348" s="102">
        <f t="shared" si="71"/>
        <v>0</v>
      </c>
      <c r="AA348" s="101" t="str">
        <f t="shared" si="71"/>
        <v>EA</v>
      </c>
      <c r="AB348" s="71"/>
      <c r="AC348" s="91">
        <v>1</v>
      </c>
      <c r="AD348" s="91">
        <v>1</v>
      </c>
      <c r="AE348" s="92" t="str">
        <f t="shared" si="64"/>
        <v>Price Line 332</v>
      </c>
      <c r="AF348" s="93">
        <f t="shared" si="63"/>
        <v>0</v>
      </c>
    </row>
    <row r="349" spans="10:32" ht="12.5" hidden="1">
      <c r="J349" s="83">
        <f t="shared" si="69"/>
        <v>0</v>
      </c>
      <c r="K349" s="99">
        <v>333</v>
      </c>
      <c r="L349" s="100">
        <f t="shared" si="70"/>
        <v>1</v>
      </c>
      <c r="M349" s="90" t="str">
        <f t="shared" si="70"/>
        <v>Price Line 333</v>
      </c>
      <c r="N349" s="90">
        <f t="shared" si="70"/>
        <v>0</v>
      </c>
      <c r="O349" s="90">
        <f t="shared" si="70"/>
        <v>0</v>
      </c>
      <c r="P349" s="90">
        <f t="shared" si="70"/>
        <v>0</v>
      </c>
      <c r="Q349" s="90">
        <f t="shared" si="70"/>
        <v>0</v>
      </c>
      <c r="R349" s="90">
        <f t="shared" si="70"/>
        <v>0</v>
      </c>
      <c r="S349" s="90">
        <f t="shared" si="70"/>
        <v>0</v>
      </c>
      <c r="T349" s="90">
        <f t="shared" si="70"/>
        <v>0</v>
      </c>
      <c r="U349" s="101">
        <f t="shared" si="70"/>
        <v>0</v>
      </c>
      <c r="V349" s="71"/>
      <c r="W349" s="102">
        <f t="shared" si="71"/>
        <v>0</v>
      </c>
      <c r="X349" s="102">
        <f t="shared" si="71"/>
        <v>0</v>
      </c>
      <c r="Y349" s="90">
        <f t="shared" si="71"/>
        <v>0</v>
      </c>
      <c r="Z349" s="102">
        <f t="shared" si="71"/>
        <v>0</v>
      </c>
      <c r="AA349" s="101" t="str">
        <f t="shared" si="71"/>
        <v>EA</v>
      </c>
      <c r="AB349" s="71"/>
      <c r="AC349" s="91">
        <v>1</v>
      </c>
      <c r="AD349" s="91">
        <v>1</v>
      </c>
      <c r="AE349" s="92" t="str">
        <f t="shared" si="64"/>
        <v>Price Line 333</v>
      </c>
      <c r="AF349" s="93">
        <f t="shared" si="63"/>
        <v>0</v>
      </c>
    </row>
    <row r="350" spans="10:32" ht="12.5" hidden="1">
      <c r="J350" s="83">
        <f t="shared" si="69"/>
        <v>0</v>
      </c>
      <c r="K350" s="99">
        <v>334</v>
      </c>
      <c r="L350" s="100">
        <f t="shared" si="70"/>
        <v>1</v>
      </c>
      <c r="M350" s="90" t="str">
        <f t="shared" si="70"/>
        <v>Price Line 334</v>
      </c>
      <c r="N350" s="90">
        <f t="shared" si="70"/>
        <v>0</v>
      </c>
      <c r="O350" s="90">
        <f t="shared" si="70"/>
        <v>0</v>
      </c>
      <c r="P350" s="90">
        <f t="shared" si="70"/>
        <v>0</v>
      </c>
      <c r="Q350" s="90">
        <f t="shared" si="70"/>
        <v>0</v>
      </c>
      <c r="R350" s="90">
        <f t="shared" si="70"/>
        <v>0</v>
      </c>
      <c r="S350" s="90">
        <f t="shared" si="70"/>
        <v>0</v>
      </c>
      <c r="T350" s="90">
        <f t="shared" si="70"/>
        <v>0</v>
      </c>
      <c r="U350" s="101">
        <f t="shared" si="70"/>
        <v>0</v>
      </c>
      <c r="V350" s="71"/>
      <c r="W350" s="102">
        <f t="shared" si="71"/>
        <v>0</v>
      </c>
      <c r="X350" s="102">
        <f t="shared" si="71"/>
        <v>0</v>
      </c>
      <c r="Y350" s="90">
        <f t="shared" si="71"/>
        <v>0</v>
      </c>
      <c r="Z350" s="102">
        <f t="shared" si="71"/>
        <v>0</v>
      </c>
      <c r="AA350" s="101" t="str">
        <f t="shared" si="71"/>
        <v>EA</v>
      </c>
      <c r="AB350" s="71"/>
      <c r="AC350" s="91">
        <v>1</v>
      </c>
      <c r="AD350" s="91">
        <v>1</v>
      </c>
      <c r="AE350" s="92" t="str">
        <f t="shared" si="64"/>
        <v>Price Line 334</v>
      </c>
      <c r="AF350" s="93">
        <f t="shared" si="63"/>
        <v>0</v>
      </c>
    </row>
    <row r="351" spans="10:32" ht="12.5" hidden="1">
      <c r="J351" s="83">
        <f t="shared" si="69"/>
        <v>0</v>
      </c>
      <c r="K351" s="99">
        <v>335</v>
      </c>
      <c r="L351" s="100">
        <f t="shared" si="70"/>
        <v>1</v>
      </c>
      <c r="M351" s="90" t="str">
        <f t="shared" si="70"/>
        <v>Price Line 335</v>
      </c>
      <c r="N351" s="90">
        <f t="shared" si="70"/>
        <v>0</v>
      </c>
      <c r="O351" s="90">
        <f t="shared" si="70"/>
        <v>0</v>
      </c>
      <c r="P351" s="90">
        <f t="shared" si="70"/>
        <v>0</v>
      </c>
      <c r="Q351" s="90">
        <f t="shared" si="70"/>
        <v>0</v>
      </c>
      <c r="R351" s="90">
        <f t="shared" si="70"/>
        <v>0</v>
      </c>
      <c r="S351" s="90">
        <f t="shared" si="70"/>
        <v>0</v>
      </c>
      <c r="T351" s="90">
        <f t="shared" si="70"/>
        <v>0</v>
      </c>
      <c r="U351" s="101">
        <f t="shared" si="70"/>
        <v>0</v>
      </c>
      <c r="V351" s="71"/>
      <c r="W351" s="102">
        <f t="shared" si="71"/>
        <v>0</v>
      </c>
      <c r="X351" s="102">
        <f t="shared" si="71"/>
        <v>0</v>
      </c>
      <c r="Y351" s="90">
        <f t="shared" si="71"/>
        <v>0</v>
      </c>
      <c r="Z351" s="102">
        <f t="shared" si="71"/>
        <v>0</v>
      </c>
      <c r="AA351" s="101" t="str">
        <f t="shared" si="71"/>
        <v>EA</v>
      </c>
      <c r="AB351" s="71"/>
      <c r="AC351" s="91">
        <v>1</v>
      </c>
      <c r="AD351" s="91">
        <v>1</v>
      </c>
      <c r="AE351" s="92" t="str">
        <f t="shared" si="64"/>
        <v>Price Line 335</v>
      </c>
      <c r="AF351" s="93">
        <f t="shared" si="63"/>
        <v>0</v>
      </c>
    </row>
    <row r="352" spans="10:32" ht="12.5" hidden="1">
      <c r="J352" s="83">
        <f t="shared" si="69"/>
        <v>0</v>
      </c>
      <c r="K352" s="99">
        <v>336</v>
      </c>
      <c r="L352" s="100">
        <f t="shared" si="70"/>
        <v>1</v>
      </c>
      <c r="M352" s="90" t="str">
        <f t="shared" si="70"/>
        <v>Price Line 336</v>
      </c>
      <c r="N352" s="90">
        <f t="shared" si="70"/>
        <v>0</v>
      </c>
      <c r="O352" s="90">
        <f t="shared" si="70"/>
        <v>0</v>
      </c>
      <c r="P352" s="90">
        <f t="shared" si="70"/>
        <v>0</v>
      </c>
      <c r="Q352" s="90">
        <f t="shared" si="70"/>
        <v>0</v>
      </c>
      <c r="R352" s="90">
        <f t="shared" si="70"/>
        <v>0</v>
      </c>
      <c r="S352" s="90">
        <f t="shared" si="70"/>
        <v>0</v>
      </c>
      <c r="T352" s="90">
        <f t="shared" si="70"/>
        <v>0</v>
      </c>
      <c r="U352" s="101">
        <f t="shared" si="70"/>
        <v>0</v>
      </c>
      <c r="V352" s="71"/>
      <c r="W352" s="102">
        <f t="shared" si="71"/>
        <v>0</v>
      </c>
      <c r="X352" s="102">
        <f t="shared" si="71"/>
        <v>0</v>
      </c>
      <c r="Y352" s="90">
        <f t="shared" si="71"/>
        <v>0</v>
      </c>
      <c r="Z352" s="102">
        <f t="shared" si="71"/>
        <v>0</v>
      </c>
      <c r="AA352" s="101" t="str">
        <f t="shared" si="71"/>
        <v>EA</v>
      </c>
      <c r="AB352" s="71"/>
      <c r="AC352" s="91">
        <v>1</v>
      </c>
      <c r="AD352" s="91">
        <v>1</v>
      </c>
      <c r="AE352" s="92" t="str">
        <f t="shared" si="64"/>
        <v>Price Line 336</v>
      </c>
      <c r="AF352" s="93">
        <f t="shared" si="63"/>
        <v>0</v>
      </c>
    </row>
    <row r="353" spans="10:32" ht="12.5" hidden="1">
      <c r="J353" s="83">
        <f t="shared" si="69"/>
        <v>0</v>
      </c>
      <c r="K353" s="99">
        <v>337</v>
      </c>
      <c r="L353" s="100">
        <f t="shared" ref="L353:U368" si="72">INDEX(L$420:L$1632,MATCH($K353,$K$420:$K$1632,0)+MATCH("Option "&amp;$D$9,$K$420:$K$1230,0)-1,1)</f>
        <v>1</v>
      </c>
      <c r="M353" s="90" t="str">
        <f t="shared" si="72"/>
        <v>Price Line 337</v>
      </c>
      <c r="N353" s="90">
        <f t="shared" si="72"/>
        <v>0</v>
      </c>
      <c r="O353" s="90">
        <f t="shared" si="72"/>
        <v>0</v>
      </c>
      <c r="P353" s="90">
        <f t="shared" si="72"/>
        <v>0</v>
      </c>
      <c r="Q353" s="90">
        <f t="shared" si="72"/>
        <v>0</v>
      </c>
      <c r="R353" s="90">
        <f t="shared" si="72"/>
        <v>0</v>
      </c>
      <c r="S353" s="90">
        <f t="shared" si="72"/>
        <v>0</v>
      </c>
      <c r="T353" s="90">
        <f t="shared" si="72"/>
        <v>0</v>
      </c>
      <c r="U353" s="101">
        <f t="shared" si="72"/>
        <v>0</v>
      </c>
      <c r="V353" s="71"/>
      <c r="W353" s="102">
        <f t="shared" ref="W353:AA368" si="73">INDEX(W$420:W$1632,MATCH($K353,$K$420:$K$1632,0)+MATCH("Option "&amp;$D$9,$K$420:$K$1230,0)-1,1)</f>
        <v>0</v>
      </c>
      <c r="X353" s="102">
        <f t="shared" si="73"/>
        <v>0</v>
      </c>
      <c r="Y353" s="90">
        <f t="shared" si="73"/>
        <v>0</v>
      </c>
      <c r="Z353" s="102">
        <f t="shared" si="73"/>
        <v>0</v>
      </c>
      <c r="AA353" s="101" t="str">
        <f t="shared" si="73"/>
        <v>EA</v>
      </c>
      <c r="AB353" s="71"/>
      <c r="AC353" s="91">
        <v>1</v>
      </c>
      <c r="AD353" s="91">
        <v>1</v>
      </c>
      <c r="AE353" s="92" t="str">
        <f t="shared" si="64"/>
        <v>Price Line 337</v>
      </c>
      <c r="AF353" s="93">
        <f t="shared" si="63"/>
        <v>0</v>
      </c>
    </row>
    <row r="354" spans="10:32" ht="12.5" hidden="1">
      <c r="J354" s="83">
        <f t="shared" si="69"/>
        <v>0</v>
      </c>
      <c r="K354" s="99">
        <v>338</v>
      </c>
      <c r="L354" s="100">
        <f t="shared" si="72"/>
        <v>1</v>
      </c>
      <c r="M354" s="90" t="str">
        <f t="shared" si="72"/>
        <v>Price Line 338</v>
      </c>
      <c r="N354" s="90">
        <f t="shared" si="72"/>
        <v>0</v>
      </c>
      <c r="O354" s="90">
        <f t="shared" si="72"/>
        <v>0</v>
      </c>
      <c r="P354" s="90">
        <f t="shared" si="72"/>
        <v>0</v>
      </c>
      <c r="Q354" s="90">
        <f t="shared" si="72"/>
        <v>0</v>
      </c>
      <c r="R354" s="90">
        <f t="shared" si="72"/>
        <v>0</v>
      </c>
      <c r="S354" s="90">
        <f t="shared" si="72"/>
        <v>0</v>
      </c>
      <c r="T354" s="90">
        <f t="shared" si="72"/>
        <v>0</v>
      </c>
      <c r="U354" s="101">
        <f t="shared" si="72"/>
        <v>0</v>
      </c>
      <c r="V354" s="71"/>
      <c r="W354" s="102">
        <f t="shared" si="73"/>
        <v>0</v>
      </c>
      <c r="X354" s="102">
        <f t="shared" si="73"/>
        <v>0</v>
      </c>
      <c r="Y354" s="90">
        <f t="shared" si="73"/>
        <v>0</v>
      </c>
      <c r="Z354" s="102">
        <f t="shared" si="73"/>
        <v>0</v>
      </c>
      <c r="AA354" s="101" t="str">
        <f t="shared" si="73"/>
        <v>EA</v>
      </c>
      <c r="AB354" s="71"/>
      <c r="AC354" s="91">
        <v>1</v>
      </c>
      <c r="AD354" s="91">
        <v>1</v>
      </c>
      <c r="AE354" s="92" t="str">
        <f t="shared" si="64"/>
        <v>Price Line 338</v>
      </c>
      <c r="AF354" s="93">
        <f t="shared" si="63"/>
        <v>0</v>
      </c>
    </row>
    <row r="355" spans="10:32" ht="12.5" hidden="1">
      <c r="J355" s="83">
        <f t="shared" si="69"/>
        <v>0</v>
      </c>
      <c r="K355" s="99">
        <v>339</v>
      </c>
      <c r="L355" s="100">
        <f t="shared" si="72"/>
        <v>1</v>
      </c>
      <c r="M355" s="90" t="str">
        <f t="shared" si="72"/>
        <v>Price Line 339</v>
      </c>
      <c r="N355" s="90">
        <f t="shared" si="72"/>
        <v>0</v>
      </c>
      <c r="O355" s="90">
        <f t="shared" si="72"/>
        <v>0</v>
      </c>
      <c r="P355" s="90">
        <f t="shared" si="72"/>
        <v>0</v>
      </c>
      <c r="Q355" s="90">
        <f t="shared" si="72"/>
        <v>0</v>
      </c>
      <c r="R355" s="90">
        <f t="shared" si="72"/>
        <v>0</v>
      </c>
      <c r="S355" s="90">
        <f t="shared" si="72"/>
        <v>0</v>
      </c>
      <c r="T355" s="90">
        <f t="shared" si="72"/>
        <v>0</v>
      </c>
      <c r="U355" s="101">
        <f t="shared" si="72"/>
        <v>0</v>
      </c>
      <c r="V355" s="71"/>
      <c r="W355" s="102">
        <f t="shared" si="73"/>
        <v>0</v>
      </c>
      <c r="X355" s="102">
        <f t="shared" si="73"/>
        <v>0</v>
      </c>
      <c r="Y355" s="90">
        <f t="shared" si="73"/>
        <v>0</v>
      </c>
      <c r="Z355" s="102">
        <f t="shared" si="73"/>
        <v>0</v>
      </c>
      <c r="AA355" s="101" t="str">
        <f t="shared" si="73"/>
        <v>EA</v>
      </c>
      <c r="AB355" s="71"/>
      <c r="AC355" s="91">
        <v>1</v>
      </c>
      <c r="AD355" s="91">
        <v>1</v>
      </c>
      <c r="AE355" s="92" t="str">
        <f t="shared" si="64"/>
        <v>Price Line 339</v>
      </c>
      <c r="AF355" s="93">
        <f t="shared" si="63"/>
        <v>0</v>
      </c>
    </row>
    <row r="356" spans="10:32" ht="12.5" hidden="1">
      <c r="J356" s="83">
        <f t="shared" si="69"/>
        <v>0</v>
      </c>
      <c r="K356" s="99">
        <v>340</v>
      </c>
      <c r="L356" s="100">
        <f t="shared" si="72"/>
        <v>1</v>
      </c>
      <c r="M356" s="90" t="str">
        <f t="shared" si="72"/>
        <v>Price Line 340</v>
      </c>
      <c r="N356" s="90">
        <f t="shared" si="72"/>
        <v>0</v>
      </c>
      <c r="O356" s="90">
        <f t="shared" si="72"/>
        <v>0</v>
      </c>
      <c r="P356" s="90">
        <f t="shared" si="72"/>
        <v>0</v>
      </c>
      <c r="Q356" s="90">
        <f t="shared" si="72"/>
        <v>0</v>
      </c>
      <c r="R356" s="90">
        <f t="shared" si="72"/>
        <v>0</v>
      </c>
      <c r="S356" s="90">
        <f t="shared" si="72"/>
        <v>0</v>
      </c>
      <c r="T356" s="90">
        <f t="shared" si="72"/>
        <v>0</v>
      </c>
      <c r="U356" s="101">
        <f t="shared" si="72"/>
        <v>0</v>
      </c>
      <c r="V356" s="71"/>
      <c r="W356" s="102">
        <f t="shared" si="73"/>
        <v>0</v>
      </c>
      <c r="X356" s="102">
        <f t="shared" si="73"/>
        <v>0</v>
      </c>
      <c r="Y356" s="90">
        <f t="shared" si="73"/>
        <v>0</v>
      </c>
      <c r="Z356" s="102">
        <f t="shared" si="73"/>
        <v>0</v>
      </c>
      <c r="AA356" s="101" t="str">
        <f t="shared" si="73"/>
        <v>EA</v>
      </c>
      <c r="AB356" s="71"/>
      <c r="AC356" s="91">
        <v>1</v>
      </c>
      <c r="AD356" s="91">
        <v>1</v>
      </c>
      <c r="AE356" s="92" t="str">
        <f t="shared" si="64"/>
        <v>Price Line 340</v>
      </c>
      <c r="AF356" s="93">
        <f t="shared" si="63"/>
        <v>0</v>
      </c>
    </row>
    <row r="357" spans="10:32" ht="12.5" hidden="1">
      <c r="J357" s="83">
        <f t="shared" si="69"/>
        <v>0</v>
      </c>
      <c r="K357" s="99">
        <v>341</v>
      </c>
      <c r="L357" s="100">
        <f t="shared" si="72"/>
        <v>1</v>
      </c>
      <c r="M357" s="90" t="str">
        <f t="shared" si="72"/>
        <v>Price Line 341</v>
      </c>
      <c r="N357" s="90">
        <f t="shared" si="72"/>
        <v>0</v>
      </c>
      <c r="O357" s="90">
        <f t="shared" si="72"/>
        <v>0</v>
      </c>
      <c r="P357" s="90">
        <f t="shared" si="72"/>
        <v>0</v>
      </c>
      <c r="Q357" s="90">
        <f t="shared" si="72"/>
        <v>0</v>
      </c>
      <c r="R357" s="90">
        <f t="shared" si="72"/>
        <v>0</v>
      </c>
      <c r="S357" s="90">
        <f t="shared" si="72"/>
        <v>0</v>
      </c>
      <c r="T357" s="90">
        <f t="shared" si="72"/>
        <v>0</v>
      </c>
      <c r="U357" s="101">
        <f t="shared" si="72"/>
        <v>0</v>
      </c>
      <c r="V357" s="71"/>
      <c r="W357" s="102">
        <f t="shared" si="73"/>
        <v>0</v>
      </c>
      <c r="X357" s="102">
        <f t="shared" si="73"/>
        <v>0</v>
      </c>
      <c r="Y357" s="90">
        <f t="shared" si="73"/>
        <v>0</v>
      </c>
      <c r="Z357" s="102">
        <f t="shared" si="73"/>
        <v>0</v>
      </c>
      <c r="AA357" s="101" t="str">
        <f t="shared" si="73"/>
        <v>EA</v>
      </c>
      <c r="AB357" s="71"/>
      <c r="AC357" s="91">
        <v>1</v>
      </c>
      <c r="AD357" s="91">
        <v>1</v>
      </c>
      <c r="AE357" s="92" t="str">
        <f t="shared" si="64"/>
        <v>Price Line 341</v>
      </c>
      <c r="AF357" s="93">
        <f t="shared" si="63"/>
        <v>0</v>
      </c>
    </row>
    <row r="358" spans="10:32" ht="12.5" hidden="1">
      <c r="J358" s="83">
        <f t="shared" si="69"/>
        <v>0</v>
      </c>
      <c r="K358" s="99">
        <v>342</v>
      </c>
      <c r="L358" s="100">
        <f t="shared" si="72"/>
        <v>1</v>
      </c>
      <c r="M358" s="90" t="str">
        <f t="shared" si="72"/>
        <v>Price Line 342</v>
      </c>
      <c r="N358" s="90">
        <f t="shared" si="72"/>
        <v>0</v>
      </c>
      <c r="O358" s="90">
        <f t="shared" si="72"/>
        <v>0</v>
      </c>
      <c r="P358" s="90">
        <f t="shared" si="72"/>
        <v>0</v>
      </c>
      <c r="Q358" s="90">
        <f t="shared" si="72"/>
        <v>0</v>
      </c>
      <c r="R358" s="90">
        <f t="shared" si="72"/>
        <v>0</v>
      </c>
      <c r="S358" s="90">
        <f t="shared" si="72"/>
        <v>0</v>
      </c>
      <c r="T358" s="90">
        <f t="shared" si="72"/>
        <v>0</v>
      </c>
      <c r="U358" s="101">
        <f t="shared" si="72"/>
        <v>0</v>
      </c>
      <c r="V358" s="71"/>
      <c r="W358" s="102">
        <f t="shared" si="73"/>
        <v>0</v>
      </c>
      <c r="X358" s="102">
        <f t="shared" si="73"/>
        <v>0</v>
      </c>
      <c r="Y358" s="90">
        <f t="shared" si="73"/>
        <v>0</v>
      </c>
      <c r="Z358" s="102">
        <f t="shared" si="73"/>
        <v>0</v>
      </c>
      <c r="AA358" s="101" t="str">
        <f t="shared" si="73"/>
        <v>EA</v>
      </c>
      <c r="AB358" s="71"/>
      <c r="AC358" s="91">
        <v>1</v>
      </c>
      <c r="AD358" s="91">
        <v>1</v>
      </c>
      <c r="AE358" s="92" t="str">
        <f t="shared" si="64"/>
        <v>Price Line 342</v>
      </c>
      <c r="AF358" s="93">
        <f t="shared" ref="AF358:AF415" si="74">INDEX(Y358:Z358,1,MATCH(_WellBasketSelection,$Y$15:$Z$15,0))*U358</f>
        <v>0</v>
      </c>
    </row>
    <row r="359" spans="10:32" ht="12.5" hidden="1">
      <c r="J359" s="83">
        <f t="shared" si="69"/>
        <v>0</v>
      </c>
      <c r="K359" s="99">
        <v>343</v>
      </c>
      <c r="L359" s="100">
        <f t="shared" si="72"/>
        <v>1</v>
      </c>
      <c r="M359" s="90" t="str">
        <f t="shared" si="72"/>
        <v>Price Line 343</v>
      </c>
      <c r="N359" s="90">
        <f t="shared" si="72"/>
        <v>0</v>
      </c>
      <c r="O359" s="90">
        <f t="shared" si="72"/>
        <v>0</v>
      </c>
      <c r="P359" s="90">
        <f t="shared" si="72"/>
        <v>0</v>
      </c>
      <c r="Q359" s="90">
        <f t="shared" si="72"/>
        <v>0</v>
      </c>
      <c r="R359" s="90">
        <f t="shared" si="72"/>
        <v>0</v>
      </c>
      <c r="S359" s="90">
        <f t="shared" si="72"/>
        <v>0</v>
      </c>
      <c r="T359" s="90">
        <f t="shared" si="72"/>
        <v>0</v>
      </c>
      <c r="U359" s="101">
        <f t="shared" si="72"/>
        <v>0</v>
      </c>
      <c r="V359" s="71"/>
      <c r="W359" s="102">
        <f t="shared" si="73"/>
        <v>0</v>
      </c>
      <c r="X359" s="102">
        <f t="shared" si="73"/>
        <v>0</v>
      </c>
      <c r="Y359" s="90">
        <f t="shared" si="73"/>
        <v>0</v>
      </c>
      <c r="Z359" s="102">
        <f t="shared" si="73"/>
        <v>0</v>
      </c>
      <c r="AA359" s="101" t="str">
        <f t="shared" si="73"/>
        <v>EA</v>
      </c>
      <c r="AB359" s="71"/>
      <c r="AC359" s="91">
        <v>1</v>
      </c>
      <c r="AD359" s="91">
        <v>1</v>
      </c>
      <c r="AE359" s="92" t="str">
        <f t="shared" si="64"/>
        <v>Price Line 343</v>
      </c>
      <c r="AF359" s="93">
        <f t="shared" si="74"/>
        <v>0</v>
      </c>
    </row>
    <row r="360" spans="10:32" ht="12.5" hidden="1">
      <c r="J360" s="83">
        <f t="shared" si="69"/>
        <v>0</v>
      </c>
      <c r="K360" s="99">
        <v>344</v>
      </c>
      <c r="L360" s="100">
        <f t="shared" si="72"/>
        <v>1</v>
      </c>
      <c r="M360" s="90" t="str">
        <f t="shared" si="72"/>
        <v>Price Line 344</v>
      </c>
      <c r="N360" s="90">
        <f t="shared" si="72"/>
        <v>0</v>
      </c>
      <c r="O360" s="90">
        <f t="shared" si="72"/>
        <v>0</v>
      </c>
      <c r="P360" s="90">
        <f t="shared" si="72"/>
        <v>0</v>
      </c>
      <c r="Q360" s="90">
        <f t="shared" si="72"/>
        <v>0</v>
      </c>
      <c r="R360" s="90">
        <f t="shared" si="72"/>
        <v>0</v>
      </c>
      <c r="S360" s="90">
        <f t="shared" si="72"/>
        <v>0</v>
      </c>
      <c r="T360" s="90">
        <f t="shared" si="72"/>
        <v>0</v>
      </c>
      <c r="U360" s="101">
        <f t="shared" si="72"/>
        <v>0</v>
      </c>
      <c r="V360" s="71"/>
      <c r="W360" s="102">
        <f t="shared" si="73"/>
        <v>0</v>
      </c>
      <c r="X360" s="102">
        <f t="shared" si="73"/>
        <v>0</v>
      </c>
      <c r="Y360" s="90">
        <f t="shared" si="73"/>
        <v>0</v>
      </c>
      <c r="Z360" s="102">
        <f t="shared" si="73"/>
        <v>0</v>
      </c>
      <c r="AA360" s="101" t="str">
        <f t="shared" si="73"/>
        <v>EA</v>
      </c>
      <c r="AB360" s="71"/>
      <c r="AC360" s="91">
        <v>1</v>
      </c>
      <c r="AD360" s="91">
        <v>1</v>
      </c>
      <c r="AE360" s="92" t="str">
        <f t="shared" si="64"/>
        <v>Price Line 344</v>
      </c>
      <c r="AF360" s="93">
        <f t="shared" si="74"/>
        <v>0</v>
      </c>
    </row>
    <row r="361" spans="10:32" ht="12.5" hidden="1">
      <c r="J361" s="83">
        <f t="shared" si="69"/>
        <v>0</v>
      </c>
      <c r="K361" s="99">
        <v>345</v>
      </c>
      <c r="L361" s="100">
        <f t="shared" si="72"/>
        <v>1</v>
      </c>
      <c r="M361" s="90" t="str">
        <f t="shared" si="72"/>
        <v>Price Line 345</v>
      </c>
      <c r="N361" s="90">
        <f t="shared" si="72"/>
        <v>0</v>
      </c>
      <c r="O361" s="90">
        <f t="shared" si="72"/>
        <v>0</v>
      </c>
      <c r="P361" s="90">
        <f t="shared" si="72"/>
        <v>0</v>
      </c>
      <c r="Q361" s="90">
        <f t="shared" si="72"/>
        <v>0</v>
      </c>
      <c r="R361" s="90">
        <f t="shared" si="72"/>
        <v>0</v>
      </c>
      <c r="S361" s="90">
        <f t="shared" si="72"/>
        <v>0</v>
      </c>
      <c r="T361" s="90">
        <f t="shared" si="72"/>
        <v>0</v>
      </c>
      <c r="U361" s="101">
        <f t="shared" si="72"/>
        <v>0</v>
      </c>
      <c r="V361" s="71"/>
      <c r="W361" s="102">
        <f t="shared" si="73"/>
        <v>0</v>
      </c>
      <c r="X361" s="102">
        <f t="shared" si="73"/>
        <v>0</v>
      </c>
      <c r="Y361" s="90">
        <f t="shared" si="73"/>
        <v>0</v>
      </c>
      <c r="Z361" s="102">
        <f t="shared" si="73"/>
        <v>0</v>
      </c>
      <c r="AA361" s="101" t="str">
        <f t="shared" si="73"/>
        <v>EA</v>
      </c>
      <c r="AB361" s="71"/>
      <c r="AC361" s="91">
        <v>1</v>
      </c>
      <c r="AD361" s="91">
        <v>1</v>
      </c>
      <c r="AE361" s="92" t="str">
        <f t="shared" si="64"/>
        <v>Price Line 345</v>
      </c>
      <c r="AF361" s="93">
        <f t="shared" si="74"/>
        <v>0</v>
      </c>
    </row>
    <row r="362" spans="10:32" ht="12.5" hidden="1">
      <c r="J362" s="83">
        <f t="shared" si="69"/>
        <v>0</v>
      </c>
      <c r="K362" s="99">
        <v>346</v>
      </c>
      <c r="L362" s="100">
        <f t="shared" si="72"/>
        <v>1</v>
      </c>
      <c r="M362" s="90" t="str">
        <f t="shared" si="72"/>
        <v>Price Line 346</v>
      </c>
      <c r="N362" s="90">
        <f t="shared" si="72"/>
        <v>0</v>
      </c>
      <c r="O362" s="90">
        <f t="shared" si="72"/>
        <v>0</v>
      </c>
      <c r="P362" s="90">
        <f t="shared" si="72"/>
        <v>0</v>
      </c>
      <c r="Q362" s="90">
        <f t="shared" si="72"/>
        <v>0</v>
      </c>
      <c r="R362" s="90">
        <f t="shared" si="72"/>
        <v>0</v>
      </c>
      <c r="S362" s="90">
        <f t="shared" si="72"/>
        <v>0</v>
      </c>
      <c r="T362" s="90">
        <f t="shared" si="72"/>
        <v>0</v>
      </c>
      <c r="U362" s="101">
        <f t="shared" si="72"/>
        <v>0</v>
      </c>
      <c r="V362" s="71"/>
      <c r="W362" s="102">
        <f t="shared" si="73"/>
        <v>0</v>
      </c>
      <c r="X362" s="102">
        <f t="shared" si="73"/>
        <v>0</v>
      </c>
      <c r="Y362" s="90">
        <f t="shared" si="73"/>
        <v>0</v>
      </c>
      <c r="Z362" s="102">
        <f t="shared" si="73"/>
        <v>0</v>
      </c>
      <c r="AA362" s="101" t="str">
        <f t="shared" si="73"/>
        <v>EA</v>
      </c>
      <c r="AB362" s="71"/>
      <c r="AC362" s="91">
        <v>1</v>
      </c>
      <c r="AD362" s="91">
        <v>1</v>
      </c>
      <c r="AE362" s="92" t="str">
        <f t="shared" ref="AE362:AE419" si="75">$M362</f>
        <v>Price Line 346</v>
      </c>
      <c r="AF362" s="93">
        <f t="shared" si="74"/>
        <v>0</v>
      </c>
    </row>
    <row r="363" spans="10:32" ht="12.5" hidden="1">
      <c r="J363" s="83">
        <f t="shared" si="69"/>
        <v>0</v>
      </c>
      <c r="K363" s="99">
        <v>347</v>
      </c>
      <c r="L363" s="100">
        <f t="shared" si="72"/>
        <v>1</v>
      </c>
      <c r="M363" s="90" t="str">
        <f t="shared" si="72"/>
        <v>Price Line 347</v>
      </c>
      <c r="N363" s="90">
        <f t="shared" si="72"/>
        <v>0</v>
      </c>
      <c r="O363" s="90">
        <f t="shared" si="72"/>
        <v>0</v>
      </c>
      <c r="P363" s="90">
        <f t="shared" si="72"/>
        <v>0</v>
      </c>
      <c r="Q363" s="90">
        <f t="shared" si="72"/>
        <v>0</v>
      </c>
      <c r="R363" s="90">
        <f t="shared" si="72"/>
        <v>0</v>
      </c>
      <c r="S363" s="90">
        <f t="shared" si="72"/>
        <v>0</v>
      </c>
      <c r="T363" s="90">
        <f t="shared" si="72"/>
        <v>0</v>
      </c>
      <c r="U363" s="101">
        <f t="shared" si="72"/>
        <v>0</v>
      </c>
      <c r="V363" s="71"/>
      <c r="W363" s="102">
        <f t="shared" si="73"/>
        <v>0</v>
      </c>
      <c r="X363" s="102">
        <f t="shared" si="73"/>
        <v>0</v>
      </c>
      <c r="Y363" s="90">
        <f t="shared" si="73"/>
        <v>0</v>
      </c>
      <c r="Z363" s="102">
        <f t="shared" si="73"/>
        <v>0</v>
      </c>
      <c r="AA363" s="101" t="str">
        <f t="shared" si="73"/>
        <v>EA</v>
      </c>
      <c r="AB363" s="71"/>
      <c r="AC363" s="91">
        <v>1</v>
      </c>
      <c r="AD363" s="91">
        <v>1</v>
      </c>
      <c r="AE363" s="92" t="str">
        <f t="shared" si="75"/>
        <v>Price Line 347</v>
      </c>
      <c r="AF363" s="93">
        <f t="shared" si="74"/>
        <v>0</v>
      </c>
    </row>
    <row r="364" spans="10:32" ht="12.5" hidden="1">
      <c r="J364" s="83">
        <f t="shared" si="69"/>
        <v>0</v>
      </c>
      <c r="K364" s="99">
        <v>348</v>
      </c>
      <c r="L364" s="100">
        <f t="shared" si="72"/>
        <v>1</v>
      </c>
      <c r="M364" s="90" t="str">
        <f t="shared" si="72"/>
        <v>Price Line 348</v>
      </c>
      <c r="N364" s="90">
        <f t="shared" si="72"/>
        <v>0</v>
      </c>
      <c r="O364" s="90">
        <f t="shared" si="72"/>
        <v>0</v>
      </c>
      <c r="P364" s="90">
        <f t="shared" si="72"/>
        <v>0</v>
      </c>
      <c r="Q364" s="90">
        <f t="shared" si="72"/>
        <v>0</v>
      </c>
      <c r="R364" s="90">
        <f t="shared" si="72"/>
        <v>0</v>
      </c>
      <c r="S364" s="90">
        <f t="shared" si="72"/>
        <v>0</v>
      </c>
      <c r="T364" s="90">
        <f t="shared" si="72"/>
        <v>0</v>
      </c>
      <c r="U364" s="101">
        <f t="shared" si="72"/>
        <v>0</v>
      </c>
      <c r="V364" s="71"/>
      <c r="W364" s="102">
        <f t="shared" si="73"/>
        <v>0</v>
      </c>
      <c r="X364" s="102">
        <f t="shared" si="73"/>
        <v>0</v>
      </c>
      <c r="Y364" s="90">
        <f t="shared" si="73"/>
        <v>0</v>
      </c>
      <c r="Z364" s="102">
        <f t="shared" si="73"/>
        <v>0</v>
      </c>
      <c r="AA364" s="101" t="str">
        <f t="shared" si="73"/>
        <v>EA</v>
      </c>
      <c r="AB364" s="71"/>
      <c r="AC364" s="91">
        <v>1</v>
      </c>
      <c r="AD364" s="91">
        <v>1</v>
      </c>
      <c r="AE364" s="92" t="str">
        <f t="shared" si="75"/>
        <v>Price Line 348</v>
      </c>
      <c r="AF364" s="93">
        <f t="shared" si="74"/>
        <v>0</v>
      </c>
    </row>
    <row r="365" spans="10:32" ht="12.5" hidden="1">
      <c r="J365" s="83">
        <f t="shared" si="69"/>
        <v>0</v>
      </c>
      <c r="K365" s="99">
        <v>349</v>
      </c>
      <c r="L365" s="100">
        <f t="shared" si="72"/>
        <v>1</v>
      </c>
      <c r="M365" s="90" t="str">
        <f t="shared" si="72"/>
        <v>Price Line 349</v>
      </c>
      <c r="N365" s="90">
        <f t="shared" si="72"/>
        <v>0</v>
      </c>
      <c r="O365" s="90">
        <f t="shared" si="72"/>
        <v>0</v>
      </c>
      <c r="P365" s="90">
        <f t="shared" si="72"/>
        <v>0</v>
      </c>
      <c r="Q365" s="90">
        <f t="shared" si="72"/>
        <v>0</v>
      </c>
      <c r="R365" s="90">
        <f t="shared" si="72"/>
        <v>0</v>
      </c>
      <c r="S365" s="90">
        <f t="shared" si="72"/>
        <v>0</v>
      </c>
      <c r="T365" s="90">
        <f t="shared" si="72"/>
        <v>0</v>
      </c>
      <c r="U365" s="101">
        <f t="shared" si="72"/>
        <v>0</v>
      </c>
      <c r="V365" s="71"/>
      <c r="W365" s="102">
        <f t="shared" si="73"/>
        <v>0</v>
      </c>
      <c r="X365" s="102">
        <f t="shared" si="73"/>
        <v>0</v>
      </c>
      <c r="Y365" s="90">
        <f t="shared" si="73"/>
        <v>0</v>
      </c>
      <c r="Z365" s="102">
        <f t="shared" si="73"/>
        <v>0</v>
      </c>
      <c r="AA365" s="101" t="str">
        <f t="shared" si="73"/>
        <v>EA</v>
      </c>
      <c r="AB365" s="71"/>
      <c r="AC365" s="91">
        <v>1</v>
      </c>
      <c r="AD365" s="91">
        <v>1</v>
      </c>
      <c r="AE365" s="92" t="str">
        <f t="shared" si="75"/>
        <v>Price Line 349</v>
      </c>
      <c r="AF365" s="93">
        <f t="shared" si="74"/>
        <v>0</v>
      </c>
    </row>
    <row r="366" spans="10:32" ht="12.5" hidden="1">
      <c r="J366" s="83">
        <f t="shared" si="69"/>
        <v>0</v>
      </c>
      <c r="K366" s="99">
        <v>350</v>
      </c>
      <c r="L366" s="100">
        <f t="shared" si="72"/>
        <v>1</v>
      </c>
      <c r="M366" s="90" t="str">
        <f t="shared" si="72"/>
        <v>Price Line 350</v>
      </c>
      <c r="N366" s="90">
        <f t="shared" si="72"/>
        <v>0</v>
      </c>
      <c r="O366" s="90">
        <f t="shared" si="72"/>
        <v>0</v>
      </c>
      <c r="P366" s="90">
        <f t="shared" si="72"/>
        <v>0</v>
      </c>
      <c r="Q366" s="90">
        <f t="shared" si="72"/>
        <v>0</v>
      </c>
      <c r="R366" s="90">
        <f t="shared" si="72"/>
        <v>0</v>
      </c>
      <c r="S366" s="90">
        <f t="shared" si="72"/>
        <v>0</v>
      </c>
      <c r="T366" s="90">
        <f t="shared" si="72"/>
        <v>0</v>
      </c>
      <c r="U366" s="101">
        <f t="shared" si="72"/>
        <v>0</v>
      </c>
      <c r="V366" s="71"/>
      <c r="W366" s="102">
        <f t="shared" si="73"/>
        <v>0</v>
      </c>
      <c r="X366" s="102">
        <f t="shared" si="73"/>
        <v>0</v>
      </c>
      <c r="Y366" s="90">
        <f t="shared" si="73"/>
        <v>0</v>
      </c>
      <c r="Z366" s="102">
        <f t="shared" si="73"/>
        <v>0</v>
      </c>
      <c r="AA366" s="101" t="str">
        <f t="shared" si="73"/>
        <v>EA</v>
      </c>
      <c r="AB366" s="71"/>
      <c r="AC366" s="91">
        <v>1</v>
      </c>
      <c r="AD366" s="91">
        <v>1</v>
      </c>
      <c r="AE366" s="92" t="str">
        <f t="shared" si="75"/>
        <v>Price Line 350</v>
      </c>
      <c r="AF366" s="93">
        <f t="shared" si="74"/>
        <v>0</v>
      </c>
    </row>
    <row r="367" spans="10:32" ht="12.5" hidden="1">
      <c r="J367" s="83">
        <f t="shared" si="69"/>
        <v>0</v>
      </c>
      <c r="K367" s="99">
        <v>351</v>
      </c>
      <c r="L367" s="100">
        <f t="shared" si="72"/>
        <v>1</v>
      </c>
      <c r="M367" s="90" t="str">
        <f t="shared" si="72"/>
        <v>Price Line 351</v>
      </c>
      <c r="N367" s="90">
        <f t="shared" si="72"/>
        <v>0</v>
      </c>
      <c r="O367" s="90">
        <f t="shared" si="72"/>
        <v>0</v>
      </c>
      <c r="P367" s="90">
        <f t="shared" si="72"/>
        <v>0</v>
      </c>
      <c r="Q367" s="90">
        <f t="shared" si="72"/>
        <v>0</v>
      </c>
      <c r="R367" s="90">
        <f t="shared" si="72"/>
        <v>0</v>
      </c>
      <c r="S367" s="90">
        <f t="shared" si="72"/>
        <v>0</v>
      </c>
      <c r="T367" s="90">
        <f t="shared" si="72"/>
        <v>0</v>
      </c>
      <c r="U367" s="101">
        <f t="shared" si="72"/>
        <v>0</v>
      </c>
      <c r="V367" s="71"/>
      <c r="W367" s="102">
        <f t="shared" si="73"/>
        <v>0</v>
      </c>
      <c r="X367" s="102">
        <f t="shared" si="73"/>
        <v>0</v>
      </c>
      <c r="Y367" s="90">
        <f t="shared" si="73"/>
        <v>0</v>
      </c>
      <c r="Z367" s="102">
        <f t="shared" si="73"/>
        <v>0</v>
      </c>
      <c r="AA367" s="101" t="str">
        <f t="shared" si="73"/>
        <v>EA</v>
      </c>
      <c r="AB367" s="71"/>
      <c r="AC367" s="91">
        <v>1</v>
      </c>
      <c r="AD367" s="91">
        <v>1</v>
      </c>
      <c r="AE367" s="92" t="str">
        <f t="shared" si="75"/>
        <v>Price Line 351</v>
      </c>
      <c r="AF367" s="93">
        <f t="shared" si="74"/>
        <v>0</v>
      </c>
    </row>
    <row r="368" spans="10:32" ht="12.5" hidden="1">
      <c r="J368" s="83">
        <f t="shared" si="69"/>
        <v>0</v>
      </c>
      <c r="K368" s="99">
        <v>352</v>
      </c>
      <c r="L368" s="100">
        <f t="shared" si="72"/>
        <v>1</v>
      </c>
      <c r="M368" s="90" t="str">
        <f t="shared" si="72"/>
        <v>Price Line 352</v>
      </c>
      <c r="N368" s="90">
        <f t="shared" si="72"/>
        <v>0</v>
      </c>
      <c r="O368" s="90">
        <f t="shared" si="72"/>
        <v>0</v>
      </c>
      <c r="P368" s="90">
        <f t="shared" si="72"/>
        <v>0</v>
      </c>
      <c r="Q368" s="90">
        <f t="shared" si="72"/>
        <v>0</v>
      </c>
      <c r="R368" s="90">
        <f t="shared" si="72"/>
        <v>0</v>
      </c>
      <c r="S368" s="90">
        <f t="shared" si="72"/>
        <v>0</v>
      </c>
      <c r="T368" s="90">
        <f t="shared" si="72"/>
        <v>0</v>
      </c>
      <c r="U368" s="101">
        <f t="shared" si="72"/>
        <v>0</v>
      </c>
      <c r="V368" s="71"/>
      <c r="W368" s="102">
        <f t="shared" si="73"/>
        <v>0</v>
      </c>
      <c r="X368" s="102">
        <f t="shared" si="73"/>
        <v>0</v>
      </c>
      <c r="Y368" s="90">
        <f t="shared" si="73"/>
        <v>0</v>
      </c>
      <c r="Z368" s="102">
        <f t="shared" si="73"/>
        <v>0</v>
      </c>
      <c r="AA368" s="101" t="str">
        <f t="shared" si="73"/>
        <v>EA</v>
      </c>
      <c r="AB368" s="71"/>
      <c r="AC368" s="91">
        <v>1</v>
      </c>
      <c r="AD368" s="91">
        <v>1</v>
      </c>
      <c r="AE368" s="92" t="str">
        <f t="shared" si="75"/>
        <v>Price Line 352</v>
      </c>
      <c r="AF368" s="93">
        <f t="shared" si="74"/>
        <v>0</v>
      </c>
    </row>
    <row r="369" spans="10:32" ht="12.5" hidden="1">
      <c r="J369" s="83">
        <f t="shared" si="69"/>
        <v>0</v>
      </c>
      <c r="K369" s="99">
        <v>353</v>
      </c>
      <c r="L369" s="100">
        <f t="shared" ref="L369:U384" si="76">INDEX(L$420:L$1632,MATCH($K369,$K$420:$K$1632,0)+MATCH("Option "&amp;$D$9,$K$420:$K$1230,0)-1,1)</f>
        <v>1</v>
      </c>
      <c r="M369" s="90" t="str">
        <f t="shared" si="76"/>
        <v>Price Line 353</v>
      </c>
      <c r="N369" s="90">
        <f t="shared" si="76"/>
        <v>0</v>
      </c>
      <c r="O369" s="90">
        <f t="shared" si="76"/>
        <v>0</v>
      </c>
      <c r="P369" s="90">
        <f t="shared" si="76"/>
        <v>0</v>
      </c>
      <c r="Q369" s="90">
        <f t="shared" si="76"/>
        <v>0</v>
      </c>
      <c r="R369" s="90">
        <f t="shared" si="76"/>
        <v>0</v>
      </c>
      <c r="S369" s="90">
        <f t="shared" si="76"/>
        <v>0</v>
      </c>
      <c r="T369" s="90">
        <f t="shared" si="76"/>
        <v>0</v>
      </c>
      <c r="U369" s="101">
        <f t="shared" si="76"/>
        <v>0</v>
      </c>
      <c r="V369" s="71"/>
      <c r="W369" s="102">
        <f t="shared" ref="W369:AA384" si="77">INDEX(W$420:W$1632,MATCH($K369,$K$420:$K$1632,0)+MATCH("Option "&amp;$D$9,$K$420:$K$1230,0)-1,1)</f>
        <v>0</v>
      </c>
      <c r="X369" s="102">
        <f t="shared" si="77"/>
        <v>0</v>
      </c>
      <c r="Y369" s="90">
        <f t="shared" si="77"/>
        <v>0</v>
      </c>
      <c r="Z369" s="102">
        <f t="shared" si="77"/>
        <v>0</v>
      </c>
      <c r="AA369" s="101" t="str">
        <f t="shared" si="77"/>
        <v>EA</v>
      </c>
      <c r="AB369" s="71"/>
      <c r="AC369" s="91">
        <v>1</v>
      </c>
      <c r="AD369" s="91">
        <v>1</v>
      </c>
      <c r="AE369" s="92" t="str">
        <f t="shared" si="75"/>
        <v>Price Line 353</v>
      </c>
      <c r="AF369" s="93">
        <f t="shared" si="74"/>
        <v>0</v>
      </c>
    </row>
    <row r="370" spans="10:32" ht="12.5" hidden="1">
      <c r="J370" s="83">
        <f t="shared" si="69"/>
        <v>0</v>
      </c>
      <c r="K370" s="99">
        <v>354</v>
      </c>
      <c r="L370" s="100">
        <f t="shared" si="76"/>
        <v>1</v>
      </c>
      <c r="M370" s="90" t="str">
        <f t="shared" si="76"/>
        <v>Price Line 354</v>
      </c>
      <c r="N370" s="90">
        <f t="shared" si="76"/>
        <v>0</v>
      </c>
      <c r="O370" s="90">
        <f t="shared" si="76"/>
        <v>0</v>
      </c>
      <c r="P370" s="90">
        <f t="shared" si="76"/>
        <v>0</v>
      </c>
      <c r="Q370" s="90">
        <f t="shared" si="76"/>
        <v>0</v>
      </c>
      <c r="R370" s="90">
        <f t="shared" si="76"/>
        <v>0</v>
      </c>
      <c r="S370" s="90">
        <f t="shared" si="76"/>
        <v>0</v>
      </c>
      <c r="T370" s="90">
        <f t="shared" si="76"/>
        <v>0</v>
      </c>
      <c r="U370" s="101">
        <f t="shared" si="76"/>
        <v>0</v>
      </c>
      <c r="V370" s="71"/>
      <c r="W370" s="102">
        <f t="shared" si="77"/>
        <v>0</v>
      </c>
      <c r="X370" s="102">
        <f t="shared" si="77"/>
        <v>0</v>
      </c>
      <c r="Y370" s="90">
        <f t="shared" si="77"/>
        <v>0</v>
      </c>
      <c r="Z370" s="102">
        <f t="shared" si="77"/>
        <v>0</v>
      </c>
      <c r="AA370" s="101" t="str">
        <f t="shared" si="77"/>
        <v>EA</v>
      </c>
      <c r="AB370" s="71"/>
      <c r="AC370" s="91">
        <v>1</v>
      </c>
      <c r="AD370" s="91">
        <v>1</v>
      </c>
      <c r="AE370" s="92" t="str">
        <f t="shared" si="75"/>
        <v>Price Line 354</v>
      </c>
      <c r="AF370" s="93">
        <f t="shared" si="74"/>
        <v>0</v>
      </c>
    </row>
    <row r="371" spans="10:32" ht="12.5" hidden="1">
      <c r="J371" s="83">
        <f t="shared" si="69"/>
        <v>0</v>
      </c>
      <c r="K371" s="99">
        <v>355</v>
      </c>
      <c r="L371" s="100">
        <f t="shared" si="76"/>
        <v>1</v>
      </c>
      <c r="M371" s="90" t="str">
        <f t="shared" si="76"/>
        <v>Price Line 355</v>
      </c>
      <c r="N371" s="90">
        <f t="shared" si="76"/>
        <v>0</v>
      </c>
      <c r="O371" s="90">
        <f t="shared" si="76"/>
        <v>0</v>
      </c>
      <c r="P371" s="90">
        <f t="shared" si="76"/>
        <v>0</v>
      </c>
      <c r="Q371" s="90">
        <f t="shared" si="76"/>
        <v>0</v>
      </c>
      <c r="R371" s="90">
        <f t="shared" si="76"/>
        <v>0</v>
      </c>
      <c r="S371" s="90">
        <f t="shared" si="76"/>
        <v>0</v>
      </c>
      <c r="T371" s="90">
        <f t="shared" si="76"/>
        <v>0</v>
      </c>
      <c r="U371" s="101">
        <f t="shared" si="76"/>
        <v>0</v>
      </c>
      <c r="V371" s="71"/>
      <c r="W371" s="102">
        <f t="shared" si="77"/>
        <v>0</v>
      </c>
      <c r="X371" s="102">
        <f t="shared" si="77"/>
        <v>0</v>
      </c>
      <c r="Y371" s="90">
        <f t="shared" si="77"/>
        <v>0</v>
      </c>
      <c r="Z371" s="102">
        <f t="shared" si="77"/>
        <v>0</v>
      </c>
      <c r="AA371" s="101" t="str">
        <f t="shared" si="77"/>
        <v>EA</v>
      </c>
      <c r="AB371" s="71"/>
      <c r="AC371" s="91">
        <v>1</v>
      </c>
      <c r="AD371" s="91">
        <v>1</v>
      </c>
      <c r="AE371" s="92" t="str">
        <f t="shared" si="75"/>
        <v>Price Line 355</v>
      </c>
      <c r="AF371" s="93">
        <f t="shared" si="74"/>
        <v>0</v>
      </c>
    </row>
    <row r="372" spans="10:32" ht="12.5" hidden="1">
      <c r="J372" s="83">
        <f t="shared" si="69"/>
        <v>0</v>
      </c>
      <c r="K372" s="99">
        <v>356</v>
      </c>
      <c r="L372" s="100">
        <f t="shared" si="76"/>
        <v>1</v>
      </c>
      <c r="M372" s="90" t="str">
        <f t="shared" si="76"/>
        <v>Price Line 356</v>
      </c>
      <c r="N372" s="90">
        <f t="shared" si="76"/>
        <v>0</v>
      </c>
      <c r="O372" s="90">
        <f t="shared" si="76"/>
        <v>0</v>
      </c>
      <c r="P372" s="90">
        <f t="shared" si="76"/>
        <v>0</v>
      </c>
      <c r="Q372" s="90">
        <f t="shared" si="76"/>
        <v>0</v>
      </c>
      <c r="R372" s="90">
        <f t="shared" si="76"/>
        <v>0</v>
      </c>
      <c r="S372" s="90">
        <f t="shared" si="76"/>
        <v>0</v>
      </c>
      <c r="T372" s="90">
        <f t="shared" si="76"/>
        <v>0</v>
      </c>
      <c r="U372" s="101">
        <f t="shared" si="76"/>
        <v>0</v>
      </c>
      <c r="V372" s="71"/>
      <c r="W372" s="102">
        <f t="shared" si="77"/>
        <v>0</v>
      </c>
      <c r="X372" s="102">
        <f t="shared" si="77"/>
        <v>0</v>
      </c>
      <c r="Y372" s="90">
        <f t="shared" si="77"/>
        <v>0</v>
      </c>
      <c r="Z372" s="102">
        <f t="shared" si="77"/>
        <v>0</v>
      </c>
      <c r="AA372" s="101" t="str">
        <f t="shared" si="77"/>
        <v>EA</v>
      </c>
      <c r="AB372" s="71"/>
      <c r="AC372" s="91">
        <v>1</v>
      </c>
      <c r="AD372" s="91">
        <v>1</v>
      </c>
      <c r="AE372" s="92" t="str">
        <f t="shared" si="75"/>
        <v>Price Line 356</v>
      </c>
      <c r="AF372" s="93">
        <f t="shared" si="74"/>
        <v>0</v>
      </c>
    </row>
    <row r="373" spans="10:32" ht="12.5" hidden="1">
      <c r="J373" s="83">
        <f t="shared" si="69"/>
        <v>0</v>
      </c>
      <c r="K373" s="99">
        <v>357</v>
      </c>
      <c r="L373" s="100">
        <f t="shared" si="76"/>
        <v>1</v>
      </c>
      <c r="M373" s="90" t="str">
        <f t="shared" si="76"/>
        <v>Price Line 357</v>
      </c>
      <c r="N373" s="90">
        <f t="shared" si="76"/>
        <v>0</v>
      </c>
      <c r="O373" s="90">
        <f t="shared" si="76"/>
        <v>0</v>
      </c>
      <c r="P373" s="90">
        <f t="shared" si="76"/>
        <v>0</v>
      </c>
      <c r="Q373" s="90">
        <f t="shared" si="76"/>
        <v>0</v>
      </c>
      <c r="R373" s="90">
        <f t="shared" si="76"/>
        <v>0</v>
      </c>
      <c r="S373" s="90">
        <f t="shared" si="76"/>
        <v>0</v>
      </c>
      <c r="T373" s="90">
        <f t="shared" si="76"/>
        <v>0</v>
      </c>
      <c r="U373" s="101">
        <f t="shared" si="76"/>
        <v>0</v>
      </c>
      <c r="V373" s="71"/>
      <c r="W373" s="102">
        <f t="shared" si="77"/>
        <v>0</v>
      </c>
      <c r="X373" s="102">
        <f t="shared" si="77"/>
        <v>0</v>
      </c>
      <c r="Y373" s="90">
        <f t="shared" si="77"/>
        <v>0</v>
      </c>
      <c r="Z373" s="102">
        <f t="shared" si="77"/>
        <v>0</v>
      </c>
      <c r="AA373" s="101" t="str">
        <f t="shared" si="77"/>
        <v>EA</v>
      </c>
      <c r="AB373" s="71"/>
      <c r="AC373" s="91">
        <v>1</v>
      </c>
      <c r="AD373" s="91">
        <v>1</v>
      </c>
      <c r="AE373" s="92" t="str">
        <f t="shared" si="75"/>
        <v>Price Line 357</v>
      </c>
      <c r="AF373" s="93">
        <f t="shared" si="74"/>
        <v>0</v>
      </c>
    </row>
    <row r="374" spans="10:32" ht="12.5" hidden="1">
      <c r="J374" s="83">
        <f t="shared" si="69"/>
        <v>0</v>
      </c>
      <c r="K374" s="99">
        <v>358</v>
      </c>
      <c r="L374" s="100">
        <f t="shared" si="76"/>
        <v>1</v>
      </c>
      <c r="M374" s="90" t="str">
        <f t="shared" si="76"/>
        <v>Price Line 358</v>
      </c>
      <c r="N374" s="90">
        <f t="shared" si="76"/>
        <v>0</v>
      </c>
      <c r="O374" s="90">
        <f t="shared" si="76"/>
        <v>0</v>
      </c>
      <c r="P374" s="90">
        <f t="shared" si="76"/>
        <v>0</v>
      </c>
      <c r="Q374" s="90">
        <f t="shared" si="76"/>
        <v>0</v>
      </c>
      <c r="R374" s="90">
        <f t="shared" si="76"/>
        <v>0</v>
      </c>
      <c r="S374" s="90">
        <f t="shared" si="76"/>
        <v>0</v>
      </c>
      <c r="T374" s="90">
        <f t="shared" si="76"/>
        <v>0</v>
      </c>
      <c r="U374" s="101">
        <f t="shared" si="76"/>
        <v>0</v>
      </c>
      <c r="V374" s="71"/>
      <c r="W374" s="102">
        <f t="shared" si="77"/>
        <v>0</v>
      </c>
      <c r="X374" s="102">
        <f t="shared" si="77"/>
        <v>0</v>
      </c>
      <c r="Y374" s="90">
        <f t="shared" si="77"/>
        <v>0</v>
      </c>
      <c r="Z374" s="102">
        <f t="shared" si="77"/>
        <v>0</v>
      </c>
      <c r="AA374" s="101" t="str">
        <f t="shared" si="77"/>
        <v>EA</v>
      </c>
      <c r="AB374" s="71"/>
      <c r="AC374" s="91">
        <v>1</v>
      </c>
      <c r="AD374" s="91">
        <v>1</v>
      </c>
      <c r="AE374" s="92" t="str">
        <f t="shared" si="75"/>
        <v>Price Line 358</v>
      </c>
      <c r="AF374" s="93">
        <f t="shared" si="74"/>
        <v>0</v>
      </c>
    </row>
    <row r="375" spans="10:32" ht="12.5" hidden="1">
      <c r="J375" s="83">
        <f t="shared" si="69"/>
        <v>0</v>
      </c>
      <c r="K375" s="99">
        <v>359</v>
      </c>
      <c r="L375" s="100">
        <f t="shared" si="76"/>
        <v>1</v>
      </c>
      <c r="M375" s="90" t="str">
        <f t="shared" si="76"/>
        <v>Price Line 359</v>
      </c>
      <c r="N375" s="90">
        <f t="shared" si="76"/>
        <v>0</v>
      </c>
      <c r="O375" s="90">
        <f t="shared" si="76"/>
        <v>0</v>
      </c>
      <c r="P375" s="90">
        <f t="shared" si="76"/>
        <v>0</v>
      </c>
      <c r="Q375" s="90">
        <f t="shared" si="76"/>
        <v>0</v>
      </c>
      <c r="R375" s="90">
        <f t="shared" si="76"/>
        <v>0</v>
      </c>
      <c r="S375" s="90">
        <f t="shared" si="76"/>
        <v>0</v>
      </c>
      <c r="T375" s="90">
        <f t="shared" si="76"/>
        <v>0</v>
      </c>
      <c r="U375" s="101">
        <f t="shared" si="76"/>
        <v>0</v>
      </c>
      <c r="V375" s="71"/>
      <c r="W375" s="102">
        <f t="shared" si="77"/>
        <v>0</v>
      </c>
      <c r="X375" s="102">
        <f t="shared" si="77"/>
        <v>0</v>
      </c>
      <c r="Y375" s="90">
        <f t="shared" si="77"/>
        <v>0</v>
      </c>
      <c r="Z375" s="102">
        <f t="shared" si="77"/>
        <v>0</v>
      </c>
      <c r="AA375" s="101" t="str">
        <f t="shared" si="77"/>
        <v>EA</v>
      </c>
      <c r="AB375" s="71"/>
      <c r="AC375" s="91">
        <v>1</v>
      </c>
      <c r="AD375" s="91">
        <v>1</v>
      </c>
      <c r="AE375" s="92" t="str">
        <f t="shared" si="75"/>
        <v>Price Line 359</v>
      </c>
      <c r="AF375" s="93">
        <f t="shared" si="74"/>
        <v>0</v>
      </c>
    </row>
    <row r="376" spans="10:32" ht="12.5" hidden="1">
      <c r="J376" s="83">
        <f t="shared" si="69"/>
        <v>0</v>
      </c>
      <c r="K376" s="99">
        <v>360</v>
      </c>
      <c r="L376" s="100">
        <f t="shared" si="76"/>
        <v>1</v>
      </c>
      <c r="M376" s="90" t="str">
        <f t="shared" si="76"/>
        <v>Price Line 360</v>
      </c>
      <c r="N376" s="90">
        <f t="shared" si="76"/>
        <v>0</v>
      </c>
      <c r="O376" s="90">
        <f t="shared" si="76"/>
        <v>0</v>
      </c>
      <c r="P376" s="90">
        <f t="shared" si="76"/>
        <v>0</v>
      </c>
      <c r="Q376" s="90">
        <f t="shared" si="76"/>
        <v>0</v>
      </c>
      <c r="R376" s="90">
        <f t="shared" si="76"/>
        <v>0</v>
      </c>
      <c r="S376" s="90">
        <f t="shared" si="76"/>
        <v>0</v>
      </c>
      <c r="T376" s="90">
        <f t="shared" si="76"/>
        <v>0</v>
      </c>
      <c r="U376" s="101">
        <f t="shared" si="76"/>
        <v>0</v>
      </c>
      <c r="V376" s="71"/>
      <c r="W376" s="102">
        <f t="shared" si="77"/>
        <v>0</v>
      </c>
      <c r="X376" s="102">
        <f t="shared" si="77"/>
        <v>0</v>
      </c>
      <c r="Y376" s="90">
        <f t="shared" si="77"/>
        <v>0</v>
      </c>
      <c r="Z376" s="102">
        <f t="shared" si="77"/>
        <v>0</v>
      </c>
      <c r="AA376" s="101" t="str">
        <f t="shared" si="77"/>
        <v>EA</v>
      </c>
      <c r="AB376" s="71"/>
      <c r="AC376" s="91">
        <v>1</v>
      </c>
      <c r="AD376" s="91">
        <v>1</v>
      </c>
      <c r="AE376" s="92" t="str">
        <f t="shared" si="75"/>
        <v>Price Line 360</v>
      </c>
      <c r="AF376" s="93">
        <f t="shared" si="74"/>
        <v>0</v>
      </c>
    </row>
    <row r="377" spans="10:32" ht="12.5" hidden="1">
      <c r="J377" s="83">
        <f t="shared" si="69"/>
        <v>0</v>
      </c>
      <c r="K377" s="99">
        <v>361</v>
      </c>
      <c r="L377" s="100">
        <f t="shared" si="76"/>
        <v>1</v>
      </c>
      <c r="M377" s="90" t="str">
        <f t="shared" si="76"/>
        <v>Price Line 361</v>
      </c>
      <c r="N377" s="90">
        <f t="shared" si="76"/>
        <v>0</v>
      </c>
      <c r="O377" s="90">
        <f t="shared" si="76"/>
        <v>0</v>
      </c>
      <c r="P377" s="90">
        <f t="shared" si="76"/>
        <v>0</v>
      </c>
      <c r="Q377" s="90">
        <f t="shared" si="76"/>
        <v>0</v>
      </c>
      <c r="R377" s="90">
        <f t="shared" si="76"/>
        <v>0</v>
      </c>
      <c r="S377" s="90">
        <f t="shared" si="76"/>
        <v>0</v>
      </c>
      <c r="T377" s="90">
        <f t="shared" si="76"/>
        <v>0</v>
      </c>
      <c r="U377" s="101">
        <f t="shared" si="76"/>
        <v>0</v>
      </c>
      <c r="V377" s="71"/>
      <c r="W377" s="102">
        <f t="shared" si="77"/>
        <v>0</v>
      </c>
      <c r="X377" s="102">
        <f t="shared" si="77"/>
        <v>0</v>
      </c>
      <c r="Y377" s="90">
        <f t="shared" si="77"/>
        <v>0</v>
      </c>
      <c r="Z377" s="102">
        <f t="shared" si="77"/>
        <v>0</v>
      </c>
      <c r="AA377" s="101" t="str">
        <f t="shared" si="77"/>
        <v>EA</v>
      </c>
      <c r="AB377" s="71"/>
      <c r="AC377" s="91">
        <v>1</v>
      </c>
      <c r="AD377" s="91">
        <v>1</v>
      </c>
      <c r="AE377" s="92" t="str">
        <f t="shared" si="75"/>
        <v>Price Line 361</v>
      </c>
      <c r="AF377" s="93">
        <f t="shared" si="74"/>
        <v>0</v>
      </c>
    </row>
    <row r="378" spans="10:32" ht="12.5" hidden="1">
      <c r="J378" s="83">
        <f t="shared" si="69"/>
        <v>0</v>
      </c>
      <c r="K378" s="99">
        <v>362</v>
      </c>
      <c r="L378" s="100">
        <f t="shared" si="76"/>
        <v>1</v>
      </c>
      <c r="M378" s="90" t="str">
        <f t="shared" si="76"/>
        <v>Price Line 362</v>
      </c>
      <c r="N378" s="90">
        <f t="shared" si="76"/>
        <v>0</v>
      </c>
      <c r="O378" s="90">
        <f t="shared" si="76"/>
        <v>0</v>
      </c>
      <c r="P378" s="90">
        <f t="shared" si="76"/>
        <v>0</v>
      </c>
      <c r="Q378" s="90">
        <f t="shared" si="76"/>
        <v>0</v>
      </c>
      <c r="R378" s="90">
        <f t="shared" si="76"/>
        <v>0</v>
      </c>
      <c r="S378" s="90">
        <f t="shared" si="76"/>
        <v>0</v>
      </c>
      <c r="T378" s="90">
        <f t="shared" si="76"/>
        <v>0</v>
      </c>
      <c r="U378" s="101">
        <f t="shared" si="76"/>
        <v>0</v>
      </c>
      <c r="V378" s="71"/>
      <c r="W378" s="102">
        <f t="shared" si="77"/>
        <v>0</v>
      </c>
      <c r="X378" s="102">
        <f t="shared" si="77"/>
        <v>0</v>
      </c>
      <c r="Y378" s="90">
        <f t="shared" si="77"/>
        <v>0</v>
      </c>
      <c r="Z378" s="102">
        <f t="shared" si="77"/>
        <v>0</v>
      </c>
      <c r="AA378" s="101" t="str">
        <f t="shared" si="77"/>
        <v>EA</v>
      </c>
      <c r="AB378" s="71"/>
      <c r="AC378" s="91">
        <v>1</v>
      </c>
      <c r="AD378" s="91">
        <v>1</v>
      </c>
      <c r="AE378" s="92" t="str">
        <f t="shared" si="75"/>
        <v>Price Line 362</v>
      </c>
      <c r="AF378" s="93">
        <f t="shared" si="74"/>
        <v>0</v>
      </c>
    </row>
    <row r="379" spans="10:32" ht="12.5" hidden="1">
      <c r="J379" s="83">
        <f t="shared" si="69"/>
        <v>0</v>
      </c>
      <c r="K379" s="99">
        <v>363</v>
      </c>
      <c r="L379" s="100">
        <f t="shared" si="76"/>
        <v>1</v>
      </c>
      <c r="M379" s="90" t="str">
        <f t="shared" si="76"/>
        <v>Price Line 363</v>
      </c>
      <c r="N379" s="90">
        <f t="shared" si="76"/>
        <v>0</v>
      </c>
      <c r="O379" s="90">
        <f t="shared" si="76"/>
        <v>0</v>
      </c>
      <c r="P379" s="90">
        <f t="shared" si="76"/>
        <v>0</v>
      </c>
      <c r="Q379" s="90">
        <f t="shared" si="76"/>
        <v>0</v>
      </c>
      <c r="R379" s="90">
        <f t="shared" si="76"/>
        <v>0</v>
      </c>
      <c r="S379" s="90">
        <f t="shared" si="76"/>
        <v>0</v>
      </c>
      <c r="T379" s="90">
        <f t="shared" si="76"/>
        <v>0</v>
      </c>
      <c r="U379" s="101">
        <f t="shared" si="76"/>
        <v>0</v>
      </c>
      <c r="V379" s="71"/>
      <c r="W379" s="102">
        <f t="shared" si="77"/>
        <v>0</v>
      </c>
      <c r="X379" s="102">
        <f t="shared" si="77"/>
        <v>0</v>
      </c>
      <c r="Y379" s="90">
        <f t="shared" si="77"/>
        <v>0</v>
      </c>
      <c r="Z379" s="102">
        <f t="shared" si="77"/>
        <v>0</v>
      </c>
      <c r="AA379" s="101" t="str">
        <f t="shared" si="77"/>
        <v>EA</v>
      </c>
      <c r="AB379" s="71"/>
      <c r="AC379" s="91">
        <v>1</v>
      </c>
      <c r="AD379" s="91">
        <v>1</v>
      </c>
      <c r="AE379" s="92" t="str">
        <f t="shared" si="75"/>
        <v>Price Line 363</v>
      </c>
      <c r="AF379" s="93">
        <f t="shared" si="74"/>
        <v>0</v>
      </c>
    </row>
    <row r="380" spans="10:32" ht="12.5" hidden="1">
      <c r="J380" s="83">
        <f t="shared" si="69"/>
        <v>0</v>
      </c>
      <c r="K380" s="99">
        <v>364</v>
      </c>
      <c r="L380" s="100">
        <f t="shared" si="76"/>
        <v>1</v>
      </c>
      <c r="M380" s="90" t="str">
        <f t="shared" si="76"/>
        <v>Price Line 364</v>
      </c>
      <c r="N380" s="90">
        <f t="shared" si="76"/>
        <v>0</v>
      </c>
      <c r="O380" s="90">
        <f t="shared" si="76"/>
        <v>0</v>
      </c>
      <c r="P380" s="90">
        <f t="shared" si="76"/>
        <v>0</v>
      </c>
      <c r="Q380" s="90">
        <f t="shared" si="76"/>
        <v>0</v>
      </c>
      <c r="R380" s="90">
        <f t="shared" si="76"/>
        <v>0</v>
      </c>
      <c r="S380" s="90">
        <f t="shared" si="76"/>
        <v>0</v>
      </c>
      <c r="T380" s="90">
        <f t="shared" si="76"/>
        <v>0</v>
      </c>
      <c r="U380" s="101">
        <f t="shared" si="76"/>
        <v>0</v>
      </c>
      <c r="V380" s="71"/>
      <c r="W380" s="102">
        <f t="shared" si="77"/>
        <v>0</v>
      </c>
      <c r="X380" s="102">
        <f t="shared" si="77"/>
        <v>0</v>
      </c>
      <c r="Y380" s="90">
        <f t="shared" si="77"/>
        <v>0</v>
      </c>
      <c r="Z380" s="102">
        <f t="shared" si="77"/>
        <v>0</v>
      </c>
      <c r="AA380" s="101" t="str">
        <f t="shared" si="77"/>
        <v>EA</v>
      </c>
      <c r="AB380" s="71"/>
      <c r="AC380" s="91">
        <v>1</v>
      </c>
      <c r="AD380" s="91">
        <v>1</v>
      </c>
      <c r="AE380" s="92" t="str">
        <f t="shared" si="75"/>
        <v>Price Line 364</v>
      </c>
      <c r="AF380" s="93">
        <f t="shared" si="74"/>
        <v>0</v>
      </c>
    </row>
    <row r="381" spans="10:32" ht="12.5" hidden="1">
      <c r="J381" s="83">
        <f t="shared" si="69"/>
        <v>0</v>
      </c>
      <c r="K381" s="99">
        <v>365</v>
      </c>
      <c r="L381" s="100">
        <f t="shared" si="76"/>
        <v>1</v>
      </c>
      <c r="M381" s="90" t="str">
        <f t="shared" si="76"/>
        <v>Price Line 365</v>
      </c>
      <c r="N381" s="90">
        <f t="shared" si="76"/>
        <v>0</v>
      </c>
      <c r="O381" s="90">
        <f t="shared" si="76"/>
        <v>0</v>
      </c>
      <c r="P381" s="90">
        <f t="shared" si="76"/>
        <v>0</v>
      </c>
      <c r="Q381" s="90">
        <f t="shared" si="76"/>
        <v>0</v>
      </c>
      <c r="R381" s="90">
        <f t="shared" si="76"/>
        <v>0</v>
      </c>
      <c r="S381" s="90">
        <f t="shared" si="76"/>
        <v>0</v>
      </c>
      <c r="T381" s="90">
        <f t="shared" si="76"/>
        <v>0</v>
      </c>
      <c r="U381" s="101">
        <f t="shared" si="76"/>
        <v>0</v>
      </c>
      <c r="V381" s="71"/>
      <c r="W381" s="102">
        <f t="shared" si="77"/>
        <v>0</v>
      </c>
      <c r="X381" s="102">
        <f t="shared" si="77"/>
        <v>0</v>
      </c>
      <c r="Y381" s="90">
        <f t="shared" si="77"/>
        <v>0</v>
      </c>
      <c r="Z381" s="102">
        <f t="shared" si="77"/>
        <v>0</v>
      </c>
      <c r="AA381" s="101" t="str">
        <f t="shared" si="77"/>
        <v>EA</v>
      </c>
      <c r="AB381" s="71"/>
      <c r="AC381" s="91">
        <v>1</v>
      </c>
      <c r="AD381" s="91">
        <v>1</v>
      </c>
      <c r="AE381" s="92" t="str">
        <f t="shared" si="75"/>
        <v>Price Line 365</v>
      </c>
      <c r="AF381" s="93">
        <f t="shared" si="74"/>
        <v>0</v>
      </c>
    </row>
    <row r="382" spans="10:32" ht="12.5" hidden="1">
      <c r="J382" s="83">
        <f t="shared" si="69"/>
        <v>0</v>
      </c>
      <c r="K382" s="99">
        <v>366</v>
      </c>
      <c r="L382" s="100">
        <f t="shared" si="76"/>
        <v>1</v>
      </c>
      <c r="M382" s="90" t="str">
        <f t="shared" si="76"/>
        <v>Price Line 366</v>
      </c>
      <c r="N382" s="90">
        <f t="shared" si="76"/>
        <v>0</v>
      </c>
      <c r="O382" s="90">
        <f t="shared" si="76"/>
        <v>0</v>
      </c>
      <c r="P382" s="90">
        <f t="shared" si="76"/>
        <v>0</v>
      </c>
      <c r="Q382" s="90">
        <f t="shared" si="76"/>
        <v>0</v>
      </c>
      <c r="R382" s="90">
        <f t="shared" si="76"/>
        <v>0</v>
      </c>
      <c r="S382" s="90">
        <f t="shared" si="76"/>
        <v>0</v>
      </c>
      <c r="T382" s="90">
        <f t="shared" si="76"/>
        <v>0</v>
      </c>
      <c r="U382" s="101">
        <f t="shared" si="76"/>
        <v>0</v>
      </c>
      <c r="V382" s="71"/>
      <c r="W382" s="102">
        <f t="shared" si="77"/>
        <v>0</v>
      </c>
      <c r="X382" s="102">
        <f t="shared" si="77"/>
        <v>0</v>
      </c>
      <c r="Y382" s="90">
        <f t="shared" si="77"/>
        <v>0</v>
      </c>
      <c r="Z382" s="102">
        <f t="shared" si="77"/>
        <v>0</v>
      </c>
      <c r="AA382" s="101" t="str">
        <f t="shared" si="77"/>
        <v>EA</v>
      </c>
      <c r="AB382" s="71"/>
      <c r="AC382" s="91">
        <v>1</v>
      </c>
      <c r="AD382" s="91">
        <v>1</v>
      </c>
      <c r="AE382" s="92" t="str">
        <f t="shared" si="75"/>
        <v>Price Line 366</v>
      </c>
      <c r="AF382" s="93">
        <f t="shared" si="74"/>
        <v>0</v>
      </c>
    </row>
    <row r="383" spans="10:32" ht="12.5" hidden="1">
      <c r="J383" s="83">
        <f t="shared" si="69"/>
        <v>0</v>
      </c>
      <c r="K383" s="99">
        <v>367</v>
      </c>
      <c r="L383" s="100">
        <f t="shared" si="76"/>
        <v>1</v>
      </c>
      <c r="M383" s="90" t="str">
        <f t="shared" si="76"/>
        <v>Price Line 367</v>
      </c>
      <c r="N383" s="90">
        <f t="shared" si="76"/>
        <v>0</v>
      </c>
      <c r="O383" s="90">
        <f t="shared" si="76"/>
        <v>0</v>
      </c>
      <c r="P383" s="90">
        <f t="shared" si="76"/>
        <v>0</v>
      </c>
      <c r="Q383" s="90">
        <f t="shared" si="76"/>
        <v>0</v>
      </c>
      <c r="R383" s="90">
        <f t="shared" si="76"/>
        <v>0</v>
      </c>
      <c r="S383" s="90">
        <f t="shared" si="76"/>
        <v>0</v>
      </c>
      <c r="T383" s="90">
        <f t="shared" si="76"/>
        <v>0</v>
      </c>
      <c r="U383" s="101">
        <f t="shared" si="76"/>
        <v>0</v>
      </c>
      <c r="V383" s="71"/>
      <c r="W383" s="102">
        <f t="shared" si="77"/>
        <v>0</v>
      </c>
      <c r="X383" s="102">
        <f t="shared" si="77"/>
        <v>0</v>
      </c>
      <c r="Y383" s="90">
        <f t="shared" si="77"/>
        <v>0</v>
      </c>
      <c r="Z383" s="102">
        <f t="shared" si="77"/>
        <v>0</v>
      </c>
      <c r="AA383" s="101" t="str">
        <f t="shared" si="77"/>
        <v>EA</v>
      </c>
      <c r="AB383" s="71"/>
      <c r="AC383" s="91">
        <v>1</v>
      </c>
      <c r="AD383" s="91">
        <v>1</v>
      </c>
      <c r="AE383" s="92" t="str">
        <f t="shared" si="75"/>
        <v>Price Line 367</v>
      </c>
      <c r="AF383" s="93">
        <f t="shared" si="74"/>
        <v>0</v>
      </c>
    </row>
    <row r="384" spans="10:32" ht="12.5" hidden="1">
      <c r="J384" s="83">
        <f t="shared" si="69"/>
        <v>0</v>
      </c>
      <c r="K384" s="99">
        <v>368</v>
      </c>
      <c r="L384" s="100">
        <f t="shared" si="76"/>
        <v>1</v>
      </c>
      <c r="M384" s="90" t="str">
        <f t="shared" si="76"/>
        <v>Price Line 368</v>
      </c>
      <c r="N384" s="90">
        <f t="shared" si="76"/>
        <v>0</v>
      </c>
      <c r="O384" s="90">
        <f t="shared" si="76"/>
        <v>0</v>
      </c>
      <c r="P384" s="90">
        <f t="shared" si="76"/>
        <v>0</v>
      </c>
      <c r="Q384" s="90">
        <f t="shared" si="76"/>
        <v>0</v>
      </c>
      <c r="R384" s="90">
        <f t="shared" si="76"/>
        <v>0</v>
      </c>
      <c r="S384" s="90">
        <f t="shared" si="76"/>
        <v>0</v>
      </c>
      <c r="T384" s="90">
        <f t="shared" si="76"/>
        <v>0</v>
      </c>
      <c r="U384" s="101">
        <f t="shared" si="76"/>
        <v>0</v>
      </c>
      <c r="V384" s="71"/>
      <c r="W384" s="102">
        <f t="shared" si="77"/>
        <v>0</v>
      </c>
      <c r="X384" s="102">
        <f t="shared" si="77"/>
        <v>0</v>
      </c>
      <c r="Y384" s="90">
        <f t="shared" si="77"/>
        <v>0</v>
      </c>
      <c r="Z384" s="102">
        <f t="shared" si="77"/>
        <v>0</v>
      </c>
      <c r="AA384" s="101" t="str">
        <f t="shared" si="77"/>
        <v>EA</v>
      </c>
      <c r="AB384" s="71"/>
      <c r="AC384" s="91">
        <v>1</v>
      </c>
      <c r="AD384" s="91">
        <v>1</v>
      </c>
      <c r="AE384" s="92" t="str">
        <f t="shared" si="75"/>
        <v>Price Line 368</v>
      </c>
      <c r="AF384" s="93">
        <f t="shared" si="74"/>
        <v>0</v>
      </c>
    </row>
    <row r="385" spans="10:32" ht="12.5" hidden="1">
      <c r="J385" s="83">
        <f t="shared" si="69"/>
        <v>0</v>
      </c>
      <c r="K385" s="99">
        <v>369</v>
      </c>
      <c r="L385" s="100">
        <f t="shared" ref="L385:U400" si="78">INDEX(L$420:L$1632,MATCH($K385,$K$420:$K$1632,0)+MATCH("Option "&amp;$D$9,$K$420:$K$1230,0)-1,1)</f>
        <v>1</v>
      </c>
      <c r="M385" s="90" t="str">
        <f t="shared" si="78"/>
        <v>Price Line 369</v>
      </c>
      <c r="N385" s="90">
        <f t="shared" si="78"/>
        <v>0</v>
      </c>
      <c r="O385" s="90">
        <f t="shared" si="78"/>
        <v>0</v>
      </c>
      <c r="P385" s="90">
        <f t="shared" si="78"/>
        <v>0</v>
      </c>
      <c r="Q385" s="90">
        <f t="shared" si="78"/>
        <v>0</v>
      </c>
      <c r="R385" s="90">
        <f t="shared" si="78"/>
        <v>0</v>
      </c>
      <c r="S385" s="90">
        <f t="shared" si="78"/>
        <v>0</v>
      </c>
      <c r="T385" s="90">
        <f t="shared" si="78"/>
        <v>0</v>
      </c>
      <c r="U385" s="101">
        <f t="shared" si="78"/>
        <v>0</v>
      </c>
      <c r="V385" s="71"/>
      <c r="W385" s="102">
        <f t="shared" ref="W385:AA400" si="79">INDEX(W$420:W$1632,MATCH($K385,$K$420:$K$1632,0)+MATCH("Option "&amp;$D$9,$K$420:$K$1230,0)-1,1)</f>
        <v>0</v>
      </c>
      <c r="X385" s="102">
        <f t="shared" si="79"/>
        <v>0</v>
      </c>
      <c r="Y385" s="90">
        <f t="shared" si="79"/>
        <v>0</v>
      </c>
      <c r="Z385" s="102">
        <f t="shared" si="79"/>
        <v>0</v>
      </c>
      <c r="AA385" s="101" t="str">
        <f t="shared" si="79"/>
        <v>EA</v>
      </c>
      <c r="AB385" s="71"/>
      <c r="AC385" s="91">
        <v>1</v>
      </c>
      <c r="AD385" s="91">
        <v>1</v>
      </c>
      <c r="AE385" s="92" t="str">
        <f t="shared" si="75"/>
        <v>Price Line 369</v>
      </c>
      <c r="AF385" s="93">
        <f t="shared" si="74"/>
        <v>0</v>
      </c>
    </row>
    <row r="386" spans="10:32" ht="12.5" hidden="1">
      <c r="J386" s="83">
        <f t="shared" si="69"/>
        <v>0</v>
      </c>
      <c r="K386" s="99">
        <v>370</v>
      </c>
      <c r="L386" s="100">
        <f t="shared" si="78"/>
        <v>1</v>
      </c>
      <c r="M386" s="90" t="str">
        <f t="shared" si="78"/>
        <v>Price Line 370</v>
      </c>
      <c r="N386" s="90">
        <f t="shared" si="78"/>
        <v>0</v>
      </c>
      <c r="O386" s="90">
        <f t="shared" si="78"/>
        <v>0</v>
      </c>
      <c r="P386" s="90">
        <f t="shared" si="78"/>
        <v>0</v>
      </c>
      <c r="Q386" s="90">
        <f t="shared" si="78"/>
        <v>0</v>
      </c>
      <c r="R386" s="90">
        <f t="shared" si="78"/>
        <v>0</v>
      </c>
      <c r="S386" s="90">
        <f t="shared" si="78"/>
        <v>0</v>
      </c>
      <c r="T386" s="90">
        <f t="shared" si="78"/>
        <v>0</v>
      </c>
      <c r="U386" s="101">
        <f t="shared" si="78"/>
        <v>0</v>
      </c>
      <c r="V386" s="71"/>
      <c r="W386" s="102">
        <f t="shared" si="79"/>
        <v>0</v>
      </c>
      <c r="X386" s="102">
        <f t="shared" si="79"/>
        <v>0</v>
      </c>
      <c r="Y386" s="90">
        <f t="shared" si="79"/>
        <v>0</v>
      </c>
      <c r="Z386" s="102">
        <f t="shared" si="79"/>
        <v>0</v>
      </c>
      <c r="AA386" s="101" t="str">
        <f t="shared" si="79"/>
        <v>EA</v>
      </c>
      <c r="AB386" s="71"/>
      <c r="AC386" s="91">
        <v>1</v>
      </c>
      <c r="AD386" s="91">
        <v>1</v>
      </c>
      <c r="AE386" s="92" t="str">
        <f t="shared" si="75"/>
        <v>Price Line 370</v>
      </c>
      <c r="AF386" s="93">
        <f t="shared" si="74"/>
        <v>0</v>
      </c>
    </row>
    <row r="387" spans="10:32" ht="12.5" hidden="1">
      <c r="J387" s="83">
        <f t="shared" si="69"/>
        <v>0</v>
      </c>
      <c r="K387" s="99">
        <v>371</v>
      </c>
      <c r="L387" s="100">
        <f t="shared" si="78"/>
        <v>1</v>
      </c>
      <c r="M387" s="90" t="str">
        <f t="shared" si="78"/>
        <v>Price Line 371</v>
      </c>
      <c r="N387" s="90">
        <f t="shared" si="78"/>
        <v>0</v>
      </c>
      <c r="O387" s="90">
        <f t="shared" si="78"/>
        <v>0</v>
      </c>
      <c r="P387" s="90">
        <f t="shared" si="78"/>
        <v>0</v>
      </c>
      <c r="Q387" s="90">
        <f t="shared" si="78"/>
        <v>0</v>
      </c>
      <c r="R387" s="90">
        <f t="shared" si="78"/>
        <v>0</v>
      </c>
      <c r="S387" s="90">
        <f t="shared" si="78"/>
        <v>0</v>
      </c>
      <c r="T387" s="90">
        <f t="shared" si="78"/>
        <v>0</v>
      </c>
      <c r="U387" s="101">
        <f t="shared" si="78"/>
        <v>0</v>
      </c>
      <c r="V387" s="71"/>
      <c r="W387" s="102">
        <f t="shared" si="79"/>
        <v>0</v>
      </c>
      <c r="X387" s="102">
        <f t="shared" si="79"/>
        <v>0</v>
      </c>
      <c r="Y387" s="90">
        <f t="shared" si="79"/>
        <v>0</v>
      </c>
      <c r="Z387" s="102">
        <f t="shared" si="79"/>
        <v>0</v>
      </c>
      <c r="AA387" s="101" t="str">
        <f t="shared" si="79"/>
        <v>EA</v>
      </c>
      <c r="AB387" s="71"/>
      <c r="AC387" s="91">
        <v>1</v>
      </c>
      <c r="AD387" s="91">
        <v>1</v>
      </c>
      <c r="AE387" s="92" t="str">
        <f t="shared" si="75"/>
        <v>Price Line 371</v>
      </c>
      <c r="AF387" s="93">
        <f t="shared" si="74"/>
        <v>0</v>
      </c>
    </row>
    <row r="388" spans="10:32" ht="12.5" hidden="1">
      <c r="J388" s="83">
        <f t="shared" si="69"/>
        <v>0</v>
      </c>
      <c r="K388" s="99">
        <v>372</v>
      </c>
      <c r="L388" s="100">
        <f t="shared" si="78"/>
        <v>1</v>
      </c>
      <c r="M388" s="90" t="str">
        <f t="shared" si="78"/>
        <v>Price Line 372</v>
      </c>
      <c r="N388" s="90">
        <f t="shared" si="78"/>
        <v>0</v>
      </c>
      <c r="O388" s="90">
        <f t="shared" si="78"/>
        <v>0</v>
      </c>
      <c r="P388" s="90">
        <f t="shared" si="78"/>
        <v>0</v>
      </c>
      <c r="Q388" s="90">
        <f t="shared" si="78"/>
        <v>0</v>
      </c>
      <c r="R388" s="90">
        <f t="shared" si="78"/>
        <v>0</v>
      </c>
      <c r="S388" s="90">
        <f t="shared" si="78"/>
        <v>0</v>
      </c>
      <c r="T388" s="90">
        <f t="shared" si="78"/>
        <v>0</v>
      </c>
      <c r="U388" s="101">
        <f t="shared" si="78"/>
        <v>0</v>
      </c>
      <c r="V388" s="71"/>
      <c r="W388" s="102">
        <f t="shared" si="79"/>
        <v>0</v>
      </c>
      <c r="X388" s="102">
        <f t="shared" si="79"/>
        <v>0</v>
      </c>
      <c r="Y388" s="90">
        <f t="shared" si="79"/>
        <v>0</v>
      </c>
      <c r="Z388" s="102">
        <f t="shared" si="79"/>
        <v>0</v>
      </c>
      <c r="AA388" s="101" t="str">
        <f t="shared" si="79"/>
        <v>EA</v>
      </c>
      <c r="AB388" s="71"/>
      <c r="AC388" s="91">
        <v>1</v>
      </c>
      <c r="AD388" s="91">
        <v>1</v>
      </c>
      <c r="AE388" s="92" t="str">
        <f t="shared" si="75"/>
        <v>Price Line 372</v>
      </c>
      <c r="AF388" s="93">
        <f t="shared" si="74"/>
        <v>0</v>
      </c>
    </row>
    <row r="389" spans="10:32" ht="12.5" hidden="1">
      <c r="J389" s="83">
        <f t="shared" si="69"/>
        <v>0</v>
      </c>
      <c r="K389" s="99">
        <v>373</v>
      </c>
      <c r="L389" s="100">
        <f t="shared" si="78"/>
        <v>1</v>
      </c>
      <c r="M389" s="90" t="str">
        <f t="shared" si="78"/>
        <v>Price Line 373</v>
      </c>
      <c r="N389" s="90">
        <f t="shared" si="78"/>
        <v>0</v>
      </c>
      <c r="O389" s="90">
        <f t="shared" si="78"/>
        <v>0</v>
      </c>
      <c r="P389" s="90">
        <f t="shared" si="78"/>
        <v>0</v>
      </c>
      <c r="Q389" s="90">
        <f t="shared" si="78"/>
        <v>0</v>
      </c>
      <c r="R389" s="90">
        <f t="shared" si="78"/>
        <v>0</v>
      </c>
      <c r="S389" s="90">
        <f t="shared" si="78"/>
        <v>0</v>
      </c>
      <c r="T389" s="90">
        <f t="shared" si="78"/>
        <v>0</v>
      </c>
      <c r="U389" s="101">
        <f t="shared" si="78"/>
        <v>0</v>
      </c>
      <c r="V389" s="71"/>
      <c r="W389" s="102">
        <f t="shared" si="79"/>
        <v>0</v>
      </c>
      <c r="X389" s="102">
        <f t="shared" si="79"/>
        <v>0</v>
      </c>
      <c r="Y389" s="90">
        <f t="shared" si="79"/>
        <v>0</v>
      </c>
      <c r="Z389" s="102">
        <f t="shared" si="79"/>
        <v>0</v>
      </c>
      <c r="AA389" s="101" t="str">
        <f t="shared" si="79"/>
        <v>EA</v>
      </c>
      <c r="AB389" s="71"/>
      <c r="AC389" s="91">
        <v>1</v>
      </c>
      <c r="AD389" s="91">
        <v>1</v>
      </c>
      <c r="AE389" s="92" t="str">
        <f t="shared" si="75"/>
        <v>Price Line 373</v>
      </c>
      <c r="AF389" s="93">
        <f t="shared" si="74"/>
        <v>0</v>
      </c>
    </row>
    <row r="390" spans="10:32" ht="12.5" hidden="1">
      <c r="J390" s="83">
        <f t="shared" si="69"/>
        <v>0</v>
      </c>
      <c r="K390" s="99">
        <v>374</v>
      </c>
      <c r="L390" s="100">
        <f t="shared" si="78"/>
        <v>1</v>
      </c>
      <c r="M390" s="90" t="str">
        <f t="shared" si="78"/>
        <v>Price Line 374</v>
      </c>
      <c r="N390" s="90">
        <f t="shared" si="78"/>
        <v>0</v>
      </c>
      <c r="O390" s="90">
        <f t="shared" si="78"/>
        <v>0</v>
      </c>
      <c r="P390" s="90">
        <f t="shared" si="78"/>
        <v>0</v>
      </c>
      <c r="Q390" s="90">
        <f t="shared" si="78"/>
        <v>0</v>
      </c>
      <c r="R390" s="90">
        <f t="shared" si="78"/>
        <v>0</v>
      </c>
      <c r="S390" s="90">
        <f t="shared" si="78"/>
        <v>0</v>
      </c>
      <c r="T390" s="90">
        <f t="shared" si="78"/>
        <v>0</v>
      </c>
      <c r="U390" s="101">
        <f t="shared" si="78"/>
        <v>0</v>
      </c>
      <c r="V390" s="71"/>
      <c r="W390" s="102">
        <f t="shared" si="79"/>
        <v>0</v>
      </c>
      <c r="X390" s="102">
        <f t="shared" si="79"/>
        <v>0</v>
      </c>
      <c r="Y390" s="90">
        <f t="shared" si="79"/>
        <v>0</v>
      </c>
      <c r="Z390" s="102">
        <f t="shared" si="79"/>
        <v>0</v>
      </c>
      <c r="AA390" s="101" t="str">
        <f t="shared" si="79"/>
        <v>EA</v>
      </c>
      <c r="AB390" s="71"/>
      <c r="AC390" s="91">
        <v>1</v>
      </c>
      <c r="AD390" s="91">
        <v>1</v>
      </c>
      <c r="AE390" s="92" t="str">
        <f t="shared" si="75"/>
        <v>Price Line 374</v>
      </c>
      <c r="AF390" s="93">
        <f t="shared" si="74"/>
        <v>0</v>
      </c>
    </row>
    <row r="391" spans="10:32" ht="12.5" hidden="1">
      <c r="J391" s="83">
        <f t="shared" si="69"/>
        <v>0</v>
      </c>
      <c r="K391" s="99">
        <v>375</v>
      </c>
      <c r="L391" s="100">
        <f t="shared" si="78"/>
        <v>1</v>
      </c>
      <c r="M391" s="90" t="str">
        <f t="shared" si="78"/>
        <v>Price Line 375</v>
      </c>
      <c r="N391" s="90">
        <f t="shared" si="78"/>
        <v>0</v>
      </c>
      <c r="O391" s="90">
        <f t="shared" si="78"/>
        <v>0</v>
      </c>
      <c r="P391" s="90">
        <f t="shared" si="78"/>
        <v>0</v>
      </c>
      <c r="Q391" s="90">
        <f t="shared" si="78"/>
        <v>0</v>
      </c>
      <c r="R391" s="90">
        <f t="shared" si="78"/>
        <v>0</v>
      </c>
      <c r="S391" s="90">
        <f t="shared" si="78"/>
        <v>0</v>
      </c>
      <c r="T391" s="90">
        <f t="shared" si="78"/>
        <v>0</v>
      </c>
      <c r="U391" s="101">
        <f t="shared" si="78"/>
        <v>0</v>
      </c>
      <c r="V391" s="71"/>
      <c r="W391" s="102">
        <f t="shared" si="79"/>
        <v>0</v>
      </c>
      <c r="X391" s="102">
        <f t="shared" si="79"/>
        <v>0</v>
      </c>
      <c r="Y391" s="90">
        <f t="shared" si="79"/>
        <v>0</v>
      </c>
      <c r="Z391" s="102">
        <f t="shared" si="79"/>
        <v>0</v>
      </c>
      <c r="AA391" s="101" t="str">
        <f t="shared" si="79"/>
        <v>EA</v>
      </c>
      <c r="AB391" s="71"/>
      <c r="AC391" s="91">
        <v>1</v>
      </c>
      <c r="AD391" s="91">
        <v>1</v>
      </c>
      <c r="AE391" s="92" t="str">
        <f t="shared" si="75"/>
        <v>Price Line 375</v>
      </c>
      <c r="AF391" s="93">
        <f t="shared" si="74"/>
        <v>0</v>
      </c>
    </row>
    <row r="392" spans="10:32" ht="12.5" hidden="1">
      <c r="J392" s="83">
        <f t="shared" si="69"/>
        <v>0</v>
      </c>
      <c r="K392" s="99">
        <v>376</v>
      </c>
      <c r="L392" s="100">
        <f t="shared" si="78"/>
        <v>1</v>
      </c>
      <c r="M392" s="90" t="str">
        <f t="shared" si="78"/>
        <v>Price Line 376</v>
      </c>
      <c r="N392" s="90">
        <f t="shared" si="78"/>
        <v>0</v>
      </c>
      <c r="O392" s="90">
        <f t="shared" si="78"/>
        <v>0</v>
      </c>
      <c r="P392" s="90">
        <f t="shared" si="78"/>
        <v>0</v>
      </c>
      <c r="Q392" s="90">
        <f t="shared" si="78"/>
        <v>0</v>
      </c>
      <c r="R392" s="90">
        <f t="shared" si="78"/>
        <v>0</v>
      </c>
      <c r="S392" s="90">
        <f t="shared" si="78"/>
        <v>0</v>
      </c>
      <c r="T392" s="90">
        <f t="shared" si="78"/>
        <v>0</v>
      </c>
      <c r="U392" s="101">
        <f t="shared" si="78"/>
        <v>0</v>
      </c>
      <c r="V392" s="71"/>
      <c r="W392" s="102">
        <f t="shared" si="79"/>
        <v>0</v>
      </c>
      <c r="X392" s="102">
        <f t="shared" si="79"/>
        <v>0</v>
      </c>
      <c r="Y392" s="90">
        <f t="shared" si="79"/>
        <v>0</v>
      </c>
      <c r="Z392" s="102">
        <f t="shared" si="79"/>
        <v>0</v>
      </c>
      <c r="AA392" s="101" t="str">
        <f t="shared" si="79"/>
        <v>EA</v>
      </c>
      <c r="AB392" s="71"/>
      <c r="AC392" s="91">
        <v>1</v>
      </c>
      <c r="AD392" s="91">
        <v>1</v>
      </c>
      <c r="AE392" s="92" t="str">
        <f t="shared" si="75"/>
        <v>Price Line 376</v>
      </c>
      <c r="AF392" s="93">
        <f t="shared" si="74"/>
        <v>0</v>
      </c>
    </row>
    <row r="393" spans="10:32" ht="12.5" hidden="1">
      <c r="J393" s="83">
        <f t="shared" si="69"/>
        <v>0</v>
      </c>
      <c r="K393" s="99">
        <v>377</v>
      </c>
      <c r="L393" s="100">
        <f t="shared" si="78"/>
        <v>1</v>
      </c>
      <c r="M393" s="90" t="str">
        <f t="shared" si="78"/>
        <v>Price Line 377</v>
      </c>
      <c r="N393" s="90">
        <f t="shared" si="78"/>
        <v>0</v>
      </c>
      <c r="O393" s="90">
        <f t="shared" si="78"/>
        <v>0</v>
      </c>
      <c r="P393" s="90">
        <f t="shared" si="78"/>
        <v>0</v>
      </c>
      <c r="Q393" s="90">
        <f t="shared" si="78"/>
        <v>0</v>
      </c>
      <c r="R393" s="90">
        <f t="shared" si="78"/>
        <v>0</v>
      </c>
      <c r="S393" s="90">
        <f t="shared" si="78"/>
        <v>0</v>
      </c>
      <c r="T393" s="90">
        <f t="shared" si="78"/>
        <v>0</v>
      </c>
      <c r="U393" s="101">
        <f t="shared" si="78"/>
        <v>0</v>
      </c>
      <c r="V393" s="71"/>
      <c r="W393" s="102">
        <f t="shared" si="79"/>
        <v>0</v>
      </c>
      <c r="X393" s="102">
        <f t="shared" si="79"/>
        <v>0</v>
      </c>
      <c r="Y393" s="90">
        <f t="shared" si="79"/>
        <v>0</v>
      </c>
      <c r="Z393" s="102">
        <f t="shared" si="79"/>
        <v>0</v>
      </c>
      <c r="AA393" s="101" t="str">
        <f t="shared" si="79"/>
        <v>EA</v>
      </c>
      <c r="AB393" s="71"/>
      <c r="AC393" s="91">
        <v>1</v>
      </c>
      <c r="AD393" s="91">
        <v>1</v>
      </c>
      <c r="AE393" s="92" t="str">
        <f t="shared" si="75"/>
        <v>Price Line 377</v>
      </c>
      <c r="AF393" s="93">
        <f t="shared" si="74"/>
        <v>0</v>
      </c>
    </row>
    <row r="394" spans="10:32" ht="12.5" hidden="1">
      <c r="J394" s="83">
        <f t="shared" si="69"/>
        <v>0</v>
      </c>
      <c r="K394" s="99">
        <v>378</v>
      </c>
      <c r="L394" s="100">
        <f t="shared" si="78"/>
        <v>1</v>
      </c>
      <c r="M394" s="90" t="str">
        <f t="shared" si="78"/>
        <v>Price Line 378</v>
      </c>
      <c r="N394" s="90">
        <f t="shared" si="78"/>
        <v>0</v>
      </c>
      <c r="O394" s="90">
        <f t="shared" si="78"/>
        <v>0</v>
      </c>
      <c r="P394" s="90">
        <f t="shared" si="78"/>
        <v>0</v>
      </c>
      <c r="Q394" s="90">
        <f t="shared" si="78"/>
        <v>0</v>
      </c>
      <c r="R394" s="90">
        <f t="shared" si="78"/>
        <v>0</v>
      </c>
      <c r="S394" s="90">
        <f t="shared" si="78"/>
        <v>0</v>
      </c>
      <c r="T394" s="90">
        <f t="shared" si="78"/>
        <v>0</v>
      </c>
      <c r="U394" s="101">
        <f t="shared" si="78"/>
        <v>0</v>
      </c>
      <c r="V394" s="71"/>
      <c r="W394" s="102">
        <f t="shared" si="79"/>
        <v>0</v>
      </c>
      <c r="X394" s="102">
        <f t="shared" si="79"/>
        <v>0</v>
      </c>
      <c r="Y394" s="90">
        <f t="shared" si="79"/>
        <v>0</v>
      </c>
      <c r="Z394" s="102">
        <f t="shared" si="79"/>
        <v>0</v>
      </c>
      <c r="AA394" s="101" t="str">
        <f t="shared" si="79"/>
        <v>EA</v>
      </c>
      <c r="AB394" s="71"/>
      <c r="AC394" s="91">
        <v>1</v>
      </c>
      <c r="AD394" s="91">
        <v>1</v>
      </c>
      <c r="AE394" s="92" t="str">
        <f t="shared" si="75"/>
        <v>Price Line 378</v>
      </c>
      <c r="AF394" s="93">
        <f t="shared" si="74"/>
        <v>0</v>
      </c>
    </row>
    <row r="395" spans="10:32" ht="12.5" hidden="1">
      <c r="J395" s="83">
        <f t="shared" si="69"/>
        <v>0</v>
      </c>
      <c r="K395" s="99">
        <v>379</v>
      </c>
      <c r="L395" s="100">
        <f t="shared" si="78"/>
        <v>1</v>
      </c>
      <c r="M395" s="90" t="str">
        <f t="shared" si="78"/>
        <v>Price Line 379</v>
      </c>
      <c r="N395" s="90">
        <f t="shared" si="78"/>
        <v>0</v>
      </c>
      <c r="O395" s="90">
        <f t="shared" si="78"/>
        <v>0</v>
      </c>
      <c r="P395" s="90">
        <f t="shared" si="78"/>
        <v>0</v>
      </c>
      <c r="Q395" s="90">
        <f t="shared" si="78"/>
        <v>0</v>
      </c>
      <c r="R395" s="90">
        <f t="shared" si="78"/>
        <v>0</v>
      </c>
      <c r="S395" s="90">
        <f t="shared" si="78"/>
        <v>0</v>
      </c>
      <c r="T395" s="90">
        <f t="shared" si="78"/>
        <v>0</v>
      </c>
      <c r="U395" s="101">
        <f t="shared" si="78"/>
        <v>0</v>
      </c>
      <c r="V395" s="71"/>
      <c r="W395" s="102">
        <f t="shared" si="79"/>
        <v>0</v>
      </c>
      <c r="X395" s="102">
        <f t="shared" si="79"/>
        <v>0</v>
      </c>
      <c r="Y395" s="90">
        <f t="shared" si="79"/>
        <v>0</v>
      </c>
      <c r="Z395" s="102">
        <f t="shared" si="79"/>
        <v>0</v>
      </c>
      <c r="AA395" s="101" t="str">
        <f t="shared" si="79"/>
        <v>EA</v>
      </c>
      <c r="AB395" s="71"/>
      <c r="AC395" s="91">
        <v>1</v>
      </c>
      <c r="AD395" s="91">
        <v>1</v>
      </c>
      <c r="AE395" s="92" t="str">
        <f t="shared" si="75"/>
        <v>Price Line 379</v>
      </c>
      <c r="AF395" s="93">
        <f t="shared" si="74"/>
        <v>0</v>
      </c>
    </row>
    <row r="396" spans="10:32" ht="12.5" hidden="1">
      <c r="J396" s="83">
        <f t="shared" si="69"/>
        <v>0</v>
      </c>
      <c r="K396" s="99">
        <v>380</v>
      </c>
      <c r="L396" s="100">
        <f t="shared" si="78"/>
        <v>1</v>
      </c>
      <c r="M396" s="90" t="str">
        <f t="shared" si="78"/>
        <v>Price Line 380</v>
      </c>
      <c r="N396" s="90">
        <f t="shared" si="78"/>
        <v>0</v>
      </c>
      <c r="O396" s="90">
        <f t="shared" si="78"/>
        <v>0</v>
      </c>
      <c r="P396" s="90">
        <f t="shared" si="78"/>
        <v>0</v>
      </c>
      <c r="Q396" s="90">
        <f t="shared" si="78"/>
        <v>0</v>
      </c>
      <c r="R396" s="90">
        <f t="shared" si="78"/>
        <v>0</v>
      </c>
      <c r="S396" s="90">
        <f t="shared" si="78"/>
        <v>0</v>
      </c>
      <c r="T396" s="90">
        <f t="shared" si="78"/>
        <v>0</v>
      </c>
      <c r="U396" s="101">
        <f t="shared" si="78"/>
        <v>0</v>
      </c>
      <c r="V396" s="71"/>
      <c r="W396" s="102">
        <f t="shared" si="79"/>
        <v>0</v>
      </c>
      <c r="X396" s="102">
        <f t="shared" si="79"/>
        <v>0</v>
      </c>
      <c r="Y396" s="90">
        <f t="shared" si="79"/>
        <v>0</v>
      </c>
      <c r="Z396" s="102">
        <f t="shared" si="79"/>
        <v>0</v>
      </c>
      <c r="AA396" s="101" t="str">
        <f t="shared" si="79"/>
        <v>EA</v>
      </c>
      <c r="AB396" s="71"/>
      <c r="AC396" s="91">
        <v>1</v>
      </c>
      <c r="AD396" s="91">
        <v>1</v>
      </c>
      <c r="AE396" s="92" t="str">
        <f t="shared" si="75"/>
        <v>Price Line 380</v>
      </c>
      <c r="AF396" s="93">
        <f t="shared" si="74"/>
        <v>0</v>
      </c>
    </row>
    <row r="397" spans="10:32" ht="12.5" hidden="1">
      <c r="J397" s="83">
        <f t="shared" si="69"/>
        <v>0</v>
      </c>
      <c r="K397" s="99">
        <v>381</v>
      </c>
      <c r="L397" s="100">
        <f t="shared" si="78"/>
        <v>1</v>
      </c>
      <c r="M397" s="90" t="str">
        <f t="shared" si="78"/>
        <v>Price Line 381</v>
      </c>
      <c r="N397" s="90">
        <f t="shared" si="78"/>
        <v>0</v>
      </c>
      <c r="O397" s="90">
        <f t="shared" si="78"/>
        <v>0</v>
      </c>
      <c r="P397" s="90">
        <f t="shared" si="78"/>
        <v>0</v>
      </c>
      <c r="Q397" s="90">
        <f t="shared" si="78"/>
        <v>0</v>
      </c>
      <c r="R397" s="90">
        <f t="shared" si="78"/>
        <v>0</v>
      </c>
      <c r="S397" s="90">
        <f t="shared" si="78"/>
        <v>0</v>
      </c>
      <c r="T397" s="90">
        <f t="shared" si="78"/>
        <v>0</v>
      </c>
      <c r="U397" s="101">
        <f t="shared" si="78"/>
        <v>0</v>
      </c>
      <c r="V397" s="71"/>
      <c r="W397" s="102">
        <f t="shared" si="79"/>
        <v>0</v>
      </c>
      <c r="X397" s="102">
        <f t="shared" si="79"/>
        <v>0</v>
      </c>
      <c r="Y397" s="90">
        <f t="shared" si="79"/>
        <v>0</v>
      </c>
      <c r="Z397" s="102">
        <f t="shared" si="79"/>
        <v>0</v>
      </c>
      <c r="AA397" s="101" t="str">
        <f t="shared" si="79"/>
        <v>EA</v>
      </c>
      <c r="AB397" s="71"/>
      <c r="AC397" s="91">
        <v>1</v>
      </c>
      <c r="AD397" s="91">
        <v>1</v>
      </c>
      <c r="AE397" s="92" t="str">
        <f t="shared" si="75"/>
        <v>Price Line 381</v>
      </c>
      <c r="AF397" s="93">
        <f t="shared" si="74"/>
        <v>0</v>
      </c>
    </row>
    <row r="398" spans="10:32" ht="12.5" hidden="1">
      <c r="J398" s="83">
        <f t="shared" si="69"/>
        <v>0</v>
      </c>
      <c r="K398" s="99">
        <v>382</v>
      </c>
      <c r="L398" s="100">
        <f t="shared" si="78"/>
        <v>1</v>
      </c>
      <c r="M398" s="90" t="str">
        <f t="shared" si="78"/>
        <v>Price Line 382</v>
      </c>
      <c r="N398" s="90">
        <f t="shared" si="78"/>
        <v>0</v>
      </c>
      <c r="O398" s="90">
        <f t="shared" si="78"/>
        <v>0</v>
      </c>
      <c r="P398" s="90">
        <f t="shared" si="78"/>
        <v>0</v>
      </c>
      <c r="Q398" s="90">
        <f t="shared" si="78"/>
        <v>0</v>
      </c>
      <c r="R398" s="90">
        <f t="shared" si="78"/>
        <v>0</v>
      </c>
      <c r="S398" s="90">
        <f t="shared" si="78"/>
        <v>0</v>
      </c>
      <c r="T398" s="90">
        <f t="shared" si="78"/>
        <v>0</v>
      </c>
      <c r="U398" s="101">
        <f t="shared" si="78"/>
        <v>0</v>
      </c>
      <c r="V398" s="71"/>
      <c r="W398" s="102">
        <f t="shared" si="79"/>
        <v>0</v>
      </c>
      <c r="X398" s="102">
        <f t="shared" si="79"/>
        <v>0</v>
      </c>
      <c r="Y398" s="90">
        <f t="shared" si="79"/>
        <v>0</v>
      </c>
      <c r="Z398" s="102">
        <f t="shared" si="79"/>
        <v>0</v>
      </c>
      <c r="AA398" s="101" t="str">
        <f t="shared" si="79"/>
        <v>EA</v>
      </c>
      <c r="AB398" s="71"/>
      <c r="AC398" s="91">
        <v>1</v>
      </c>
      <c r="AD398" s="91">
        <v>1</v>
      </c>
      <c r="AE398" s="92" t="str">
        <f t="shared" si="75"/>
        <v>Price Line 382</v>
      </c>
      <c r="AF398" s="93">
        <f t="shared" si="74"/>
        <v>0</v>
      </c>
    </row>
    <row r="399" spans="10:32" ht="12.5" hidden="1">
      <c r="J399" s="83">
        <f t="shared" si="69"/>
        <v>0</v>
      </c>
      <c r="K399" s="99">
        <v>383</v>
      </c>
      <c r="L399" s="100">
        <f t="shared" si="78"/>
        <v>1</v>
      </c>
      <c r="M399" s="90" t="str">
        <f t="shared" si="78"/>
        <v>Price Line 383</v>
      </c>
      <c r="N399" s="90">
        <f t="shared" si="78"/>
        <v>0</v>
      </c>
      <c r="O399" s="90">
        <f t="shared" si="78"/>
        <v>0</v>
      </c>
      <c r="P399" s="90">
        <f t="shared" si="78"/>
        <v>0</v>
      </c>
      <c r="Q399" s="90">
        <f t="shared" si="78"/>
        <v>0</v>
      </c>
      <c r="R399" s="90">
        <f t="shared" si="78"/>
        <v>0</v>
      </c>
      <c r="S399" s="90">
        <f t="shared" si="78"/>
        <v>0</v>
      </c>
      <c r="T399" s="90">
        <f t="shared" si="78"/>
        <v>0</v>
      </c>
      <c r="U399" s="101">
        <f t="shared" si="78"/>
        <v>0</v>
      </c>
      <c r="V399" s="71"/>
      <c r="W399" s="102">
        <f t="shared" si="79"/>
        <v>0</v>
      </c>
      <c r="X399" s="102">
        <f t="shared" si="79"/>
        <v>0</v>
      </c>
      <c r="Y399" s="90">
        <f t="shared" si="79"/>
        <v>0</v>
      </c>
      <c r="Z399" s="102">
        <f t="shared" si="79"/>
        <v>0</v>
      </c>
      <c r="AA399" s="101" t="str">
        <f t="shared" si="79"/>
        <v>EA</v>
      </c>
      <c r="AB399" s="71"/>
      <c r="AC399" s="91">
        <v>1</v>
      </c>
      <c r="AD399" s="91">
        <v>1</v>
      </c>
      <c r="AE399" s="92" t="str">
        <f t="shared" si="75"/>
        <v>Price Line 383</v>
      </c>
      <c r="AF399" s="93">
        <f t="shared" si="74"/>
        <v>0</v>
      </c>
    </row>
    <row r="400" spans="10:32" ht="12.5" hidden="1">
      <c r="J400" s="83">
        <f t="shared" si="69"/>
        <v>0</v>
      </c>
      <c r="K400" s="99">
        <v>384</v>
      </c>
      <c r="L400" s="100">
        <f t="shared" si="78"/>
        <v>1</v>
      </c>
      <c r="M400" s="90" t="str">
        <f t="shared" si="78"/>
        <v>Price Line 384</v>
      </c>
      <c r="N400" s="90">
        <f t="shared" si="78"/>
        <v>0</v>
      </c>
      <c r="O400" s="90">
        <f t="shared" si="78"/>
        <v>0</v>
      </c>
      <c r="P400" s="90">
        <f t="shared" si="78"/>
        <v>0</v>
      </c>
      <c r="Q400" s="90">
        <f t="shared" si="78"/>
        <v>0</v>
      </c>
      <c r="R400" s="90">
        <f t="shared" si="78"/>
        <v>0</v>
      </c>
      <c r="S400" s="90">
        <f t="shared" si="78"/>
        <v>0</v>
      </c>
      <c r="T400" s="90">
        <f t="shared" si="78"/>
        <v>0</v>
      </c>
      <c r="U400" s="101">
        <f t="shared" si="78"/>
        <v>0</v>
      </c>
      <c r="V400" s="71"/>
      <c r="W400" s="102">
        <f t="shared" si="79"/>
        <v>0</v>
      </c>
      <c r="X400" s="102">
        <f t="shared" si="79"/>
        <v>0</v>
      </c>
      <c r="Y400" s="90">
        <f t="shared" si="79"/>
        <v>0</v>
      </c>
      <c r="Z400" s="102">
        <f t="shared" si="79"/>
        <v>0</v>
      </c>
      <c r="AA400" s="101" t="str">
        <f t="shared" si="79"/>
        <v>EA</v>
      </c>
      <c r="AB400" s="71"/>
      <c r="AC400" s="91">
        <v>1</v>
      </c>
      <c r="AD400" s="91">
        <v>1</v>
      </c>
      <c r="AE400" s="92" t="str">
        <f t="shared" si="75"/>
        <v>Price Line 384</v>
      </c>
      <c r="AF400" s="93">
        <f t="shared" si="74"/>
        <v>0</v>
      </c>
    </row>
    <row r="401" spans="10:32" ht="12.5" hidden="1">
      <c r="J401" s="83">
        <f t="shared" ref="J401:J416" si="80">INDEX(J$420:J$1632,MATCH($K401,$K$420:$K$1632,0)+MATCH("Option "&amp;$D$9,$K$420:$K$1230,0)-1,1)</f>
        <v>0</v>
      </c>
      <c r="K401" s="99">
        <v>385</v>
      </c>
      <c r="L401" s="100">
        <f t="shared" ref="L401:U416" si="81">INDEX(L$420:L$1632,MATCH($K401,$K$420:$K$1632,0)+MATCH("Option "&amp;$D$9,$K$420:$K$1230,0)-1,1)</f>
        <v>1</v>
      </c>
      <c r="M401" s="90" t="str">
        <f t="shared" si="81"/>
        <v>Price Line 385</v>
      </c>
      <c r="N401" s="90">
        <f t="shared" si="81"/>
        <v>0</v>
      </c>
      <c r="O401" s="90">
        <f t="shared" si="81"/>
        <v>0</v>
      </c>
      <c r="P401" s="90">
        <f t="shared" si="81"/>
        <v>0</v>
      </c>
      <c r="Q401" s="90">
        <f t="shared" si="81"/>
        <v>0</v>
      </c>
      <c r="R401" s="90">
        <f t="shared" si="81"/>
        <v>0</v>
      </c>
      <c r="S401" s="90">
        <f t="shared" si="81"/>
        <v>0</v>
      </c>
      <c r="T401" s="90">
        <f t="shared" si="81"/>
        <v>0</v>
      </c>
      <c r="U401" s="101">
        <f t="shared" si="81"/>
        <v>0</v>
      </c>
      <c r="V401" s="71"/>
      <c r="W401" s="102">
        <f t="shared" ref="W401:AA416" si="82">INDEX(W$420:W$1632,MATCH($K401,$K$420:$K$1632,0)+MATCH("Option "&amp;$D$9,$K$420:$K$1230,0)-1,1)</f>
        <v>0</v>
      </c>
      <c r="X401" s="102">
        <f t="shared" si="82"/>
        <v>0</v>
      </c>
      <c r="Y401" s="90">
        <f t="shared" si="82"/>
        <v>0</v>
      </c>
      <c r="Z401" s="102">
        <f t="shared" si="82"/>
        <v>0</v>
      </c>
      <c r="AA401" s="101" t="str">
        <f t="shared" si="82"/>
        <v>EA</v>
      </c>
      <c r="AB401" s="71"/>
      <c r="AC401" s="91">
        <v>1</v>
      </c>
      <c r="AD401" s="91">
        <v>1</v>
      </c>
      <c r="AE401" s="92" t="str">
        <f t="shared" si="75"/>
        <v>Price Line 385</v>
      </c>
      <c r="AF401" s="93">
        <f t="shared" si="74"/>
        <v>0</v>
      </c>
    </row>
    <row r="402" spans="10:32" ht="12.5" hidden="1">
      <c r="J402" s="83">
        <f t="shared" si="80"/>
        <v>0</v>
      </c>
      <c r="K402" s="99">
        <v>386</v>
      </c>
      <c r="L402" s="100">
        <f t="shared" si="81"/>
        <v>1</v>
      </c>
      <c r="M402" s="90" t="str">
        <f t="shared" si="81"/>
        <v>Price Line 386</v>
      </c>
      <c r="N402" s="90">
        <f t="shared" si="81"/>
        <v>0</v>
      </c>
      <c r="O402" s="90">
        <f t="shared" si="81"/>
        <v>0</v>
      </c>
      <c r="P402" s="90">
        <f t="shared" si="81"/>
        <v>0</v>
      </c>
      <c r="Q402" s="90">
        <f t="shared" si="81"/>
        <v>0</v>
      </c>
      <c r="R402" s="90">
        <f t="shared" si="81"/>
        <v>0</v>
      </c>
      <c r="S402" s="90">
        <f t="shared" si="81"/>
        <v>0</v>
      </c>
      <c r="T402" s="90">
        <f t="shared" si="81"/>
        <v>0</v>
      </c>
      <c r="U402" s="101">
        <f t="shared" si="81"/>
        <v>0</v>
      </c>
      <c r="V402" s="71"/>
      <c r="W402" s="102">
        <f t="shared" si="82"/>
        <v>0</v>
      </c>
      <c r="X402" s="102">
        <f t="shared" si="82"/>
        <v>0</v>
      </c>
      <c r="Y402" s="90">
        <f t="shared" si="82"/>
        <v>0</v>
      </c>
      <c r="Z402" s="102">
        <f t="shared" si="82"/>
        <v>0</v>
      </c>
      <c r="AA402" s="101" t="str">
        <f t="shared" si="82"/>
        <v>EA</v>
      </c>
      <c r="AB402" s="71"/>
      <c r="AC402" s="91">
        <v>1</v>
      </c>
      <c r="AD402" s="91">
        <v>1</v>
      </c>
      <c r="AE402" s="92" t="str">
        <f t="shared" si="75"/>
        <v>Price Line 386</v>
      </c>
      <c r="AF402" s="93">
        <f t="shared" si="74"/>
        <v>0</v>
      </c>
    </row>
    <row r="403" spans="10:32" ht="12.5" hidden="1">
      <c r="J403" s="83">
        <f t="shared" si="80"/>
        <v>0</v>
      </c>
      <c r="K403" s="99">
        <v>387</v>
      </c>
      <c r="L403" s="100">
        <f t="shared" si="81"/>
        <v>1</v>
      </c>
      <c r="M403" s="90" t="str">
        <f t="shared" si="81"/>
        <v>Price Line 387</v>
      </c>
      <c r="N403" s="90">
        <f t="shared" si="81"/>
        <v>0</v>
      </c>
      <c r="O403" s="90">
        <f t="shared" si="81"/>
        <v>0</v>
      </c>
      <c r="P403" s="90">
        <f t="shared" si="81"/>
        <v>0</v>
      </c>
      <c r="Q403" s="90">
        <f t="shared" si="81"/>
        <v>0</v>
      </c>
      <c r="R403" s="90">
        <f t="shared" si="81"/>
        <v>0</v>
      </c>
      <c r="S403" s="90">
        <f t="shared" si="81"/>
        <v>0</v>
      </c>
      <c r="T403" s="90">
        <f t="shared" si="81"/>
        <v>0</v>
      </c>
      <c r="U403" s="101">
        <f t="shared" si="81"/>
        <v>0</v>
      </c>
      <c r="V403" s="71"/>
      <c r="W403" s="102">
        <f t="shared" si="82"/>
        <v>0</v>
      </c>
      <c r="X403" s="102">
        <f t="shared" si="82"/>
        <v>0</v>
      </c>
      <c r="Y403" s="90">
        <f t="shared" si="82"/>
        <v>0</v>
      </c>
      <c r="Z403" s="102">
        <f t="shared" si="82"/>
        <v>0</v>
      </c>
      <c r="AA403" s="101" t="str">
        <f t="shared" si="82"/>
        <v>EA</v>
      </c>
      <c r="AB403" s="71"/>
      <c r="AC403" s="91">
        <v>1</v>
      </c>
      <c r="AD403" s="91">
        <v>1</v>
      </c>
      <c r="AE403" s="92" t="str">
        <f t="shared" si="75"/>
        <v>Price Line 387</v>
      </c>
      <c r="AF403" s="93">
        <f t="shared" si="74"/>
        <v>0</v>
      </c>
    </row>
    <row r="404" spans="10:32" ht="12.5" hidden="1">
      <c r="J404" s="83">
        <f t="shared" si="80"/>
        <v>0</v>
      </c>
      <c r="K404" s="99">
        <v>388</v>
      </c>
      <c r="L404" s="100">
        <f t="shared" si="81"/>
        <v>1</v>
      </c>
      <c r="M404" s="90" t="str">
        <f t="shared" si="81"/>
        <v>Price Line 388</v>
      </c>
      <c r="N404" s="90">
        <f t="shared" si="81"/>
        <v>0</v>
      </c>
      <c r="O404" s="90">
        <f t="shared" si="81"/>
        <v>0</v>
      </c>
      <c r="P404" s="90">
        <f t="shared" si="81"/>
        <v>0</v>
      </c>
      <c r="Q404" s="90">
        <f t="shared" si="81"/>
        <v>0</v>
      </c>
      <c r="R404" s="90">
        <f t="shared" si="81"/>
        <v>0</v>
      </c>
      <c r="S404" s="90">
        <f t="shared" si="81"/>
        <v>0</v>
      </c>
      <c r="T404" s="90">
        <f t="shared" si="81"/>
        <v>0</v>
      </c>
      <c r="U404" s="101">
        <f t="shared" si="81"/>
        <v>0</v>
      </c>
      <c r="V404" s="71"/>
      <c r="W404" s="102">
        <f t="shared" si="82"/>
        <v>0</v>
      </c>
      <c r="X404" s="102">
        <f t="shared" si="82"/>
        <v>0</v>
      </c>
      <c r="Y404" s="90">
        <f t="shared" si="82"/>
        <v>0</v>
      </c>
      <c r="Z404" s="102">
        <f t="shared" si="82"/>
        <v>0</v>
      </c>
      <c r="AA404" s="101" t="str">
        <f t="shared" si="82"/>
        <v>EA</v>
      </c>
      <c r="AB404" s="71"/>
      <c r="AC404" s="91">
        <v>1</v>
      </c>
      <c r="AD404" s="91">
        <v>1</v>
      </c>
      <c r="AE404" s="92" t="str">
        <f t="shared" si="75"/>
        <v>Price Line 388</v>
      </c>
      <c r="AF404" s="93">
        <f t="shared" si="74"/>
        <v>0</v>
      </c>
    </row>
    <row r="405" spans="10:32" ht="12.5" hidden="1">
      <c r="J405" s="83">
        <f t="shared" si="80"/>
        <v>0</v>
      </c>
      <c r="K405" s="99">
        <v>389</v>
      </c>
      <c r="L405" s="100">
        <f t="shared" si="81"/>
        <v>1</v>
      </c>
      <c r="M405" s="90" t="str">
        <f t="shared" si="81"/>
        <v>Price Line 389</v>
      </c>
      <c r="N405" s="90">
        <f t="shared" si="81"/>
        <v>0</v>
      </c>
      <c r="O405" s="90">
        <f t="shared" si="81"/>
        <v>0</v>
      </c>
      <c r="P405" s="90">
        <f t="shared" si="81"/>
        <v>0</v>
      </c>
      <c r="Q405" s="90">
        <f t="shared" si="81"/>
        <v>0</v>
      </c>
      <c r="R405" s="90">
        <f t="shared" si="81"/>
        <v>0</v>
      </c>
      <c r="S405" s="90">
        <f t="shared" si="81"/>
        <v>0</v>
      </c>
      <c r="T405" s="90">
        <f t="shared" si="81"/>
        <v>0</v>
      </c>
      <c r="U405" s="101">
        <f t="shared" si="81"/>
        <v>0</v>
      </c>
      <c r="V405" s="71"/>
      <c r="W405" s="102">
        <f t="shared" si="82"/>
        <v>0</v>
      </c>
      <c r="X405" s="102">
        <f t="shared" si="82"/>
        <v>0</v>
      </c>
      <c r="Y405" s="90">
        <f t="shared" si="82"/>
        <v>0</v>
      </c>
      <c r="Z405" s="102">
        <f t="shared" si="82"/>
        <v>0</v>
      </c>
      <c r="AA405" s="101" t="str">
        <f t="shared" si="82"/>
        <v>EA</v>
      </c>
      <c r="AB405" s="71"/>
      <c r="AC405" s="91">
        <v>1</v>
      </c>
      <c r="AD405" s="91">
        <v>1</v>
      </c>
      <c r="AE405" s="92" t="str">
        <f t="shared" si="75"/>
        <v>Price Line 389</v>
      </c>
      <c r="AF405" s="93">
        <f t="shared" si="74"/>
        <v>0</v>
      </c>
    </row>
    <row r="406" spans="10:32" ht="12.5" hidden="1">
      <c r="J406" s="83">
        <f t="shared" si="80"/>
        <v>0</v>
      </c>
      <c r="K406" s="99">
        <v>390</v>
      </c>
      <c r="L406" s="100">
        <f t="shared" si="81"/>
        <v>1</v>
      </c>
      <c r="M406" s="90" t="str">
        <f t="shared" si="81"/>
        <v>Price Line 390</v>
      </c>
      <c r="N406" s="90">
        <f t="shared" si="81"/>
        <v>0</v>
      </c>
      <c r="O406" s="90">
        <f t="shared" si="81"/>
        <v>0</v>
      </c>
      <c r="P406" s="90">
        <f t="shared" si="81"/>
        <v>0</v>
      </c>
      <c r="Q406" s="90">
        <f t="shared" si="81"/>
        <v>0</v>
      </c>
      <c r="R406" s="90">
        <f t="shared" si="81"/>
        <v>0</v>
      </c>
      <c r="S406" s="90">
        <f t="shared" si="81"/>
        <v>0</v>
      </c>
      <c r="T406" s="90">
        <f t="shared" si="81"/>
        <v>0</v>
      </c>
      <c r="U406" s="101">
        <f t="shared" si="81"/>
        <v>0</v>
      </c>
      <c r="V406" s="71"/>
      <c r="W406" s="102">
        <f t="shared" si="82"/>
        <v>0</v>
      </c>
      <c r="X406" s="102">
        <f t="shared" si="82"/>
        <v>0</v>
      </c>
      <c r="Y406" s="90">
        <f t="shared" si="82"/>
        <v>0</v>
      </c>
      <c r="Z406" s="102">
        <f t="shared" si="82"/>
        <v>0</v>
      </c>
      <c r="AA406" s="101" t="str">
        <f t="shared" si="82"/>
        <v>EA</v>
      </c>
      <c r="AB406" s="71"/>
      <c r="AC406" s="91">
        <v>1</v>
      </c>
      <c r="AD406" s="91">
        <v>1</v>
      </c>
      <c r="AE406" s="92" t="str">
        <f t="shared" si="75"/>
        <v>Price Line 390</v>
      </c>
      <c r="AF406" s="93">
        <f t="shared" si="74"/>
        <v>0</v>
      </c>
    </row>
    <row r="407" spans="10:32" ht="12.5" hidden="1">
      <c r="J407" s="83">
        <f t="shared" si="80"/>
        <v>0</v>
      </c>
      <c r="K407" s="99">
        <v>391</v>
      </c>
      <c r="L407" s="100">
        <f t="shared" si="81"/>
        <v>1</v>
      </c>
      <c r="M407" s="90" t="str">
        <f t="shared" si="81"/>
        <v>Price Line 391</v>
      </c>
      <c r="N407" s="90">
        <f t="shared" si="81"/>
        <v>0</v>
      </c>
      <c r="O407" s="90">
        <f t="shared" si="81"/>
        <v>0</v>
      </c>
      <c r="P407" s="90">
        <f t="shared" si="81"/>
        <v>0</v>
      </c>
      <c r="Q407" s="90">
        <f t="shared" si="81"/>
        <v>0</v>
      </c>
      <c r="R407" s="90">
        <f t="shared" si="81"/>
        <v>0</v>
      </c>
      <c r="S407" s="90">
        <f t="shared" si="81"/>
        <v>0</v>
      </c>
      <c r="T407" s="90">
        <f t="shared" si="81"/>
        <v>0</v>
      </c>
      <c r="U407" s="101">
        <f t="shared" si="81"/>
        <v>0</v>
      </c>
      <c r="V407" s="71"/>
      <c r="W407" s="102">
        <f t="shared" si="82"/>
        <v>0</v>
      </c>
      <c r="X407" s="102">
        <f t="shared" si="82"/>
        <v>0</v>
      </c>
      <c r="Y407" s="90">
        <f t="shared" si="82"/>
        <v>0</v>
      </c>
      <c r="Z407" s="102">
        <f t="shared" si="82"/>
        <v>0</v>
      </c>
      <c r="AA407" s="101" t="str">
        <f t="shared" si="82"/>
        <v>EA</v>
      </c>
      <c r="AB407" s="71"/>
      <c r="AC407" s="91">
        <v>1</v>
      </c>
      <c r="AD407" s="91">
        <v>1</v>
      </c>
      <c r="AE407" s="92" t="str">
        <f t="shared" si="75"/>
        <v>Price Line 391</v>
      </c>
      <c r="AF407" s="93">
        <f t="shared" si="74"/>
        <v>0</v>
      </c>
    </row>
    <row r="408" spans="10:32" ht="12.5" hidden="1">
      <c r="J408" s="83">
        <f t="shared" si="80"/>
        <v>0</v>
      </c>
      <c r="K408" s="99">
        <v>392</v>
      </c>
      <c r="L408" s="100">
        <f t="shared" si="81"/>
        <v>1</v>
      </c>
      <c r="M408" s="90" t="str">
        <f t="shared" si="81"/>
        <v>Price Line 392</v>
      </c>
      <c r="N408" s="90">
        <f t="shared" si="81"/>
        <v>0</v>
      </c>
      <c r="O408" s="90">
        <f t="shared" si="81"/>
        <v>0</v>
      </c>
      <c r="P408" s="90">
        <f t="shared" si="81"/>
        <v>0</v>
      </c>
      <c r="Q408" s="90">
        <f t="shared" si="81"/>
        <v>0</v>
      </c>
      <c r="R408" s="90">
        <f t="shared" si="81"/>
        <v>0</v>
      </c>
      <c r="S408" s="90">
        <f t="shared" si="81"/>
        <v>0</v>
      </c>
      <c r="T408" s="90">
        <f t="shared" si="81"/>
        <v>0</v>
      </c>
      <c r="U408" s="101">
        <f t="shared" si="81"/>
        <v>0</v>
      </c>
      <c r="V408" s="71"/>
      <c r="W408" s="102">
        <f t="shared" si="82"/>
        <v>0</v>
      </c>
      <c r="X408" s="102">
        <f t="shared" si="82"/>
        <v>0</v>
      </c>
      <c r="Y408" s="90">
        <f t="shared" si="82"/>
        <v>0</v>
      </c>
      <c r="Z408" s="102">
        <f t="shared" si="82"/>
        <v>0</v>
      </c>
      <c r="AA408" s="101" t="str">
        <f t="shared" si="82"/>
        <v>EA</v>
      </c>
      <c r="AB408" s="71"/>
      <c r="AC408" s="91">
        <v>1</v>
      </c>
      <c r="AD408" s="91">
        <v>1</v>
      </c>
      <c r="AE408" s="92" t="str">
        <f t="shared" si="75"/>
        <v>Price Line 392</v>
      </c>
      <c r="AF408" s="93">
        <f t="shared" si="74"/>
        <v>0</v>
      </c>
    </row>
    <row r="409" spans="10:32" ht="12.5" hidden="1">
      <c r="J409" s="83">
        <f t="shared" si="80"/>
        <v>0</v>
      </c>
      <c r="K409" s="99">
        <v>393</v>
      </c>
      <c r="L409" s="100">
        <f t="shared" si="81"/>
        <v>1</v>
      </c>
      <c r="M409" s="90" t="str">
        <f t="shared" si="81"/>
        <v>Price Line 393</v>
      </c>
      <c r="N409" s="90">
        <f t="shared" si="81"/>
        <v>0</v>
      </c>
      <c r="O409" s="90">
        <f t="shared" si="81"/>
        <v>0</v>
      </c>
      <c r="P409" s="90">
        <f t="shared" si="81"/>
        <v>0</v>
      </c>
      <c r="Q409" s="90">
        <f t="shared" si="81"/>
        <v>0</v>
      </c>
      <c r="R409" s="90">
        <f t="shared" si="81"/>
        <v>0</v>
      </c>
      <c r="S409" s="90">
        <f t="shared" si="81"/>
        <v>0</v>
      </c>
      <c r="T409" s="90">
        <f t="shared" si="81"/>
        <v>0</v>
      </c>
      <c r="U409" s="101">
        <f t="shared" si="81"/>
        <v>0</v>
      </c>
      <c r="V409" s="71"/>
      <c r="W409" s="102">
        <f t="shared" si="82"/>
        <v>0</v>
      </c>
      <c r="X409" s="102">
        <f t="shared" si="82"/>
        <v>0</v>
      </c>
      <c r="Y409" s="90">
        <f t="shared" si="82"/>
        <v>0</v>
      </c>
      <c r="Z409" s="102">
        <f t="shared" si="82"/>
        <v>0</v>
      </c>
      <c r="AA409" s="101" t="str">
        <f t="shared" si="82"/>
        <v>EA</v>
      </c>
      <c r="AB409" s="71"/>
      <c r="AC409" s="91">
        <v>1</v>
      </c>
      <c r="AD409" s="91">
        <v>1</v>
      </c>
      <c r="AE409" s="92" t="str">
        <f t="shared" si="75"/>
        <v>Price Line 393</v>
      </c>
      <c r="AF409" s="93">
        <f t="shared" si="74"/>
        <v>0</v>
      </c>
    </row>
    <row r="410" spans="10:32" ht="12.5" hidden="1">
      <c r="J410" s="83">
        <f t="shared" si="80"/>
        <v>0</v>
      </c>
      <c r="K410" s="99">
        <v>394</v>
      </c>
      <c r="L410" s="100">
        <f t="shared" si="81"/>
        <v>1</v>
      </c>
      <c r="M410" s="90" t="str">
        <f t="shared" si="81"/>
        <v>Price Line 394</v>
      </c>
      <c r="N410" s="90">
        <f t="shared" si="81"/>
        <v>0</v>
      </c>
      <c r="O410" s="90">
        <f t="shared" si="81"/>
        <v>0</v>
      </c>
      <c r="P410" s="90">
        <f t="shared" si="81"/>
        <v>0</v>
      </c>
      <c r="Q410" s="90">
        <f t="shared" si="81"/>
        <v>0</v>
      </c>
      <c r="R410" s="90">
        <f t="shared" si="81"/>
        <v>0</v>
      </c>
      <c r="S410" s="90">
        <f t="shared" si="81"/>
        <v>0</v>
      </c>
      <c r="T410" s="90">
        <f t="shared" si="81"/>
        <v>0</v>
      </c>
      <c r="U410" s="101">
        <f t="shared" si="81"/>
        <v>0</v>
      </c>
      <c r="V410" s="71"/>
      <c r="W410" s="102">
        <f t="shared" si="82"/>
        <v>0</v>
      </c>
      <c r="X410" s="102">
        <f t="shared" si="82"/>
        <v>0</v>
      </c>
      <c r="Y410" s="90">
        <f t="shared" si="82"/>
        <v>0</v>
      </c>
      <c r="Z410" s="102">
        <f t="shared" si="82"/>
        <v>0</v>
      </c>
      <c r="AA410" s="101" t="str">
        <f t="shared" si="82"/>
        <v>EA</v>
      </c>
      <c r="AB410" s="71"/>
      <c r="AC410" s="91">
        <v>1</v>
      </c>
      <c r="AD410" s="91">
        <v>1</v>
      </c>
      <c r="AE410" s="92" t="str">
        <f t="shared" si="75"/>
        <v>Price Line 394</v>
      </c>
      <c r="AF410" s="93">
        <f t="shared" si="74"/>
        <v>0</v>
      </c>
    </row>
    <row r="411" spans="10:32" ht="12.5" hidden="1">
      <c r="J411" s="83">
        <f t="shared" si="80"/>
        <v>0</v>
      </c>
      <c r="K411" s="99">
        <v>395</v>
      </c>
      <c r="L411" s="100">
        <f t="shared" si="81"/>
        <v>1</v>
      </c>
      <c r="M411" s="90" t="str">
        <f t="shared" si="81"/>
        <v>Price Line 395</v>
      </c>
      <c r="N411" s="90">
        <f t="shared" si="81"/>
        <v>0</v>
      </c>
      <c r="O411" s="90">
        <f t="shared" si="81"/>
        <v>0</v>
      </c>
      <c r="P411" s="90">
        <f t="shared" si="81"/>
        <v>0</v>
      </c>
      <c r="Q411" s="90">
        <f t="shared" si="81"/>
        <v>0</v>
      </c>
      <c r="R411" s="90">
        <f t="shared" si="81"/>
        <v>0</v>
      </c>
      <c r="S411" s="90">
        <f t="shared" si="81"/>
        <v>0</v>
      </c>
      <c r="T411" s="90">
        <f t="shared" si="81"/>
        <v>0</v>
      </c>
      <c r="U411" s="101">
        <f t="shared" si="81"/>
        <v>0</v>
      </c>
      <c r="V411" s="71"/>
      <c r="W411" s="102">
        <f t="shared" si="82"/>
        <v>0</v>
      </c>
      <c r="X411" s="102">
        <f t="shared" si="82"/>
        <v>0</v>
      </c>
      <c r="Y411" s="90">
        <f t="shared" si="82"/>
        <v>0</v>
      </c>
      <c r="Z411" s="102">
        <f t="shared" si="82"/>
        <v>0</v>
      </c>
      <c r="AA411" s="101" t="str">
        <f t="shared" si="82"/>
        <v>EA</v>
      </c>
      <c r="AB411" s="71"/>
      <c r="AC411" s="91">
        <v>1</v>
      </c>
      <c r="AD411" s="91">
        <v>1</v>
      </c>
      <c r="AE411" s="92" t="str">
        <f t="shared" si="75"/>
        <v>Price Line 395</v>
      </c>
      <c r="AF411" s="93">
        <f t="shared" si="74"/>
        <v>0</v>
      </c>
    </row>
    <row r="412" spans="10:32" ht="12.5" hidden="1">
      <c r="J412" s="83">
        <f t="shared" si="80"/>
        <v>0</v>
      </c>
      <c r="K412" s="99">
        <v>396</v>
      </c>
      <c r="L412" s="100">
        <f t="shared" si="81"/>
        <v>1</v>
      </c>
      <c r="M412" s="90" t="str">
        <f t="shared" si="81"/>
        <v>Price Line 396</v>
      </c>
      <c r="N412" s="90">
        <f t="shared" si="81"/>
        <v>0</v>
      </c>
      <c r="O412" s="90">
        <f t="shared" si="81"/>
        <v>0</v>
      </c>
      <c r="P412" s="90">
        <f t="shared" si="81"/>
        <v>0</v>
      </c>
      <c r="Q412" s="90">
        <f t="shared" si="81"/>
        <v>0</v>
      </c>
      <c r="R412" s="90">
        <f t="shared" si="81"/>
        <v>0</v>
      </c>
      <c r="S412" s="90">
        <f t="shared" si="81"/>
        <v>0</v>
      </c>
      <c r="T412" s="90">
        <f t="shared" si="81"/>
        <v>0</v>
      </c>
      <c r="U412" s="101">
        <f t="shared" si="81"/>
        <v>0</v>
      </c>
      <c r="V412" s="71"/>
      <c r="W412" s="102">
        <f t="shared" si="82"/>
        <v>0</v>
      </c>
      <c r="X412" s="102">
        <f t="shared" si="82"/>
        <v>0</v>
      </c>
      <c r="Y412" s="90">
        <f t="shared" si="82"/>
        <v>0</v>
      </c>
      <c r="Z412" s="102">
        <f t="shared" si="82"/>
        <v>0</v>
      </c>
      <c r="AA412" s="101" t="str">
        <f t="shared" si="82"/>
        <v>EA</v>
      </c>
      <c r="AB412" s="71"/>
      <c r="AC412" s="91">
        <v>1</v>
      </c>
      <c r="AD412" s="91">
        <v>1</v>
      </c>
      <c r="AE412" s="92" t="str">
        <f t="shared" si="75"/>
        <v>Price Line 396</v>
      </c>
      <c r="AF412" s="93">
        <f t="shared" si="74"/>
        <v>0</v>
      </c>
    </row>
    <row r="413" spans="10:32" ht="12.5" hidden="1">
      <c r="J413" s="83">
        <f t="shared" si="80"/>
        <v>0</v>
      </c>
      <c r="K413" s="99">
        <v>397</v>
      </c>
      <c r="L413" s="100">
        <f t="shared" si="81"/>
        <v>1</v>
      </c>
      <c r="M413" s="90" t="str">
        <f t="shared" si="81"/>
        <v>Price Line 397</v>
      </c>
      <c r="N413" s="90">
        <f t="shared" si="81"/>
        <v>0</v>
      </c>
      <c r="O413" s="90">
        <f t="shared" si="81"/>
        <v>0</v>
      </c>
      <c r="P413" s="90">
        <f t="shared" si="81"/>
        <v>0</v>
      </c>
      <c r="Q413" s="90">
        <f t="shared" si="81"/>
        <v>0</v>
      </c>
      <c r="R413" s="90">
        <f t="shared" si="81"/>
        <v>0</v>
      </c>
      <c r="S413" s="90">
        <f t="shared" si="81"/>
        <v>0</v>
      </c>
      <c r="T413" s="90">
        <f t="shared" si="81"/>
        <v>0</v>
      </c>
      <c r="U413" s="101">
        <f t="shared" si="81"/>
        <v>0</v>
      </c>
      <c r="V413" s="71"/>
      <c r="W413" s="102">
        <f t="shared" si="82"/>
        <v>0</v>
      </c>
      <c r="X413" s="102">
        <f t="shared" si="82"/>
        <v>0</v>
      </c>
      <c r="Y413" s="90">
        <f t="shared" si="82"/>
        <v>0</v>
      </c>
      <c r="Z413" s="102">
        <f t="shared" si="82"/>
        <v>0</v>
      </c>
      <c r="AA413" s="101" t="str">
        <f t="shared" si="82"/>
        <v>EA</v>
      </c>
      <c r="AB413" s="71"/>
      <c r="AC413" s="91">
        <v>1</v>
      </c>
      <c r="AD413" s="91">
        <v>1</v>
      </c>
      <c r="AE413" s="92" t="str">
        <f t="shared" si="75"/>
        <v>Price Line 397</v>
      </c>
      <c r="AF413" s="93">
        <f t="shared" si="74"/>
        <v>0</v>
      </c>
    </row>
    <row r="414" spans="10:32" ht="12.5" hidden="1">
      <c r="J414" s="83">
        <f t="shared" si="80"/>
        <v>0</v>
      </c>
      <c r="K414" s="99">
        <v>398</v>
      </c>
      <c r="L414" s="100">
        <f t="shared" si="81"/>
        <v>1</v>
      </c>
      <c r="M414" s="90" t="str">
        <f t="shared" si="81"/>
        <v>Price Line 398</v>
      </c>
      <c r="N414" s="90">
        <f t="shared" si="81"/>
        <v>0</v>
      </c>
      <c r="O414" s="90">
        <f t="shared" si="81"/>
        <v>0</v>
      </c>
      <c r="P414" s="90">
        <f t="shared" si="81"/>
        <v>0</v>
      </c>
      <c r="Q414" s="90">
        <f t="shared" si="81"/>
        <v>0</v>
      </c>
      <c r="R414" s="90">
        <f t="shared" si="81"/>
        <v>0</v>
      </c>
      <c r="S414" s="90">
        <f t="shared" si="81"/>
        <v>0</v>
      </c>
      <c r="T414" s="90">
        <f t="shared" si="81"/>
        <v>0</v>
      </c>
      <c r="U414" s="101">
        <f t="shared" si="81"/>
        <v>0</v>
      </c>
      <c r="V414" s="71"/>
      <c r="W414" s="102">
        <f t="shared" si="82"/>
        <v>0</v>
      </c>
      <c r="X414" s="102">
        <f t="shared" si="82"/>
        <v>0</v>
      </c>
      <c r="Y414" s="90">
        <f t="shared" si="82"/>
        <v>0</v>
      </c>
      <c r="Z414" s="102">
        <f t="shared" si="82"/>
        <v>0</v>
      </c>
      <c r="AA414" s="101" t="str">
        <f t="shared" si="82"/>
        <v>EA</v>
      </c>
      <c r="AB414" s="71"/>
      <c r="AC414" s="91">
        <v>1</v>
      </c>
      <c r="AD414" s="91">
        <v>1</v>
      </c>
      <c r="AE414" s="92" t="str">
        <f t="shared" si="75"/>
        <v>Price Line 398</v>
      </c>
      <c r="AF414" s="93">
        <f t="shared" si="74"/>
        <v>0</v>
      </c>
    </row>
    <row r="415" spans="10:32" ht="12.5" hidden="1">
      <c r="J415" s="83">
        <f t="shared" si="80"/>
        <v>0</v>
      </c>
      <c r="K415" s="99">
        <v>399</v>
      </c>
      <c r="L415" s="100">
        <f t="shared" si="81"/>
        <v>1</v>
      </c>
      <c r="M415" s="90" t="str">
        <f t="shared" si="81"/>
        <v>Price Line 399</v>
      </c>
      <c r="N415" s="90">
        <f t="shared" si="81"/>
        <v>0</v>
      </c>
      <c r="O415" s="90">
        <f t="shared" si="81"/>
        <v>0</v>
      </c>
      <c r="P415" s="90">
        <f t="shared" si="81"/>
        <v>0</v>
      </c>
      <c r="Q415" s="90">
        <f t="shared" si="81"/>
        <v>0</v>
      </c>
      <c r="R415" s="90">
        <f t="shared" si="81"/>
        <v>0</v>
      </c>
      <c r="S415" s="90">
        <f t="shared" si="81"/>
        <v>0</v>
      </c>
      <c r="T415" s="90">
        <f t="shared" si="81"/>
        <v>0</v>
      </c>
      <c r="U415" s="101">
        <f t="shared" si="81"/>
        <v>0</v>
      </c>
      <c r="V415" s="71"/>
      <c r="W415" s="102">
        <f t="shared" si="82"/>
        <v>0</v>
      </c>
      <c r="X415" s="102">
        <f t="shared" si="82"/>
        <v>0</v>
      </c>
      <c r="Y415" s="90">
        <f t="shared" si="82"/>
        <v>0</v>
      </c>
      <c r="Z415" s="102">
        <f t="shared" si="82"/>
        <v>0</v>
      </c>
      <c r="AA415" s="101" t="str">
        <f t="shared" si="82"/>
        <v>EA</v>
      </c>
      <c r="AB415" s="71"/>
      <c r="AC415" s="91">
        <v>1</v>
      </c>
      <c r="AD415" s="91">
        <v>1</v>
      </c>
      <c r="AE415" s="92" t="str">
        <f t="shared" si="75"/>
        <v>Price Line 399</v>
      </c>
      <c r="AF415" s="93">
        <f t="shared" si="74"/>
        <v>0</v>
      </c>
    </row>
    <row r="416" spans="10:32" ht="12.5" hidden="1" outlineLevel="1">
      <c r="J416" s="83">
        <f t="shared" si="80"/>
        <v>0</v>
      </c>
      <c r="K416" s="99">
        <v>400</v>
      </c>
      <c r="L416" s="100">
        <f t="shared" si="81"/>
        <v>1</v>
      </c>
      <c r="M416" s="90" t="str">
        <f t="shared" si="81"/>
        <v>Price Line 400</v>
      </c>
      <c r="N416" s="90">
        <f t="shared" si="81"/>
        <v>0</v>
      </c>
      <c r="O416" s="90">
        <f t="shared" si="81"/>
        <v>0</v>
      </c>
      <c r="P416" s="90">
        <f t="shared" si="81"/>
        <v>0</v>
      </c>
      <c r="Q416" s="90">
        <f t="shared" si="81"/>
        <v>0</v>
      </c>
      <c r="R416" s="90">
        <f t="shared" si="81"/>
        <v>0</v>
      </c>
      <c r="S416" s="90">
        <f t="shared" si="81"/>
        <v>0</v>
      </c>
      <c r="T416" s="90">
        <f t="shared" si="81"/>
        <v>0</v>
      </c>
      <c r="U416" s="101">
        <f t="shared" si="81"/>
        <v>0</v>
      </c>
      <c r="V416" s="71"/>
      <c r="W416" s="102">
        <f t="shared" si="82"/>
        <v>0</v>
      </c>
      <c r="X416" s="102">
        <f t="shared" si="82"/>
        <v>0</v>
      </c>
      <c r="Y416" s="90">
        <f t="shared" si="82"/>
        <v>0</v>
      </c>
      <c r="Z416" s="102">
        <f t="shared" si="82"/>
        <v>0</v>
      </c>
      <c r="AA416" s="101" t="str">
        <f t="shared" si="82"/>
        <v>EA</v>
      </c>
      <c r="AB416" s="71"/>
      <c r="AC416" s="91">
        <v>1</v>
      </c>
      <c r="AD416" s="91">
        <v>1</v>
      </c>
      <c r="AE416" s="92" t="str">
        <f t="shared" si="75"/>
        <v>Price Line 400</v>
      </c>
      <c r="AF416" s="93">
        <f t="shared" ref="AF416" si="83">INDEX(Y416:Z416,1,MATCH(_WellBasketSelection,$Y$15:$Z$15,0))*U416</f>
        <v>0</v>
      </c>
    </row>
    <row r="417" spans="8:32" ht="12.5" outlineLevel="1">
      <c r="H417" s="131"/>
      <c r="K417" s="132" t="s">
        <v>267</v>
      </c>
      <c r="L417" s="132"/>
      <c r="M417" s="133"/>
      <c r="N417" s="134"/>
      <c r="O417" s="135"/>
      <c r="P417" s="135"/>
      <c r="Q417" s="135"/>
      <c r="R417" s="135"/>
      <c r="S417" s="135"/>
      <c r="T417" s="135"/>
      <c r="U417" s="136"/>
      <c r="V417" s="71"/>
      <c r="W417" s="137"/>
      <c r="X417" s="137"/>
      <c r="Y417" s="137"/>
      <c r="Z417" s="137"/>
      <c r="AA417" s="137"/>
      <c r="AB417" s="71"/>
      <c r="AC417" s="134"/>
      <c r="AD417" s="134"/>
      <c r="AE417" s="134"/>
      <c r="AF417" s="137"/>
    </row>
    <row r="418" spans="8:32" ht="12.5" outlineLevel="1">
      <c r="H418" s="131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</row>
    <row r="419" spans="8:32" ht="12.5" outlineLevel="1">
      <c r="H419" s="131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</row>
    <row r="420" spans="8:32" ht="12.5" outlineLevel="1">
      <c r="H420" s="131"/>
      <c r="K420" s="139" t="s">
        <v>268</v>
      </c>
      <c r="L420" s="139"/>
      <c r="M420" s="140" t="s">
        <v>269</v>
      </c>
      <c r="N420" s="138" t="s">
        <v>270</v>
      </c>
      <c r="O420" s="138"/>
      <c r="P420" s="138" t="s">
        <v>271</v>
      </c>
      <c r="Q420" s="138" t="s">
        <v>272</v>
      </c>
      <c r="R420" s="138" t="s">
        <v>273</v>
      </c>
      <c r="S420" s="138"/>
      <c r="T420" s="138"/>
      <c r="U420" s="138"/>
      <c r="V420" s="138"/>
      <c r="W420" s="141" t="s">
        <v>259</v>
      </c>
      <c r="X420" s="141" t="s">
        <v>274</v>
      </c>
      <c r="Y420" s="138" t="s">
        <v>241</v>
      </c>
      <c r="Z420" s="138" t="s">
        <v>242</v>
      </c>
      <c r="AA420" s="138"/>
      <c r="AB420" s="138"/>
    </row>
    <row r="421" spans="8:32" ht="12.5">
      <c r="H421" s="131"/>
      <c r="K421" s="142" t="s">
        <v>249</v>
      </c>
      <c r="L421" s="143" t="s">
        <v>250</v>
      </c>
      <c r="M421" s="144" t="s">
        <v>251</v>
      </c>
      <c r="N421" s="145" t="s">
        <v>252</v>
      </c>
      <c r="O421" s="146" t="s">
        <v>253</v>
      </c>
      <c r="P421" s="146" t="s">
        <v>254</v>
      </c>
      <c r="Q421" s="146" t="s">
        <v>255</v>
      </c>
      <c r="R421" s="146" t="s">
        <v>256</v>
      </c>
      <c r="S421" s="144" t="s">
        <v>257</v>
      </c>
      <c r="T421" s="146" t="s">
        <v>105</v>
      </c>
      <c r="U421" s="147" t="s">
        <v>275</v>
      </c>
      <c r="V421" s="71"/>
      <c r="W421" s="148" t="s">
        <v>259</v>
      </c>
      <c r="X421" s="148" t="s">
        <v>260</v>
      </c>
      <c r="Y421" s="148" t="s">
        <v>241</v>
      </c>
      <c r="Z421" s="148" t="s">
        <v>242</v>
      </c>
      <c r="AA421" s="148" t="s">
        <v>263</v>
      </c>
      <c r="AB421" s="71"/>
      <c r="AC421" s="148" t="s">
        <v>276</v>
      </c>
    </row>
    <row r="422" spans="8:32" ht="12.5">
      <c r="H422" s="131"/>
      <c r="J422" s="149"/>
      <c r="K422" s="150">
        <v>1</v>
      </c>
      <c r="L422" s="151">
        <v>1</v>
      </c>
      <c r="M422" s="152" t="s">
        <v>277</v>
      </c>
      <c r="N422" s="153"/>
      <c r="O422" s="153"/>
      <c r="P422" s="153"/>
      <c r="Q422" s="153"/>
      <c r="R422" s="153"/>
      <c r="S422" s="154">
        <f>SUM(N422:R422)</f>
        <v>0</v>
      </c>
      <c r="T422" s="155"/>
      <c r="U422" s="154">
        <f>'[1]Pricing Schedule'!F2</f>
        <v>24.327449566768507</v>
      </c>
      <c r="V422" s="156"/>
      <c r="W422" s="157"/>
      <c r="X422" s="157"/>
      <c r="Y422" s="158">
        <f>'[1]Pricing Schedule'!H2*'[1]Pricing Schedule'!$G2</f>
        <v>9</v>
      </c>
      <c r="Z422" s="158">
        <f>'[1]Pricing Schedule'!I2*'[1]Pricing Schedule'!$G2</f>
        <v>9</v>
      </c>
      <c r="AA422" s="159" t="s">
        <v>278</v>
      </c>
      <c r="AB422" s="160"/>
      <c r="AC422" s="158">
        <f t="shared" ref="AC422:AC439" si="84">INDEX(Y422:Z422,1,MATCH(_WellBasketSelection,$Y$421:$Z$421,0))*U422</f>
        <v>218.94704610091657</v>
      </c>
    </row>
    <row r="423" spans="8:32" ht="12.5">
      <c r="H423" s="131"/>
      <c r="J423" s="149"/>
      <c r="K423" s="150">
        <v>2</v>
      </c>
      <c r="L423" s="151">
        <v>1</v>
      </c>
      <c r="M423" s="152" t="s">
        <v>279</v>
      </c>
      <c r="N423" s="153"/>
      <c r="O423" s="153"/>
      <c r="P423" s="153"/>
      <c r="Q423" s="153"/>
      <c r="R423" s="153"/>
      <c r="S423" s="154">
        <f t="shared" ref="S423:S486" si="85">SUM(N423:R423)</f>
        <v>0</v>
      </c>
      <c r="T423" s="155"/>
      <c r="U423" s="154">
        <f>'[1]Pricing Schedule'!F3</f>
        <v>0</v>
      </c>
      <c r="V423" s="156"/>
      <c r="W423" s="157"/>
      <c r="X423" s="157"/>
      <c r="Y423" s="158">
        <f>'[1]Pricing Schedule'!H3*'[1]Pricing Schedule'!$G3</f>
        <v>495</v>
      </c>
      <c r="Z423" s="158">
        <f>'[1]Pricing Schedule'!I3*'[1]Pricing Schedule'!$G3</f>
        <v>495</v>
      </c>
      <c r="AA423" s="159" t="s">
        <v>278</v>
      </c>
      <c r="AB423" s="160"/>
      <c r="AC423" s="158">
        <f t="shared" si="84"/>
        <v>0</v>
      </c>
    </row>
    <row r="424" spans="8:32" ht="12.5">
      <c r="H424" s="131"/>
      <c r="J424" s="149"/>
      <c r="K424" s="150">
        <f>MAX(K$422:K423)+1</f>
        <v>3</v>
      </c>
      <c r="L424" s="151">
        <f>IF(J423="",L423,L423+1)</f>
        <v>1</v>
      </c>
      <c r="M424" s="152" t="s">
        <v>280</v>
      </c>
      <c r="N424" s="153"/>
      <c r="O424" s="153"/>
      <c r="P424" s="153"/>
      <c r="Q424" s="153"/>
      <c r="R424" s="153"/>
      <c r="S424" s="154">
        <f t="shared" si="85"/>
        <v>0</v>
      </c>
      <c r="T424" s="155"/>
      <c r="U424" s="154">
        <f>'[1]Pricing Schedule'!F4</f>
        <v>6.2483566890144072E-3</v>
      </c>
      <c r="V424" s="156"/>
      <c r="W424" s="157"/>
      <c r="X424" s="157"/>
      <c r="Y424" s="158">
        <f>'[1]Pricing Schedule'!H4*'[1]Pricing Schedule'!$G4</f>
        <v>6075</v>
      </c>
      <c r="Z424" s="158">
        <f>'[1]Pricing Schedule'!I4*'[1]Pricing Schedule'!$G4</f>
        <v>6075</v>
      </c>
      <c r="AA424" s="159" t="s">
        <v>278</v>
      </c>
      <c r="AB424" s="160"/>
      <c r="AC424" s="158">
        <f t="shared" si="84"/>
        <v>37.958766885762522</v>
      </c>
    </row>
    <row r="425" spans="8:32" ht="12.5">
      <c r="H425" s="131"/>
      <c r="J425" s="149"/>
      <c r="K425" s="150">
        <f>MAX(K$422:K424)+1</f>
        <v>4</v>
      </c>
      <c r="L425" s="151">
        <f t="shared" ref="L425:L488" si="86">IF(J424="",L424,L424+1)</f>
        <v>1</v>
      </c>
      <c r="M425" s="152" t="s">
        <v>281</v>
      </c>
      <c r="N425" s="153"/>
      <c r="O425" s="153"/>
      <c r="P425" s="153"/>
      <c r="Q425" s="153"/>
      <c r="R425" s="153"/>
      <c r="S425" s="154">
        <f t="shared" si="85"/>
        <v>0</v>
      </c>
      <c r="T425" s="155"/>
      <c r="U425" s="154">
        <f>'[1]Pricing Schedule'!F5</f>
        <v>9.5929223721516552E-3</v>
      </c>
      <c r="V425" s="156"/>
      <c r="W425" s="157"/>
      <c r="X425" s="157"/>
      <c r="Y425" s="158">
        <f>'[1]Pricing Schedule'!H5*'[1]Pricing Schedule'!$G5</f>
        <v>10890</v>
      </c>
      <c r="Z425" s="158">
        <f>'[1]Pricing Schedule'!I5*'[1]Pricing Schedule'!$G5</f>
        <v>10890</v>
      </c>
      <c r="AA425" s="159" t="s">
        <v>278</v>
      </c>
      <c r="AB425" s="160"/>
      <c r="AC425" s="158">
        <f t="shared" si="84"/>
        <v>104.46692463273152</v>
      </c>
    </row>
    <row r="426" spans="8:32" ht="12.5">
      <c r="H426" s="131"/>
      <c r="J426" s="149"/>
      <c r="K426" s="150">
        <f>MAX(K$422:K425)+1</f>
        <v>5</v>
      </c>
      <c r="L426" s="151">
        <f t="shared" si="86"/>
        <v>1</v>
      </c>
      <c r="M426" s="152" t="s">
        <v>282</v>
      </c>
      <c r="N426" s="153"/>
      <c r="O426" s="153"/>
      <c r="P426" s="153"/>
      <c r="Q426" s="153"/>
      <c r="R426" s="153"/>
      <c r="S426" s="154">
        <f t="shared" si="85"/>
        <v>0</v>
      </c>
      <c r="T426" s="155"/>
      <c r="U426" s="154">
        <f>'[1]Pricing Schedule'!F6</f>
        <v>1.4948838391444964E-2</v>
      </c>
      <c r="V426" s="156"/>
      <c r="W426" s="157"/>
      <c r="X426" s="157"/>
      <c r="Y426" s="158">
        <f>'[1]Pricing Schedule'!H6*'[1]Pricing Schedule'!$G6</f>
        <v>4860</v>
      </c>
      <c r="Z426" s="158">
        <f>'[1]Pricing Schedule'!I6*'[1]Pricing Schedule'!$G6</f>
        <v>4860</v>
      </c>
      <c r="AA426" s="159" t="s">
        <v>278</v>
      </c>
      <c r="AB426" s="160"/>
      <c r="AC426" s="158">
        <f t="shared" si="84"/>
        <v>72.651354582422528</v>
      </c>
    </row>
    <row r="427" spans="8:32" ht="12.5">
      <c r="H427" s="131"/>
      <c r="J427" s="149"/>
      <c r="K427" s="150">
        <f>MAX(K$422:K426)+1</f>
        <v>6</v>
      </c>
      <c r="L427" s="151">
        <f t="shared" si="86"/>
        <v>1</v>
      </c>
      <c r="M427" s="152" t="s">
        <v>283</v>
      </c>
      <c r="N427" s="153"/>
      <c r="O427" s="153"/>
      <c r="P427" s="153"/>
      <c r="Q427" s="153"/>
      <c r="R427" s="153"/>
      <c r="S427" s="154">
        <f t="shared" si="85"/>
        <v>0</v>
      </c>
      <c r="T427" s="155"/>
      <c r="U427" s="154">
        <f>'[1]Pricing Schedule'!F7</f>
        <v>0</v>
      </c>
      <c r="V427" s="156"/>
      <c r="W427" s="157"/>
      <c r="X427" s="157"/>
      <c r="Y427" s="158">
        <f>'[1]Pricing Schedule'!H7*'[1]Pricing Schedule'!$G7</f>
        <v>0</v>
      </c>
      <c r="Z427" s="158">
        <f>'[1]Pricing Schedule'!I7*'[1]Pricing Schedule'!$G7</f>
        <v>0</v>
      </c>
      <c r="AA427" s="159" t="s">
        <v>278</v>
      </c>
      <c r="AB427" s="160"/>
      <c r="AC427" s="158">
        <f t="shared" si="84"/>
        <v>0</v>
      </c>
    </row>
    <row r="428" spans="8:32" ht="12.5">
      <c r="H428" s="131"/>
      <c r="J428" s="149"/>
      <c r="K428" s="150">
        <f>MAX(K$422:K427)+1</f>
        <v>7</v>
      </c>
      <c r="L428" s="151">
        <f t="shared" si="86"/>
        <v>1</v>
      </c>
      <c r="M428" s="152" t="s">
        <v>284</v>
      </c>
      <c r="N428" s="153"/>
      <c r="O428" s="153"/>
      <c r="P428" s="153"/>
      <c r="Q428" s="153"/>
      <c r="R428" s="153"/>
      <c r="S428" s="154">
        <f t="shared" si="85"/>
        <v>0</v>
      </c>
      <c r="T428" s="155"/>
      <c r="U428" s="154">
        <f>'[1]Pricing Schedule'!F8</f>
        <v>0.43</v>
      </c>
      <c r="V428" s="156"/>
      <c r="W428" s="157"/>
      <c r="X428" s="157"/>
      <c r="Y428" s="158">
        <f>'[1]Pricing Schedule'!H8*'[1]Pricing Schedule'!$G8</f>
        <v>9</v>
      </c>
      <c r="Z428" s="158">
        <f>'[1]Pricing Schedule'!I8*'[1]Pricing Schedule'!$G8</f>
        <v>9</v>
      </c>
      <c r="AA428" s="159" t="s">
        <v>278</v>
      </c>
      <c r="AB428" s="160"/>
      <c r="AC428" s="158">
        <f t="shared" si="84"/>
        <v>3.87</v>
      </c>
    </row>
    <row r="429" spans="8:32" ht="12.5">
      <c r="H429" s="131"/>
      <c r="J429" s="149"/>
      <c r="K429" s="150">
        <f>MAX(K$422:K428)+1</f>
        <v>8</v>
      </c>
      <c r="L429" s="151">
        <f t="shared" si="86"/>
        <v>1</v>
      </c>
      <c r="M429" s="152" t="s">
        <v>285</v>
      </c>
      <c r="N429" s="153"/>
      <c r="O429" s="153"/>
      <c r="P429" s="153"/>
      <c r="Q429" s="153"/>
      <c r="R429" s="153"/>
      <c r="S429" s="154">
        <f t="shared" si="85"/>
        <v>0</v>
      </c>
      <c r="T429" s="155"/>
      <c r="U429" s="154">
        <f>'[1]Pricing Schedule'!F9</f>
        <v>3.1479999999999997</v>
      </c>
      <c r="V429" s="156"/>
      <c r="W429" s="157"/>
      <c r="X429" s="157"/>
      <c r="Y429" s="158">
        <f>'[1]Pricing Schedule'!H9*'[1]Pricing Schedule'!$G9</f>
        <v>0</v>
      </c>
      <c r="Z429" s="158">
        <f>'[1]Pricing Schedule'!I9*'[1]Pricing Schedule'!$G9</f>
        <v>0</v>
      </c>
      <c r="AA429" s="159" t="s">
        <v>278</v>
      </c>
      <c r="AB429" s="160"/>
      <c r="AC429" s="158">
        <f t="shared" si="84"/>
        <v>0</v>
      </c>
    </row>
    <row r="430" spans="8:32" ht="12.5">
      <c r="H430" s="131"/>
      <c r="J430" s="149"/>
      <c r="K430" s="150">
        <f>MAX(K$422:K429)+1</f>
        <v>9</v>
      </c>
      <c r="L430" s="151">
        <f t="shared" si="86"/>
        <v>1</v>
      </c>
      <c r="M430" s="152" t="s">
        <v>286</v>
      </c>
      <c r="N430" s="153"/>
      <c r="O430" s="153"/>
      <c r="P430" s="153"/>
      <c r="Q430" s="153"/>
      <c r="R430" s="153"/>
      <c r="S430" s="154">
        <f t="shared" si="85"/>
        <v>0</v>
      </c>
      <c r="T430" s="155"/>
      <c r="U430" s="154">
        <f>'[1]Pricing Schedule'!F10</f>
        <v>0</v>
      </c>
      <c r="V430" s="156"/>
      <c r="W430" s="157"/>
      <c r="X430" s="157"/>
      <c r="Y430" s="158">
        <f>'[1]Pricing Schedule'!H10*'[1]Pricing Schedule'!$G10</f>
        <v>9</v>
      </c>
      <c r="Z430" s="158">
        <f>'[1]Pricing Schedule'!I10*'[1]Pricing Schedule'!$G10</f>
        <v>9</v>
      </c>
      <c r="AA430" s="159" t="s">
        <v>278</v>
      </c>
      <c r="AB430" s="160"/>
      <c r="AC430" s="158">
        <f t="shared" si="84"/>
        <v>0</v>
      </c>
    </row>
    <row r="431" spans="8:32" ht="12.5">
      <c r="H431" s="131"/>
      <c r="J431" s="149"/>
      <c r="K431" s="150">
        <f>MAX(K$422:K430)+1</f>
        <v>10</v>
      </c>
      <c r="L431" s="151">
        <f t="shared" si="86"/>
        <v>1</v>
      </c>
      <c r="M431" s="152" t="s">
        <v>287</v>
      </c>
      <c r="N431" s="153"/>
      <c r="O431" s="153"/>
      <c r="P431" s="153"/>
      <c r="Q431" s="153"/>
      <c r="R431" s="153"/>
      <c r="S431" s="154">
        <f t="shared" si="85"/>
        <v>0</v>
      </c>
      <c r="T431" s="155"/>
      <c r="U431" s="154">
        <f>'[1]Pricing Schedule'!F11</f>
        <v>26.84695048549122</v>
      </c>
      <c r="V431" s="156"/>
      <c r="W431" s="157"/>
      <c r="X431" s="157"/>
      <c r="Y431" s="158">
        <f>'[1]Pricing Schedule'!H11*'[1]Pricing Schedule'!$G11</f>
        <v>13</v>
      </c>
      <c r="Z431" s="158">
        <f>'[1]Pricing Schedule'!I11*'[1]Pricing Schedule'!$G11</f>
        <v>13</v>
      </c>
      <c r="AA431" s="159" t="s">
        <v>278</v>
      </c>
      <c r="AB431" s="160"/>
      <c r="AC431" s="158">
        <f t="shared" si="84"/>
        <v>349.01035631138586</v>
      </c>
    </row>
    <row r="432" spans="8:32" ht="12.5">
      <c r="H432" s="131"/>
      <c r="J432" s="149"/>
      <c r="K432" s="150">
        <f>MAX(K$422:K431)+1</f>
        <v>11</v>
      </c>
      <c r="L432" s="151">
        <f t="shared" si="86"/>
        <v>1</v>
      </c>
      <c r="M432" s="152" t="s">
        <v>288</v>
      </c>
      <c r="N432" s="153"/>
      <c r="O432" s="153"/>
      <c r="P432" s="153"/>
      <c r="Q432" s="153"/>
      <c r="R432" s="153"/>
      <c r="S432" s="154">
        <f t="shared" si="85"/>
        <v>0</v>
      </c>
      <c r="T432" s="155"/>
      <c r="U432" s="154">
        <f>'[1]Pricing Schedule'!F12</f>
        <v>0</v>
      </c>
      <c r="V432" s="156"/>
      <c r="W432" s="157"/>
      <c r="X432" s="157"/>
      <c r="Y432" s="158">
        <f>'[1]Pricing Schedule'!H12*'[1]Pricing Schedule'!$G12</f>
        <v>715</v>
      </c>
      <c r="Z432" s="158">
        <f>'[1]Pricing Schedule'!I12*'[1]Pricing Schedule'!$G12</f>
        <v>715</v>
      </c>
      <c r="AA432" s="159" t="s">
        <v>278</v>
      </c>
      <c r="AB432" s="160"/>
      <c r="AC432" s="158">
        <f t="shared" si="84"/>
        <v>0</v>
      </c>
    </row>
    <row r="433" spans="8:29" ht="12.5">
      <c r="H433" s="131"/>
      <c r="J433" s="149"/>
      <c r="K433" s="150">
        <f>MAX(K$422:K432)+1</f>
        <v>12</v>
      </c>
      <c r="L433" s="151">
        <f t="shared" si="86"/>
        <v>1</v>
      </c>
      <c r="M433" s="152" t="s">
        <v>289</v>
      </c>
      <c r="N433" s="153"/>
      <c r="O433" s="153"/>
      <c r="P433" s="153"/>
      <c r="Q433" s="153"/>
      <c r="R433" s="153"/>
      <c r="S433" s="154">
        <f t="shared" si="85"/>
        <v>0</v>
      </c>
      <c r="T433" s="155"/>
      <c r="U433" s="154">
        <f>'[1]Pricing Schedule'!F13</f>
        <v>6.2483566890144072E-3</v>
      </c>
      <c r="V433" s="156"/>
      <c r="W433" s="157"/>
      <c r="X433" s="157"/>
      <c r="Y433" s="158">
        <f>'[1]Pricing Schedule'!H13*'[1]Pricing Schedule'!$G13</f>
        <v>8775</v>
      </c>
      <c r="Z433" s="158">
        <f>'[1]Pricing Schedule'!I13*'[1]Pricing Schedule'!$G13</f>
        <v>8775</v>
      </c>
      <c r="AA433" s="159" t="s">
        <v>278</v>
      </c>
      <c r="AB433" s="160"/>
      <c r="AC433" s="158">
        <f t="shared" si="84"/>
        <v>54.829329946101424</v>
      </c>
    </row>
    <row r="434" spans="8:29" ht="12.5">
      <c r="H434" s="131"/>
      <c r="J434" s="149"/>
      <c r="K434" s="150">
        <f>MAX(K$422:K433)+1</f>
        <v>13</v>
      </c>
      <c r="L434" s="151">
        <f t="shared" si="86"/>
        <v>1</v>
      </c>
      <c r="M434" s="152" t="s">
        <v>290</v>
      </c>
      <c r="N434" s="153"/>
      <c r="O434" s="153"/>
      <c r="P434" s="153"/>
      <c r="Q434" s="153"/>
      <c r="R434" s="153"/>
      <c r="S434" s="154">
        <f t="shared" si="85"/>
        <v>0</v>
      </c>
      <c r="T434" s="155"/>
      <c r="U434" s="154">
        <f>'[1]Pricing Schedule'!F14</f>
        <v>1.008338889557926E-2</v>
      </c>
      <c r="V434" s="156"/>
      <c r="W434" s="157"/>
      <c r="X434" s="157"/>
      <c r="Y434" s="158">
        <f>'[1]Pricing Schedule'!H14*'[1]Pricing Schedule'!$G14</f>
        <v>17160</v>
      </c>
      <c r="Z434" s="158">
        <f>'[1]Pricing Schedule'!I14*'[1]Pricing Schedule'!$G14</f>
        <v>17160</v>
      </c>
      <c r="AA434" s="159" t="s">
        <v>278</v>
      </c>
      <c r="AB434" s="160"/>
      <c r="AC434" s="158">
        <f t="shared" si="84"/>
        <v>173.03095344814011</v>
      </c>
    </row>
    <row r="435" spans="8:29" ht="12.5">
      <c r="H435" s="131"/>
      <c r="J435" s="149"/>
      <c r="K435" s="150">
        <f>MAX(K$422:K434)+1</f>
        <v>14</v>
      </c>
      <c r="L435" s="151">
        <f t="shared" si="86"/>
        <v>1</v>
      </c>
      <c r="M435" s="152" t="s">
        <v>291</v>
      </c>
      <c r="N435" s="153"/>
      <c r="O435" s="153"/>
      <c r="P435" s="153"/>
      <c r="Q435" s="153"/>
      <c r="R435" s="153"/>
      <c r="S435" s="154">
        <f t="shared" si="85"/>
        <v>0</v>
      </c>
      <c r="T435" s="155"/>
      <c r="U435" s="154">
        <f>'[1]Pricing Schedule'!F15</f>
        <v>1.3675748274218264E-2</v>
      </c>
      <c r="V435" s="156"/>
      <c r="W435" s="157"/>
      <c r="X435" s="157"/>
      <c r="Y435" s="158">
        <f>'[1]Pricing Schedule'!H15*'[1]Pricing Schedule'!$G15</f>
        <v>8450</v>
      </c>
      <c r="Z435" s="158">
        <f>'[1]Pricing Schedule'!I15*'[1]Pricing Schedule'!$G15</f>
        <v>8450</v>
      </c>
      <c r="AA435" s="159" t="s">
        <v>278</v>
      </c>
      <c r="AB435" s="160"/>
      <c r="AC435" s="158">
        <f t="shared" si="84"/>
        <v>115.56007291714434</v>
      </c>
    </row>
    <row r="436" spans="8:29" ht="12.5">
      <c r="H436" s="131"/>
      <c r="J436" s="149"/>
      <c r="K436" s="150">
        <f>MAX(K$422:K435)+1</f>
        <v>15</v>
      </c>
      <c r="L436" s="151">
        <f t="shared" si="86"/>
        <v>1</v>
      </c>
      <c r="M436" s="152" t="s">
        <v>292</v>
      </c>
      <c r="N436" s="153"/>
      <c r="O436" s="153"/>
      <c r="P436" s="153"/>
      <c r="Q436" s="153"/>
      <c r="R436" s="153"/>
      <c r="S436" s="154">
        <f t="shared" si="85"/>
        <v>0</v>
      </c>
      <c r="T436" s="155"/>
      <c r="U436" s="154">
        <f>'[1]Pricing Schedule'!F16</f>
        <v>0</v>
      </c>
      <c r="V436" s="156"/>
      <c r="W436" s="157"/>
      <c r="X436" s="157"/>
      <c r="Y436" s="158">
        <f>'[1]Pricing Schedule'!H16*'[1]Pricing Schedule'!$G16</f>
        <v>0</v>
      </c>
      <c r="Z436" s="158">
        <f>'[1]Pricing Schedule'!I16*'[1]Pricing Schedule'!$G16</f>
        <v>0</v>
      </c>
      <c r="AA436" s="159" t="s">
        <v>278</v>
      </c>
      <c r="AB436" s="160"/>
      <c r="AC436" s="158">
        <f t="shared" si="84"/>
        <v>0</v>
      </c>
    </row>
    <row r="437" spans="8:29" ht="12.5">
      <c r="H437" s="131"/>
      <c r="J437" s="149"/>
      <c r="K437" s="150">
        <f>MAX(K$422:K436)+1</f>
        <v>16</v>
      </c>
      <c r="L437" s="151">
        <f t="shared" si="86"/>
        <v>1</v>
      </c>
      <c r="M437" s="152" t="s">
        <v>293</v>
      </c>
      <c r="N437" s="153"/>
      <c r="O437" s="153"/>
      <c r="P437" s="153"/>
      <c r="Q437" s="153"/>
      <c r="R437" s="153"/>
      <c r="S437" s="154">
        <f t="shared" si="85"/>
        <v>0</v>
      </c>
      <c r="T437" s="155"/>
      <c r="U437" s="154">
        <f>'[1]Pricing Schedule'!F17</f>
        <v>0.43</v>
      </c>
      <c r="V437" s="156"/>
      <c r="W437" s="157"/>
      <c r="X437" s="157"/>
      <c r="Y437" s="158">
        <f>'[1]Pricing Schedule'!H17*'[1]Pricing Schedule'!$G17</f>
        <v>13</v>
      </c>
      <c r="Z437" s="158">
        <f>'[1]Pricing Schedule'!I17*'[1]Pricing Schedule'!$G17</f>
        <v>13</v>
      </c>
      <c r="AA437" s="159" t="s">
        <v>278</v>
      </c>
      <c r="AB437" s="160"/>
      <c r="AC437" s="158">
        <f t="shared" si="84"/>
        <v>5.59</v>
      </c>
    </row>
    <row r="438" spans="8:29" ht="12.5">
      <c r="H438" s="131"/>
      <c r="J438" s="149"/>
      <c r="K438" s="150">
        <f>MAX(K$422:K437)+1</f>
        <v>17</v>
      </c>
      <c r="L438" s="151">
        <f t="shared" si="86"/>
        <v>1</v>
      </c>
      <c r="M438" s="152" t="s">
        <v>294</v>
      </c>
      <c r="N438" s="153"/>
      <c r="O438" s="153"/>
      <c r="P438" s="153"/>
      <c r="Q438" s="153"/>
      <c r="R438" s="153"/>
      <c r="S438" s="154">
        <f t="shared" si="85"/>
        <v>0</v>
      </c>
      <c r="T438" s="155"/>
      <c r="U438" s="154">
        <f>'[1]Pricing Schedule'!F18</f>
        <v>3.2439999999999998</v>
      </c>
      <c r="V438" s="156"/>
      <c r="W438" s="157"/>
      <c r="X438" s="157"/>
      <c r="Y438" s="158">
        <f>'[1]Pricing Schedule'!H18*'[1]Pricing Schedule'!$G18</f>
        <v>0</v>
      </c>
      <c r="Z438" s="158">
        <f>'[1]Pricing Schedule'!I18*'[1]Pricing Schedule'!$G18</f>
        <v>0</v>
      </c>
      <c r="AA438" s="159" t="s">
        <v>278</v>
      </c>
      <c r="AB438" s="160"/>
      <c r="AC438" s="158">
        <f t="shared" si="84"/>
        <v>0</v>
      </c>
    </row>
    <row r="439" spans="8:29" ht="12.5">
      <c r="H439" s="131"/>
      <c r="J439" s="149"/>
      <c r="K439" s="150">
        <f>MAX(K$422:K438)+1</f>
        <v>18</v>
      </c>
      <c r="L439" s="151">
        <f t="shared" si="86"/>
        <v>1</v>
      </c>
      <c r="M439" s="152" t="s">
        <v>295</v>
      </c>
      <c r="N439" s="153"/>
      <c r="O439" s="153"/>
      <c r="P439" s="153"/>
      <c r="Q439" s="153"/>
      <c r="R439" s="153"/>
      <c r="S439" s="154">
        <f t="shared" si="85"/>
        <v>0</v>
      </c>
      <c r="T439" s="155"/>
      <c r="U439" s="154">
        <f>'[1]Pricing Schedule'!F19</f>
        <v>0</v>
      </c>
      <c r="V439" s="156"/>
      <c r="W439" s="157"/>
      <c r="X439" s="157"/>
      <c r="Y439" s="158">
        <f>'[1]Pricing Schedule'!H19*'[1]Pricing Schedule'!$G19</f>
        <v>13</v>
      </c>
      <c r="Z439" s="158">
        <f>'[1]Pricing Schedule'!I19*'[1]Pricing Schedule'!$G19</f>
        <v>13</v>
      </c>
      <c r="AA439" s="159" t="s">
        <v>278</v>
      </c>
      <c r="AB439" s="160"/>
      <c r="AC439" s="158">
        <f t="shared" si="84"/>
        <v>0</v>
      </c>
    </row>
    <row r="440" spans="8:29" ht="12.5">
      <c r="H440" s="131"/>
      <c r="J440" s="149"/>
      <c r="K440" s="150">
        <f>MAX(K$422:K439)+1</f>
        <v>19</v>
      </c>
      <c r="L440" s="151">
        <f t="shared" si="86"/>
        <v>1</v>
      </c>
      <c r="M440" s="152"/>
      <c r="N440" s="153"/>
      <c r="O440" s="153"/>
      <c r="P440" s="153"/>
      <c r="Q440" s="153"/>
      <c r="R440" s="153"/>
      <c r="S440" s="154"/>
      <c r="T440" s="155"/>
      <c r="U440" s="154"/>
      <c r="V440" s="156"/>
      <c r="W440" s="157"/>
      <c r="X440" s="157"/>
      <c r="Y440" s="158"/>
      <c r="Z440" s="158"/>
      <c r="AA440" s="159"/>
      <c r="AB440" s="160"/>
      <c r="AC440" s="158"/>
    </row>
    <row r="441" spans="8:29" ht="12.5">
      <c r="H441" s="131"/>
      <c r="J441" s="149"/>
      <c r="K441" s="150">
        <f>MAX(K$422:K440)+1</f>
        <v>20</v>
      </c>
      <c r="L441" s="151">
        <f t="shared" si="86"/>
        <v>1</v>
      </c>
      <c r="M441" s="152"/>
      <c r="N441" s="153"/>
      <c r="O441" s="153"/>
      <c r="P441" s="153"/>
      <c r="Q441" s="153"/>
      <c r="R441" s="153"/>
      <c r="S441" s="154"/>
      <c r="T441" s="155"/>
      <c r="U441" s="154"/>
      <c r="V441" s="156"/>
      <c r="W441" s="157"/>
      <c r="X441" s="157"/>
      <c r="Y441" s="158"/>
      <c r="Z441" s="158"/>
      <c r="AA441" s="159"/>
      <c r="AB441" s="160"/>
      <c r="AC441" s="158"/>
    </row>
    <row r="442" spans="8:29" ht="12.5">
      <c r="H442" s="131"/>
      <c r="J442" s="149"/>
      <c r="K442" s="150">
        <f>MAX(K$422:K441)+1</f>
        <v>21</v>
      </c>
      <c r="L442" s="151">
        <f t="shared" si="86"/>
        <v>1</v>
      </c>
      <c r="M442" s="152"/>
      <c r="N442" s="153"/>
      <c r="O442" s="153"/>
      <c r="P442" s="153"/>
      <c r="Q442" s="153"/>
      <c r="R442" s="153"/>
      <c r="S442" s="154"/>
      <c r="T442" s="155"/>
      <c r="U442" s="154"/>
      <c r="V442" s="156"/>
      <c r="W442" s="157"/>
      <c r="X442" s="157"/>
      <c r="Y442" s="158"/>
      <c r="Z442" s="158"/>
      <c r="AA442" s="159"/>
      <c r="AB442" s="160"/>
      <c r="AC442" s="158"/>
    </row>
    <row r="443" spans="8:29" ht="12.5">
      <c r="H443" s="131"/>
      <c r="J443" s="149"/>
      <c r="K443" s="150">
        <f>MAX(K$422:K442)+1</f>
        <v>22</v>
      </c>
      <c r="L443" s="151">
        <f t="shared" si="86"/>
        <v>1</v>
      </c>
      <c r="M443" s="152"/>
      <c r="N443" s="153"/>
      <c r="O443" s="153"/>
      <c r="P443" s="153"/>
      <c r="Q443" s="153"/>
      <c r="R443" s="153"/>
      <c r="S443" s="154"/>
      <c r="T443" s="155"/>
      <c r="U443" s="154"/>
      <c r="V443" s="156"/>
      <c r="W443" s="157"/>
      <c r="X443" s="157"/>
      <c r="Y443" s="158"/>
      <c r="Z443" s="158"/>
      <c r="AA443" s="159"/>
      <c r="AB443" s="160"/>
      <c r="AC443" s="158"/>
    </row>
    <row r="444" spans="8:29" ht="12.5">
      <c r="H444" s="131"/>
      <c r="J444" s="149"/>
      <c r="K444" s="150">
        <f>MAX(K$422:K443)+1</f>
        <v>23</v>
      </c>
      <c r="L444" s="151">
        <f t="shared" si="86"/>
        <v>1</v>
      </c>
      <c r="M444" s="152"/>
      <c r="N444" s="153"/>
      <c r="O444" s="153"/>
      <c r="P444" s="153"/>
      <c r="Q444" s="153"/>
      <c r="R444" s="153"/>
      <c r="S444" s="154"/>
      <c r="T444" s="155"/>
      <c r="U444" s="154"/>
      <c r="V444" s="156"/>
      <c r="W444" s="157"/>
      <c r="X444" s="157"/>
      <c r="Y444" s="158"/>
      <c r="Z444" s="158"/>
      <c r="AA444" s="159"/>
      <c r="AB444" s="160"/>
      <c r="AC444" s="158"/>
    </row>
    <row r="445" spans="8:29" ht="12.5">
      <c r="H445" s="131"/>
      <c r="J445" s="149"/>
      <c r="K445" s="150">
        <f>MAX(K$422:K444)+1</f>
        <v>24</v>
      </c>
      <c r="L445" s="151">
        <f t="shared" si="86"/>
        <v>1</v>
      </c>
      <c r="M445" s="152"/>
      <c r="N445" s="153"/>
      <c r="O445" s="153"/>
      <c r="P445" s="153"/>
      <c r="Q445" s="153"/>
      <c r="R445" s="153"/>
      <c r="S445" s="154"/>
      <c r="T445" s="155"/>
      <c r="U445" s="154"/>
      <c r="V445" s="156"/>
      <c r="W445" s="157"/>
      <c r="X445" s="157"/>
      <c r="Y445" s="158"/>
      <c r="Z445" s="158"/>
      <c r="AA445" s="159"/>
      <c r="AB445" s="160"/>
      <c r="AC445" s="158"/>
    </row>
    <row r="446" spans="8:29" ht="12.5">
      <c r="H446" s="131"/>
      <c r="J446" s="149"/>
      <c r="K446" s="150">
        <f>MAX(K$422:K445)+1</f>
        <v>25</v>
      </c>
      <c r="L446" s="151">
        <f t="shared" si="86"/>
        <v>1</v>
      </c>
      <c r="M446" s="152"/>
      <c r="N446" s="153"/>
      <c r="O446" s="153"/>
      <c r="P446" s="153"/>
      <c r="Q446" s="153"/>
      <c r="R446" s="153"/>
      <c r="S446" s="154"/>
      <c r="T446" s="155"/>
      <c r="U446" s="154"/>
      <c r="V446" s="156"/>
      <c r="W446" s="157"/>
      <c r="X446" s="157"/>
      <c r="Y446" s="158"/>
      <c r="Z446" s="158"/>
      <c r="AA446" s="159"/>
      <c r="AB446" s="160"/>
      <c r="AC446" s="158"/>
    </row>
    <row r="447" spans="8:29" ht="12.5">
      <c r="H447" s="131"/>
      <c r="J447" s="149"/>
      <c r="K447" s="150">
        <f>MAX(K$422:K446)+1</f>
        <v>26</v>
      </c>
      <c r="L447" s="151">
        <f t="shared" si="86"/>
        <v>1</v>
      </c>
      <c r="M447" s="152"/>
      <c r="N447" s="153"/>
      <c r="O447" s="153"/>
      <c r="P447" s="153"/>
      <c r="Q447" s="153"/>
      <c r="R447" s="153"/>
      <c r="S447" s="154"/>
      <c r="T447" s="155"/>
      <c r="U447" s="154"/>
      <c r="V447" s="156"/>
      <c r="W447" s="157"/>
      <c r="X447" s="157"/>
      <c r="Y447" s="158"/>
      <c r="Z447" s="158"/>
      <c r="AA447" s="159"/>
      <c r="AB447" s="160"/>
      <c r="AC447" s="158"/>
    </row>
    <row r="448" spans="8:29" ht="12.5">
      <c r="H448" s="131"/>
      <c r="J448" s="149"/>
      <c r="K448" s="150">
        <f>MAX(K$422:K447)+1</f>
        <v>27</v>
      </c>
      <c r="L448" s="151">
        <f t="shared" si="86"/>
        <v>1</v>
      </c>
      <c r="M448" s="152"/>
      <c r="N448" s="153"/>
      <c r="O448" s="153"/>
      <c r="P448" s="153"/>
      <c r="Q448" s="153"/>
      <c r="R448" s="153"/>
      <c r="S448" s="154"/>
      <c r="T448" s="155"/>
      <c r="U448" s="154"/>
      <c r="V448" s="156"/>
      <c r="W448" s="157"/>
      <c r="X448" s="157"/>
      <c r="Y448" s="158"/>
      <c r="Z448" s="158"/>
      <c r="AA448" s="159"/>
      <c r="AB448" s="160"/>
      <c r="AC448" s="158"/>
    </row>
    <row r="449" spans="8:29" ht="12.5">
      <c r="H449" s="131"/>
      <c r="J449" s="149"/>
      <c r="K449" s="150">
        <f>MAX(K$422:K448)+1</f>
        <v>28</v>
      </c>
      <c r="L449" s="151">
        <f t="shared" si="86"/>
        <v>1</v>
      </c>
      <c r="M449" s="152"/>
      <c r="N449" s="153"/>
      <c r="O449" s="153"/>
      <c r="P449" s="153"/>
      <c r="Q449" s="153"/>
      <c r="R449" s="153"/>
      <c r="S449" s="154"/>
      <c r="T449" s="155"/>
      <c r="U449" s="154"/>
      <c r="V449" s="156"/>
      <c r="W449" s="157"/>
      <c r="X449" s="157"/>
      <c r="Y449" s="158"/>
      <c r="Z449" s="158"/>
      <c r="AA449" s="159"/>
      <c r="AB449" s="160"/>
      <c r="AC449" s="158"/>
    </row>
    <row r="450" spans="8:29" ht="12.5">
      <c r="H450" s="131"/>
      <c r="J450" s="149"/>
      <c r="K450" s="150">
        <f>MAX(K$422:K449)+1</f>
        <v>29</v>
      </c>
      <c r="L450" s="151">
        <f t="shared" si="86"/>
        <v>1</v>
      </c>
      <c r="M450" s="152"/>
      <c r="N450" s="153"/>
      <c r="O450" s="153"/>
      <c r="P450" s="153"/>
      <c r="Q450" s="153"/>
      <c r="R450" s="153"/>
      <c r="S450" s="154"/>
      <c r="T450" s="155"/>
      <c r="U450" s="154"/>
      <c r="V450" s="156"/>
      <c r="W450" s="157"/>
      <c r="X450" s="157"/>
      <c r="Y450" s="158"/>
      <c r="Z450" s="158"/>
      <c r="AA450" s="159"/>
      <c r="AB450" s="160"/>
      <c r="AC450" s="158"/>
    </row>
    <row r="451" spans="8:29" ht="12.5">
      <c r="H451" s="131"/>
      <c r="J451" s="149"/>
      <c r="K451" s="150">
        <f>MAX(K$422:K450)+1</f>
        <v>30</v>
      </c>
      <c r="L451" s="151">
        <f t="shared" si="86"/>
        <v>1</v>
      </c>
      <c r="M451" s="152"/>
      <c r="N451" s="153"/>
      <c r="O451" s="153"/>
      <c r="P451" s="153"/>
      <c r="Q451" s="153"/>
      <c r="R451" s="153"/>
      <c r="S451" s="154"/>
      <c r="T451" s="155"/>
      <c r="U451" s="154"/>
      <c r="V451" s="156"/>
      <c r="W451" s="157"/>
      <c r="X451" s="157"/>
      <c r="Y451" s="158"/>
      <c r="Z451" s="158"/>
      <c r="AA451" s="159"/>
      <c r="AB451" s="160"/>
      <c r="AC451" s="158"/>
    </row>
    <row r="452" spans="8:29" ht="12.5">
      <c r="H452" s="131"/>
      <c r="J452" s="149"/>
      <c r="K452" s="150">
        <f>MAX(K$422:K451)+1</f>
        <v>31</v>
      </c>
      <c r="L452" s="151">
        <f t="shared" si="86"/>
        <v>1</v>
      </c>
      <c r="M452" s="152"/>
      <c r="N452" s="153"/>
      <c r="O452" s="153"/>
      <c r="P452" s="153"/>
      <c r="Q452" s="153"/>
      <c r="R452" s="153"/>
      <c r="S452" s="154"/>
      <c r="T452" s="155"/>
      <c r="U452" s="154"/>
      <c r="V452" s="156"/>
      <c r="W452" s="157"/>
      <c r="X452" s="157"/>
      <c r="Y452" s="158"/>
      <c r="Z452" s="158"/>
      <c r="AA452" s="159"/>
      <c r="AB452" s="160"/>
      <c r="AC452" s="158"/>
    </row>
    <row r="453" spans="8:29" ht="12.5">
      <c r="H453" s="131"/>
      <c r="J453" s="149"/>
      <c r="K453" s="150">
        <f>MAX(K$422:K452)+1</f>
        <v>32</v>
      </c>
      <c r="L453" s="151">
        <f t="shared" si="86"/>
        <v>1</v>
      </c>
      <c r="M453" s="152"/>
      <c r="N453" s="153"/>
      <c r="O453" s="153"/>
      <c r="P453" s="153"/>
      <c r="Q453" s="153"/>
      <c r="R453" s="153"/>
      <c r="S453" s="154"/>
      <c r="T453" s="155"/>
      <c r="U453" s="154"/>
      <c r="V453" s="156"/>
      <c r="W453" s="157"/>
      <c r="X453" s="157"/>
      <c r="Y453" s="158"/>
      <c r="Z453" s="158"/>
      <c r="AA453" s="159"/>
      <c r="AB453" s="160"/>
      <c r="AC453" s="158"/>
    </row>
    <row r="454" spans="8:29" ht="12.5">
      <c r="H454" s="131"/>
      <c r="J454" s="149"/>
      <c r="K454" s="150">
        <f>MAX(K$422:K453)+1</f>
        <v>33</v>
      </c>
      <c r="L454" s="151">
        <f t="shared" si="86"/>
        <v>1</v>
      </c>
      <c r="M454" s="152"/>
      <c r="N454" s="153"/>
      <c r="O454" s="153"/>
      <c r="P454" s="153"/>
      <c r="Q454" s="153"/>
      <c r="R454" s="153"/>
      <c r="S454" s="154"/>
      <c r="T454" s="155"/>
      <c r="U454" s="154"/>
      <c r="V454" s="156"/>
      <c r="W454" s="157"/>
      <c r="X454" s="157"/>
      <c r="Y454" s="158"/>
      <c r="Z454" s="158"/>
      <c r="AA454" s="159"/>
      <c r="AB454" s="160"/>
      <c r="AC454" s="158"/>
    </row>
    <row r="455" spans="8:29" ht="12.5">
      <c r="H455" s="131"/>
      <c r="J455" s="149"/>
      <c r="K455" s="150">
        <f>MAX(K$422:K454)+1</f>
        <v>34</v>
      </c>
      <c r="L455" s="151">
        <f t="shared" si="86"/>
        <v>1</v>
      </c>
      <c r="M455" s="152"/>
      <c r="N455" s="153"/>
      <c r="O455" s="153"/>
      <c r="P455" s="153"/>
      <c r="Q455" s="153"/>
      <c r="R455" s="153"/>
      <c r="S455" s="154"/>
      <c r="T455" s="155"/>
      <c r="U455" s="154"/>
      <c r="V455" s="156"/>
      <c r="W455" s="157"/>
      <c r="X455" s="157"/>
      <c r="Y455" s="158"/>
      <c r="Z455" s="158"/>
      <c r="AA455" s="159"/>
      <c r="AB455" s="160"/>
      <c r="AC455" s="158"/>
    </row>
    <row r="456" spans="8:29" ht="12.5">
      <c r="H456" s="131"/>
      <c r="J456" s="149"/>
      <c r="K456" s="150">
        <f>MAX(K$422:K455)+1</f>
        <v>35</v>
      </c>
      <c r="L456" s="151">
        <f t="shared" si="86"/>
        <v>1</v>
      </c>
      <c r="M456" s="152"/>
      <c r="N456" s="153"/>
      <c r="O456" s="153"/>
      <c r="P456" s="153"/>
      <c r="Q456" s="153"/>
      <c r="R456" s="153"/>
      <c r="S456" s="154"/>
      <c r="T456" s="155"/>
      <c r="U456" s="154"/>
      <c r="V456" s="156"/>
      <c r="W456" s="157"/>
      <c r="X456" s="157"/>
      <c r="Y456" s="158"/>
      <c r="Z456" s="158"/>
      <c r="AA456" s="159"/>
      <c r="AB456" s="160"/>
      <c r="AC456" s="158"/>
    </row>
    <row r="457" spans="8:29" ht="12.5">
      <c r="H457" s="131"/>
      <c r="J457" s="149"/>
      <c r="K457" s="150">
        <f>MAX(K$422:K456)+1</f>
        <v>36</v>
      </c>
      <c r="L457" s="151">
        <f t="shared" si="86"/>
        <v>1</v>
      </c>
      <c r="M457" s="152"/>
      <c r="N457" s="153"/>
      <c r="O457" s="153"/>
      <c r="P457" s="153"/>
      <c r="Q457" s="153"/>
      <c r="R457" s="153"/>
      <c r="S457" s="154"/>
      <c r="T457" s="155"/>
      <c r="U457" s="154"/>
      <c r="V457" s="156"/>
      <c r="W457" s="157"/>
      <c r="X457" s="157"/>
      <c r="Y457" s="158"/>
      <c r="Z457" s="158"/>
      <c r="AA457" s="159"/>
      <c r="AB457" s="160"/>
      <c r="AC457" s="158"/>
    </row>
    <row r="458" spans="8:29" ht="12.5">
      <c r="H458" s="131"/>
      <c r="J458" s="149"/>
      <c r="K458" s="150">
        <f>MAX(K$422:K457)+1</f>
        <v>37</v>
      </c>
      <c r="L458" s="151">
        <f t="shared" si="86"/>
        <v>1</v>
      </c>
      <c r="M458" s="152"/>
      <c r="N458" s="153"/>
      <c r="O458" s="153"/>
      <c r="P458" s="153"/>
      <c r="Q458" s="153"/>
      <c r="R458" s="153"/>
      <c r="S458" s="154"/>
      <c r="T458" s="155"/>
      <c r="U458" s="154"/>
      <c r="V458" s="156"/>
      <c r="W458" s="157"/>
      <c r="X458" s="157"/>
      <c r="Y458" s="158"/>
      <c r="Z458" s="158"/>
      <c r="AA458" s="159"/>
      <c r="AB458" s="160"/>
      <c r="AC458" s="158"/>
    </row>
    <row r="459" spans="8:29" ht="12.5">
      <c r="H459" s="131"/>
      <c r="J459" s="149"/>
      <c r="K459" s="150">
        <f>MAX(K$422:K458)+1</f>
        <v>38</v>
      </c>
      <c r="L459" s="151">
        <f t="shared" si="86"/>
        <v>1</v>
      </c>
      <c r="M459" s="152"/>
      <c r="N459" s="153"/>
      <c r="O459" s="153"/>
      <c r="P459" s="153"/>
      <c r="Q459" s="153"/>
      <c r="R459" s="153"/>
      <c r="S459" s="154"/>
      <c r="T459" s="155"/>
      <c r="U459" s="154"/>
      <c r="V459" s="156"/>
      <c r="W459" s="157"/>
      <c r="X459" s="157"/>
      <c r="Y459" s="158"/>
      <c r="Z459" s="158"/>
      <c r="AA459" s="159"/>
      <c r="AB459" s="160"/>
      <c r="AC459" s="158"/>
    </row>
    <row r="460" spans="8:29" ht="12.5">
      <c r="H460" s="131"/>
      <c r="J460" s="149"/>
      <c r="K460" s="150">
        <f>MAX(K$422:K459)+1</f>
        <v>39</v>
      </c>
      <c r="L460" s="151">
        <f t="shared" si="86"/>
        <v>1</v>
      </c>
      <c r="M460" s="152"/>
      <c r="N460" s="153"/>
      <c r="O460" s="153"/>
      <c r="P460" s="153"/>
      <c r="Q460" s="153"/>
      <c r="R460" s="153"/>
      <c r="S460" s="154"/>
      <c r="T460" s="155"/>
      <c r="U460" s="154"/>
      <c r="V460" s="156"/>
      <c r="W460" s="157"/>
      <c r="X460" s="157"/>
      <c r="Y460" s="158"/>
      <c r="Z460" s="158"/>
      <c r="AA460" s="159"/>
      <c r="AB460" s="160"/>
      <c r="AC460" s="158"/>
    </row>
    <row r="461" spans="8:29" ht="12.5">
      <c r="H461" s="131"/>
      <c r="J461" s="149"/>
      <c r="K461" s="150">
        <f>MAX(K$422:K460)+1</f>
        <v>40</v>
      </c>
      <c r="L461" s="151">
        <f t="shared" si="86"/>
        <v>1</v>
      </c>
      <c r="M461" s="152" t="s">
        <v>296</v>
      </c>
      <c r="N461" s="153"/>
      <c r="O461" s="153"/>
      <c r="P461" s="153"/>
      <c r="Q461" s="153"/>
      <c r="R461" s="153"/>
      <c r="S461" s="154">
        <f t="shared" si="85"/>
        <v>0</v>
      </c>
      <c r="T461" s="155"/>
      <c r="U461" s="154">
        <f>'[1]Pricing Schedule'!F20</f>
        <v>27.714613439555443</v>
      </c>
      <c r="V461" s="156"/>
      <c r="W461" s="157"/>
      <c r="X461" s="157"/>
      <c r="Y461" s="158">
        <f>'[1]Pricing Schedule'!H20*'[1]Pricing Schedule'!$G20</f>
        <v>0</v>
      </c>
      <c r="Z461" s="158">
        <f>'[1]Pricing Schedule'!I20*'[1]Pricing Schedule'!$G20</f>
        <v>0</v>
      </c>
      <c r="AA461" s="159" t="s">
        <v>278</v>
      </c>
      <c r="AB461" s="160"/>
      <c r="AC461" s="158">
        <f t="shared" ref="AC461:AC485" si="87">INDEX(Y461:Z461,1,MATCH(_WellBasketSelection,$Y$421:$Z$421,0))*U461</f>
        <v>0</v>
      </c>
    </row>
    <row r="462" spans="8:29" ht="12.5">
      <c r="H462" s="131"/>
      <c r="J462" s="149"/>
      <c r="K462" s="150">
        <f>MAX(K$422:K461)+1</f>
        <v>41</v>
      </c>
      <c r="L462" s="151">
        <f t="shared" si="86"/>
        <v>1</v>
      </c>
      <c r="M462" s="152" t="s">
        <v>297</v>
      </c>
      <c r="N462" s="153"/>
      <c r="O462" s="153"/>
      <c r="P462" s="153"/>
      <c r="Q462" s="153"/>
      <c r="R462" s="153"/>
      <c r="S462" s="154">
        <f t="shared" si="85"/>
        <v>0</v>
      </c>
      <c r="T462" s="155"/>
      <c r="U462" s="154">
        <f>'[1]Pricing Schedule'!F21</f>
        <v>0</v>
      </c>
      <c r="V462" s="156"/>
      <c r="W462" s="157"/>
      <c r="X462" s="157"/>
      <c r="Y462" s="158">
        <f>'[1]Pricing Schedule'!H21*'[1]Pricing Schedule'!$G21</f>
        <v>0</v>
      </c>
      <c r="Z462" s="158">
        <f>'[1]Pricing Schedule'!I21*'[1]Pricing Schedule'!$G21</f>
        <v>0</v>
      </c>
      <c r="AA462" s="159" t="s">
        <v>278</v>
      </c>
      <c r="AB462" s="160"/>
      <c r="AC462" s="158">
        <f t="shared" si="87"/>
        <v>0</v>
      </c>
    </row>
    <row r="463" spans="8:29" ht="12.5">
      <c r="H463" s="131"/>
      <c r="J463" s="149"/>
      <c r="K463" s="150">
        <f>MAX(K$422:K462)+1</f>
        <v>42</v>
      </c>
      <c r="L463" s="151">
        <f t="shared" si="86"/>
        <v>1</v>
      </c>
      <c r="M463" s="152" t="s">
        <v>298</v>
      </c>
      <c r="N463" s="153"/>
      <c r="O463" s="153"/>
      <c r="P463" s="153"/>
      <c r="Q463" s="153"/>
      <c r="R463" s="153"/>
      <c r="S463" s="154">
        <f t="shared" si="85"/>
        <v>0</v>
      </c>
      <c r="T463" s="155"/>
      <c r="U463" s="154">
        <f>'[1]Pricing Schedule'!F22</f>
        <v>6.2483566890144072E-3</v>
      </c>
      <c r="V463" s="156"/>
      <c r="W463" s="157"/>
      <c r="X463" s="157"/>
      <c r="Y463" s="158">
        <f>'[1]Pricing Schedule'!H22*'[1]Pricing Schedule'!$G22</f>
        <v>0</v>
      </c>
      <c r="Z463" s="158">
        <f>'[1]Pricing Schedule'!I22*'[1]Pricing Schedule'!$G22</f>
        <v>0</v>
      </c>
      <c r="AA463" s="159" t="s">
        <v>278</v>
      </c>
      <c r="AB463" s="160"/>
      <c r="AC463" s="158">
        <f t="shared" si="87"/>
        <v>0</v>
      </c>
    </row>
    <row r="464" spans="8:29" ht="12.5">
      <c r="H464" s="131"/>
      <c r="J464" s="149"/>
      <c r="K464" s="150">
        <f>MAX(K$422:K463)+1</f>
        <v>43</v>
      </c>
      <c r="L464" s="151">
        <f t="shared" si="86"/>
        <v>1</v>
      </c>
      <c r="M464" s="152" t="s">
        <v>299</v>
      </c>
      <c r="N464" s="153"/>
      <c r="O464" s="153"/>
      <c r="P464" s="153"/>
      <c r="Q464" s="153"/>
      <c r="R464" s="153"/>
      <c r="S464" s="154">
        <f t="shared" si="85"/>
        <v>0</v>
      </c>
      <c r="T464" s="155"/>
      <c r="U464" s="154">
        <f>'[1]Pricing Schedule'!F23</f>
        <v>9.632727029297513E-3</v>
      </c>
      <c r="V464" s="156"/>
      <c r="W464" s="157"/>
      <c r="X464" s="157"/>
      <c r="Y464" s="158">
        <f>'[1]Pricing Schedule'!H23*'[1]Pricing Schedule'!$G23</f>
        <v>0</v>
      </c>
      <c r="Z464" s="158">
        <f>'[1]Pricing Schedule'!I23*'[1]Pricing Schedule'!$G23</f>
        <v>0</v>
      </c>
      <c r="AA464" s="159" t="s">
        <v>278</v>
      </c>
      <c r="AB464" s="160"/>
      <c r="AC464" s="158">
        <f t="shared" si="87"/>
        <v>0</v>
      </c>
    </row>
    <row r="465" spans="8:29" ht="12.5">
      <c r="H465" s="131"/>
      <c r="J465" s="149"/>
      <c r="K465" s="150">
        <f>MAX(K$422:K464)+1</f>
        <v>44</v>
      </c>
      <c r="L465" s="151">
        <f t="shared" si="86"/>
        <v>1</v>
      </c>
      <c r="M465" s="152" t="s">
        <v>300</v>
      </c>
      <c r="N465" s="153"/>
      <c r="O465" s="153"/>
      <c r="P465" s="153"/>
      <c r="Q465" s="153"/>
      <c r="R465" s="153"/>
      <c r="S465" s="154">
        <f t="shared" si="85"/>
        <v>0</v>
      </c>
      <c r="T465" s="155"/>
      <c r="U465" s="154">
        <f>'[1]Pricing Schedule'!F24</f>
        <v>9.1676292833337732E-3</v>
      </c>
      <c r="V465" s="156"/>
      <c r="W465" s="157"/>
      <c r="X465" s="157"/>
      <c r="Y465" s="158">
        <f>'[1]Pricing Schedule'!H24*'[1]Pricing Schedule'!$G24</f>
        <v>0</v>
      </c>
      <c r="Z465" s="158">
        <f>'[1]Pricing Schedule'!I24*'[1]Pricing Schedule'!$G24</f>
        <v>0</v>
      </c>
      <c r="AA465" s="159" t="s">
        <v>278</v>
      </c>
      <c r="AB465" s="160"/>
      <c r="AC465" s="158">
        <f t="shared" si="87"/>
        <v>0</v>
      </c>
    </row>
    <row r="466" spans="8:29" ht="12.5">
      <c r="H466" s="131"/>
      <c r="J466" s="149"/>
      <c r="K466" s="150">
        <f>MAX(K$422:K465)+1</f>
        <v>45</v>
      </c>
      <c r="L466" s="151">
        <f t="shared" si="86"/>
        <v>1</v>
      </c>
      <c r="M466" s="152" t="s">
        <v>301</v>
      </c>
      <c r="N466" s="153"/>
      <c r="O466" s="153"/>
      <c r="P466" s="153"/>
      <c r="Q466" s="153"/>
      <c r="R466" s="153"/>
      <c r="S466" s="154">
        <f t="shared" si="85"/>
        <v>0</v>
      </c>
      <c r="T466" s="155"/>
      <c r="U466" s="154">
        <f>'[1]Pricing Schedule'!F25</f>
        <v>0</v>
      </c>
      <c r="V466" s="156"/>
      <c r="W466" s="157"/>
      <c r="X466" s="157"/>
      <c r="Y466" s="158">
        <f>'[1]Pricing Schedule'!H25*'[1]Pricing Schedule'!$G25</f>
        <v>0</v>
      </c>
      <c r="Z466" s="158">
        <f>'[1]Pricing Schedule'!I25*'[1]Pricing Schedule'!$G25</f>
        <v>0</v>
      </c>
      <c r="AA466" s="159" t="s">
        <v>278</v>
      </c>
      <c r="AB466" s="160"/>
      <c r="AC466" s="158">
        <f t="shared" si="87"/>
        <v>0</v>
      </c>
    </row>
    <row r="467" spans="8:29" ht="12.5">
      <c r="H467" s="131"/>
      <c r="J467" s="149"/>
      <c r="K467" s="150">
        <f>MAX(K$422:K466)+1</f>
        <v>46</v>
      </c>
      <c r="L467" s="151">
        <f t="shared" si="86"/>
        <v>1</v>
      </c>
      <c r="M467" s="152" t="s">
        <v>302</v>
      </c>
      <c r="N467" s="153"/>
      <c r="O467" s="153"/>
      <c r="P467" s="153"/>
      <c r="Q467" s="153"/>
      <c r="R467" s="153"/>
      <c r="S467" s="154">
        <f t="shared" si="85"/>
        <v>0</v>
      </c>
      <c r="T467" s="155"/>
      <c r="U467" s="154">
        <f>'[1]Pricing Schedule'!F26</f>
        <v>0.43</v>
      </c>
      <c r="V467" s="156"/>
      <c r="W467" s="157"/>
      <c r="X467" s="157"/>
      <c r="Y467" s="158">
        <f>'[1]Pricing Schedule'!H26*'[1]Pricing Schedule'!$G26</f>
        <v>0</v>
      </c>
      <c r="Z467" s="158">
        <f>'[1]Pricing Schedule'!I26*'[1]Pricing Schedule'!$G26</f>
        <v>0</v>
      </c>
      <c r="AA467" s="159" t="s">
        <v>278</v>
      </c>
      <c r="AB467" s="160"/>
      <c r="AC467" s="158">
        <f t="shared" si="87"/>
        <v>0</v>
      </c>
    </row>
    <row r="468" spans="8:29" ht="12.5">
      <c r="H468" s="131"/>
      <c r="J468" s="149"/>
      <c r="K468" s="150">
        <f>MAX(K$422:K467)+1</f>
        <v>47</v>
      </c>
      <c r="L468" s="151">
        <f t="shared" si="86"/>
        <v>1</v>
      </c>
      <c r="M468" s="152" t="s">
        <v>303</v>
      </c>
      <c r="N468" s="153"/>
      <c r="O468" s="153"/>
      <c r="P468" s="153"/>
      <c r="Q468" s="153"/>
      <c r="R468" s="153"/>
      <c r="S468" s="154">
        <f t="shared" si="85"/>
        <v>0</v>
      </c>
      <c r="T468" s="155"/>
      <c r="U468" s="154">
        <f>'[1]Pricing Schedule'!F27</f>
        <v>3.3040000000000003</v>
      </c>
      <c r="V468" s="156"/>
      <c r="W468" s="157"/>
      <c r="X468" s="157"/>
      <c r="Y468" s="158">
        <f>'[1]Pricing Schedule'!H27*'[1]Pricing Schedule'!$G27</f>
        <v>0</v>
      </c>
      <c r="Z468" s="158">
        <f>'[1]Pricing Schedule'!I27*'[1]Pricing Schedule'!$G27</f>
        <v>0</v>
      </c>
      <c r="AA468" s="159" t="s">
        <v>278</v>
      </c>
      <c r="AB468" s="160"/>
      <c r="AC468" s="158">
        <f t="shared" si="87"/>
        <v>0</v>
      </c>
    </row>
    <row r="469" spans="8:29" ht="12.5">
      <c r="H469" s="131"/>
      <c r="J469" s="149"/>
      <c r="K469" s="150">
        <f>MAX(K$422:K468)+1</f>
        <v>48</v>
      </c>
      <c r="L469" s="151">
        <f t="shared" si="86"/>
        <v>1</v>
      </c>
      <c r="M469" s="152" t="s">
        <v>304</v>
      </c>
      <c r="N469" s="153"/>
      <c r="O469" s="153"/>
      <c r="P469" s="153"/>
      <c r="Q469" s="153"/>
      <c r="R469" s="153"/>
      <c r="S469" s="154">
        <f t="shared" si="85"/>
        <v>0</v>
      </c>
      <c r="T469" s="155"/>
      <c r="U469" s="154">
        <f>'[1]Pricing Schedule'!F28</f>
        <v>0</v>
      </c>
      <c r="V469" s="156"/>
      <c r="W469" s="157"/>
      <c r="X469" s="157"/>
      <c r="Y469" s="158">
        <f>'[1]Pricing Schedule'!H28*'[1]Pricing Schedule'!$G28</f>
        <v>0</v>
      </c>
      <c r="Z469" s="158">
        <f>'[1]Pricing Schedule'!I28*'[1]Pricing Schedule'!$G28</f>
        <v>0</v>
      </c>
      <c r="AA469" s="159" t="s">
        <v>278</v>
      </c>
      <c r="AB469" s="160"/>
      <c r="AC469" s="158">
        <f t="shared" si="87"/>
        <v>0</v>
      </c>
    </row>
    <row r="470" spans="8:29" ht="12.5">
      <c r="H470" s="131"/>
      <c r="J470" s="149"/>
      <c r="K470" s="150">
        <f>MAX(K$422:K469)+1</f>
        <v>49</v>
      </c>
      <c r="L470" s="151">
        <f t="shared" si="86"/>
        <v>1</v>
      </c>
      <c r="M470" s="152" t="s">
        <v>305</v>
      </c>
      <c r="N470" s="153"/>
      <c r="O470" s="153"/>
      <c r="P470" s="153"/>
      <c r="Q470" s="153"/>
      <c r="R470" s="153"/>
      <c r="S470" s="154">
        <f t="shared" si="85"/>
        <v>0</v>
      </c>
      <c r="T470" s="155"/>
      <c r="U470" s="154">
        <f>'[1]Pricing Schedule'!F29</f>
        <v>37.301732017384431</v>
      </c>
      <c r="V470" s="156"/>
      <c r="W470" s="157"/>
      <c r="X470" s="157"/>
      <c r="Y470" s="158">
        <f>'[1]Pricing Schedule'!H29*'[1]Pricing Schedule'!$G29</f>
        <v>15</v>
      </c>
      <c r="Z470" s="158">
        <f>'[1]Pricing Schedule'!I29*'[1]Pricing Schedule'!$G29</f>
        <v>15</v>
      </c>
      <c r="AA470" s="159" t="s">
        <v>278</v>
      </c>
      <c r="AB470" s="160"/>
      <c r="AC470" s="158">
        <f t="shared" si="87"/>
        <v>559.52598026076646</v>
      </c>
    </row>
    <row r="471" spans="8:29" ht="12.5">
      <c r="H471" s="131"/>
      <c r="J471" s="149"/>
      <c r="K471" s="150">
        <f>MAX(K$422:K470)+1</f>
        <v>50</v>
      </c>
      <c r="L471" s="151">
        <f t="shared" si="86"/>
        <v>1</v>
      </c>
      <c r="M471" s="152" t="s">
        <v>306</v>
      </c>
      <c r="N471" s="153"/>
      <c r="O471" s="153"/>
      <c r="P471" s="153"/>
      <c r="Q471" s="153"/>
      <c r="R471" s="153"/>
      <c r="S471" s="154">
        <f t="shared" si="85"/>
        <v>0</v>
      </c>
      <c r="T471" s="155"/>
      <c r="U471" s="154">
        <f>'[1]Pricing Schedule'!F30</f>
        <v>0</v>
      </c>
      <c r="V471" s="156"/>
      <c r="W471" s="157"/>
      <c r="X471" s="157"/>
      <c r="Y471" s="158">
        <f>'[1]Pricing Schedule'!H30*'[1]Pricing Schedule'!$G30</f>
        <v>825</v>
      </c>
      <c r="Z471" s="158">
        <f>'[1]Pricing Schedule'!I30*'[1]Pricing Schedule'!$G30</f>
        <v>825</v>
      </c>
      <c r="AA471" s="159" t="s">
        <v>278</v>
      </c>
      <c r="AB471" s="160"/>
      <c r="AC471" s="158">
        <f t="shared" si="87"/>
        <v>0</v>
      </c>
    </row>
    <row r="472" spans="8:29" ht="12.5">
      <c r="H472" s="131"/>
      <c r="J472" s="149"/>
      <c r="K472" s="150">
        <f>MAX(K$422:K471)+1</f>
        <v>51</v>
      </c>
      <c r="L472" s="151">
        <f t="shared" si="86"/>
        <v>1</v>
      </c>
      <c r="M472" s="152" t="s">
        <v>307</v>
      </c>
      <c r="N472" s="153"/>
      <c r="O472" s="153"/>
      <c r="P472" s="153"/>
      <c r="Q472" s="153"/>
      <c r="R472" s="153"/>
      <c r="S472" s="154">
        <f t="shared" si="85"/>
        <v>0</v>
      </c>
      <c r="T472" s="155"/>
      <c r="U472" s="154">
        <f>'[1]Pricing Schedule'!F31</f>
        <v>6.2280933670392545E-3</v>
      </c>
      <c r="V472" s="156"/>
      <c r="W472" s="157"/>
      <c r="X472" s="157"/>
      <c r="Y472" s="158">
        <f>'[1]Pricing Schedule'!H31*'[1]Pricing Schedule'!$G31</f>
        <v>10125</v>
      </c>
      <c r="Z472" s="158">
        <f>'[1]Pricing Schedule'!I31*'[1]Pricing Schedule'!$G31</f>
        <v>10125</v>
      </c>
      <c r="AA472" s="159" t="s">
        <v>278</v>
      </c>
      <c r="AB472" s="160"/>
      <c r="AC472" s="158">
        <f t="shared" si="87"/>
        <v>63.05944534127245</v>
      </c>
    </row>
    <row r="473" spans="8:29" ht="12.5">
      <c r="H473" s="131"/>
      <c r="J473" s="149"/>
      <c r="K473" s="150">
        <f>MAX(K$422:K472)+1</f>
        <v>52</v>
      </c>
      <c r="L473" s="151">
        <f t="shared" si="86"/>
        <v>1</v>
      </c>
      <c r="M473" s="152" t="s">
        <v>308</v>
      </c>
      <c r="N473" s="153"/>
      <c r="O473" s="153"/>
      <c r="P473" s="153"/>
      <c r="Q473" s="153"/>
      <c r="R473" s="153"/>
      <c r="S473" s="154">
        <f t="shared" si="85"/>
        <v>0</v>
      </c>
      <c r="T473" s="155"/>
      <c r="U473" s="154">
        <f>'[1]Pricing Schedule'!F32</f>
        <v>9.5816184528679949E-3</v>
      </c>
      <c r="V473" s="156"/>
      <c r="W473" s="157"/>
      <c r="X473" s="157"/>
      <c r="Y473" s="158">
        <f>'[1]Pricing Schedule'!H32*'[1]Pricing Schedule'!$G32</f>
        <v>18150</v>
      </c>
      <c r="Z473" s="158">
        <f>'[1]Pricing Schedule'!I32*'[1]Pricing Schedule'!$G32</f>
        <v>18150</v>
      </c>
      <c r="AA473" s="159" t="s">
        <v>278</v>
      </c>
      <c r="AB473" s="160"/>
      <c r="AC473" s="158">
        <f t="shared" si="87"/>
        <v>173.90637491955411</v>
      </c>
    </row>
    <row r="474" spans="8:29" ht="12.5">
      <c r="H474" s="131"/>
      <c r="J474" s="149"/>
      <c r="K474" s="150">
        <f>MAX(K$422:K473)+1</f>
        <v>53</v>
      </c>
      <c r="L474" s="151">
        <f t="shared" si="86"/>
        <v>1</v>
      </c>
      <c r="M474" s="152" t="s">
        <v>309</v>
      </c>
      <c r="N474" s="153"/>
      <c r="O474" s="153"/>
      <c r="P474" s="153"/>
      <c r="Q474" s="153"/>
      <c r="R474" s="153"/>
      <c r="S474" s="154">
        <f t="shared" si="85"/>
        <v>0</v>
      </c>
      <c r="T474" s="155"/>
      <c r="U474" s="154">
        <f>'[1]Pricing Schedule'!F33</f>
        <v>9.5382157181949888E-3</v>
      </c>
      <c r="V474" s="156"/>
      <c r="W474" s="157"/>
      <c r="X474" s="157"/>
      <c r="Y474" s="158">
        <f>'[1]Pricing Schedule'!H33*'[1]Pricing Schedule'!$G33</f>
        <v>18000</v>
      </c>
      <c r="Z474" s="158">
        <f>'[1]Pricing Schedule'!I33*'[1]Pricing Schedule'!$G33</f>
        <v>18000</v>
      </c>
      <c r="AA474" s="159" t="s">
        <v>278</v>
      </c>
      <c r="AB474" s="160"/>
      <c r="AC474" s="158">
        <f t="shared" si="87"/>
        <v>171.6878829275098</v>
      </c>
    </row>
    <row r="475" spans="8:29" ht="12.5">
      <c r="H475" s="131"/>
      <c r="J475" s="149"/>
      <c r="K475" s="150">
        <f>MAX(K$422:K474)+1</f>
        <v>54</v>
      </c>
      <c r="L475" s="151">
        <f t="shared" si="86"/>
        <v>1</v>
      </c>
      <c r="M475" s="152" t="s">
        <v>310</v>
      </c>
      <c r="N475" s="153"/>
      <c r="O475" s="153"/>
      <c r="P475" s="153"/>
      <c r="Q475" s="153"/>
      <c r="R475" s="153"/>
      <c r="S475" s="154">
        <f t="shared" si="85"/>
        <v>0</v>
      </c>
      <c r="T475" s="155"/>
      <c r="U475" s="154">
        <f>'[1]Pricing Schedule'!F34</f>
        <v>2.2924170963877805E-2</v>
      </c>
      <c r="V475" s="156"/>
      <c r="W475" s="157"/>
      <c r="X475" s="157"/>
      <c r="Y475" s="158">
        <f>'[1]Pricing Schedule'!H34*'[1]Pricing Schedule'!$G34</f>
        <v>6300</v>
      </c>
      <c r="Z475" s="158">
        <f>'[1]Pricing Schedule'!I34*'[1]Pricing Schedule'!$G34</f>
        <v>6300</v>
      </c>
      <c r="AA475" s="159" t="s">
        <v>278</v>
      </c>
      <c r="AB475" s="160"/>
      <c r="AC475" s="158">
        <f t="shared" si="87"/>
        <v>144.42227707243018</v>
      </c>
    </row>
    <row r="476" spans="8:29" ht="12.5">
      <c r="H476" s="131"/>
      <c r="J476" s="149"/>
      <c r="K476" s="150">
        <f>MAX(K$422:K475)+1</f>
        <v>55</v>
      </c>
      <c r="L476" s="151">
        <f t="shared" si="86"/>
        <v>1</v>
      </c>
      <c r="M476" s="152" t="s">
        <v>311</v>
      </c>
      <c r="N476" s="153"/>
      <c r="O476" s="153"/>
      <c r="P476" s="153"/>
      <c r="Q476" s="153"/>
      <c r="R476" s="153"/>
      <c r="S476" s="154">
        <f t="shared" si="85"/>
        <v>0</v>
      </c>
      <c r="T476" s="155"/>
      <c r="U476" s="154">
        <f>'[1]Pricing Schedule'!F35</f>
        <v>0.43</v>
      </c>
      <c r="V476" s="156"/>
      <c r="W476" s="157"/>
      <c r="X476" s="157"/>
      <c r="Y476" s="158">
        <f>'[1]Pricing Schedule'!H35*'[1]Pricing Schedule'!$G35</f>
        <v>15</v>
      </c>
      <c r="Z476" s="158">
        <f>'[1]Pricing Schedule'!I35*'[1]Pricing Schedule'!$G35</f>
        <v>15</v>
      </c>
      <c r="AA476" s="159" t="s">
        <v>278</v>
      </c>
      <c r="AB476" s="160"/>
      <c r="AC476" s="158">
        <f t="shared" si="87"/>
        <v>6.45</v>
      </c>
    </row>
    <row r="477" spans="8:29" ht="12.5">
      <c r="H477" s="131"/>
      <c r="J477" s="149"/>
      <c r="K477" s="150">
        <f>MAX(K$422:K476)+1</f>
        <v>56</v>
      </c>
      <c r="L477" s="151">
        <f t="shared" si="86"/>
        <v>1</v>
      </c>
      <c r="M477" s="152" t="s">
        <v>312</v>
      </c>
      <c r="N477" s="153"/>
      <c r="O477" s="153"/>
      <c r="P477" s="153"/>
      <c r="Q477" s="153"/>
      <c r="R477" s="153"/>
      <c r="S477" s="154">
        <f t="shared" si="85"/>
        <v>0</v>
      </c>
      <c r="T477" s="155"/>
      <c r="U477" s="154">
        <f>'[1]Pricing Schedule'!F36</f>
        <v>3.532</v>
      </c>
      <c r="V477" s="156"/>
      <c r="W477" s="157"/>
      <c r="X477" s="157"/>
      <c r="Y477" s="158">
        <f>'[1]Pricing Schedule'!H36*'[1]Pricing Schedule'!$G36</f>
        <v>0</v>
      </c>
      <c r="Z477" s="158">
        <f>'[1]Pricing Schedule'!I36*'[1]Pricing Schedule'!$G36</f>
        <v>0</v>
      </c>
      <c r="AA477" s="159" t="s">
        <v>278</v>
      </c>
      <c r="AB477" s="160"/>
      <c r="AC477" s="158">
        <f t="shared" si="87"/>
        <v>0</v>
      </c>
    </row>
    <row r="478" spans="8:29" ht="12.5">
      <c r="H478" s="131"/>
      <c r="J478" s="149"/>
      <c r="K478" s="150">
        <f>MAX(K$422:K477)+1</f>
        <v>57</v>
      </c>
      <c r="L478" s="151">
        <f t="shared" si="86"/>
        <v>1</v>
      </c>
      <c r="M478" s="152" t="s">
        <v>313</v>
      </c>
      <c r="N478" s="153"/>
      <c r="O478" s="153"/>
      <c r="P478" s="153"/>
      <c r="Q478" s="153"/>
      <c r="R478" s="153"/>
      <c r="S478" s="154">
        <f t="shared" si="85"/>
        <v>0</v>
      </c>
      <c r="T478" s="155"/>
      <c r="U478" s="154">
        <f>'[1]Pricing Schedule'!F37</f>
        <v>0</v>
      </c>
      <c r="V478" s="156"/>
      <c r="W478" s="157"/>
      <c r="X478" s="157"/>
      <c r="Y478" s="158">
        <f>'[1]Pricing Schedule'!H37*'[1]Pricing Schedule'!$G37</f>
        <v>15</v>
      </c>
      <c r="Z478" s="158">
        <f>'[1]Pricing Schedule'!I37*'[1]Pricing Schedule'!$G37</f>
        <v>15</v>
      </c>
      <c r="AA478" s="159" t="s">
        <v>278</v>
      </c>
      <c r="AB478" s="160"/>
      <c r="AC478" s="158">
        <f t="shared" si="87"/>
        <v>0</v>
      </c>
    </row>
    <row r="479" spans="8:29" ht="12.5">
      <c r="H479" s="131"/>
      <c r="J479" s="149"/>
      <c r="K479" s="150">
        <f>MAX(K$422:K478)+1</f>
        <v>58</v>
      </c>
      <c r="L479" s="151">
        <f t="shared" si="86"/>
        <v>1</v>
      </c>
      <c r="M479" s="152" t="s">
        <v>314</v>
      </c>
      <c r="N479" s="153"/>
      <c r="O479" s="153"/>
      <c r="P479" s="153"/>
      <c r="Q479" s="153"/>
      <c r="R479" s="153"/>
      <c r="S479" s="154">
        <f t="shared" si="85"/>
        <v>0</v>
      </c>
      <c r="T479" s="155"/>
      <c r="U479" s="154">
        <f>'[1]Pricing Schedule'!F38</f>
        <v>43.734477050869039</v>
      </c>
      <c r="V479" s="156"/>
      <c r="W479" s="157"/>
      <c r="X479" s="157"/>
      <c r="Y479" s="158">
        <f>'[1]Pricing Schedule'!H38*'[1]Pricing Schedule'!$G38</f>
        <v>3</v>
      </c>
      <c r="Z479" s="158">
        <f>'[1]Pricing Schedule'!I38*'[1]Pricing Schedule'!$G38</f>
        <v>3</v>
      </c>
      <c r="AA479" s="159" t="s">
        <v>278</v>
      </c>
      <c r="AB479" s="160"/>
      <c r="AC479" s="158">
        <f t="shared" si="87"/>
        <v>131.20343115260712</v>
      </c>
    </row>
    <row r="480" spans="8:29" ht="12.5">
      <c r="H480" s="131"/>
      <c r="J480" s="149"/>
      <c r="K480" s="150">
        <f>MAX(K$422:K479)+1</f>
        <v>59</v>
      </c>
      <c r="L480" s="151">
        <f t="shared" si="86"/>
        <v>1</v>
      </c>
      <c r="M480" s="152" t="s">
        <v>315</v>
      </c>
      <c r="N480" s="153"/>
      <c r="O480" s="153"/>
      <c r="P480" s="153"/>
      <c r="Q480" s="153"/>
      <c r="R480" s="153"/>
      <c r="S480" s="154">
        <f t="shared" si="85"/>
        <v>0</v>
      </c>
      <c r="T480" s="155"/>
      <c r="U480" s="154">
        <f>'[1]Pricing Schedule'!F39</f>
        <v>0</v>
      </c>
      <c r="V480" s="156"/>
      <c r="W480" s="157"/>
      <c r="X480" s="157"/>
      <c r="Y480" s="158">
        <f>'[1]Pricing Schedule'!H39*'[1]Pricing Schedule'!$G39</f>
        <v>165</v>
      </c>
      <c r="Z480" s="158">
        <f>'[1]Pricing Schedule'!I39*'[1]Pricing Schedule'!$G39</f>
        <v>165</v>
      </c>
      <c r="AA480" s="159" t="s">
        <v>278</v>
      </c>
      <c r="AB480" s="160"/>
      <c r="AC480" s="158">
        <f t="shared" si="87"/>
        <v>0</v>
      </c>
    </row>
    <row r="481" spans="8:29" ht="12.5">
      <c r="H481" s="131"/>
      <c r="J481" s="149"/>
      <c r="K481" s="150">
        <f>MAX(K$422:K480)+1</f>
        <v>60</v>
      </c>
      <c r="L481" s="151">
        <f t="shared" si="86"/>
        <v>1</v>
      </c>
      <c r="M481" s="152" t="s">
        <v>316</v>
      </c>
      <c r="N481" s="153"/>
      <c r="O481" s="153"/>
      <c r="P481" s="153"/>
      <c r="Q481" s="153"/>
      <c r="R481" s="153"/>
      <c r="S481" s="154">
        <f t="shared" si="85"/>
        <v>0</v>
      </c>
      <c r="T481" s="155"/>
      <c r="U481" s="154">
        <f>'[1]Pricing Schedule'!F40</f>
        <v>6.2280933670392545E-3</v>
      </c>
      <c r="V481" s="156"/>
      <c r="W481" s="157"/>
      <c r="X481" s="157"/>
      <c r="Y481" s="158">
        <f>'[1]Pricing Schedule'!H40*'[1]Pricing Schedule'!$G40</f>
        <v>2025</v>
      </c>
      <c r="Z481" s="158">
        <f>'[1]Pricing Schedule'!I40*'[1]Pricing Schedule'!$G40</f>
        <v>2025</v>
      </c>
      <c r="AA481" s="159" t="s">
        <v>278</v>
      </c>
      <c r="AB481" s="160"/>
      <c r="AC481" s="158">
        <f t="shared" si="87"/>
        <v>12.61188906825449</v>
      </c>
    </row>
    <row r="482" spans="8:29" ht="12.5">
      <c r="H482" s="131"/>
      <c r="J482" s="149"/>
      <c r="K482" s="150">
        <f>MAX(K$422:K481)+1</f>
        <v>61</v>
      </c>
      <c r="L482" s="151">
        <f t="shared" si="86"/>
        <v>1</v>
      </c>
      <c r="M482" s="152" t="s">
        <v>317</v>
      </c>
      <c r="N482" s="153"/>
      <c r="O482" s="153"/>
      <c r="P482" s="153"/>
      <c r="Q482" s="153"/>
      <c r="R482" s="153"/>
      <c r="S482" s="154">
        <f t="shared" si="85"/>
        <v>0</v>
      </c>
      <c r="T482" s="155"/>
      <c r="U482" s="154">
        <f>'[1]Pricing Schedule'!F41</f>
        <v>1.0073026969569238E-2</v>
      </c>
      <c r="V482" s="156"/>
      <c r="W482" s="157"/>
      <c r="X482" s="157"/>
      <c r="Y482" s="158">
        <f>'[1]Pricing Schedule'!H41*'[1]Pricing Schedule'!$G41</f>
        <v>3960</v>
      </c>
      <c r="Z482" s="158">
        <f>'[1]Pricing Schedule'!I41*'[1]Pricing Schedule'!$G41</f>
        <v>3960</v>
      </c>
      <c r="AA482" s="159" t="s">
        <v>278</v>
      </c>
      <c r="AB482" s="160"/>
      <c r="AC482" s="158">
        <f t="shared" si="87"/>
        <v>39.889186799494183</v>
      </c>
    </row>
    <row r="483" spans="8:29" ht="12.5">
      <c r="H483" s="131"/>
      <c r="J483" s="149"/>
      <c r="K483" s="150">
        <f>MAX(K$422:K482)+1</f>
        <v>62</v>
      </c>
      <c r="L483" s="151">
        <f t="shared" si="86"/>
        <v>1</v>
      </c>
      <c r="M483" s="152" t="s">
        <v>318</v>
      </c>
      <c r="N483" s="153"/>
      <c r="O483" s="153"/>
      <c r="P483" s="153"/>
      <c r="Q483" s="153"/>
      <c r="R483" s="153"/>
      <c r="S483" s="154">
        <f t="shared" si="85"/>
        <v>0</v>
      </c>
      <c r="T483" s="155"/>
      <c r="U483" s="154">
        <f>'[1]Pricing Schedule'!F42</f>
        <v>9.8104483560355182E-3</v>
      </c>
      <c r="V483" s="156"/>
      <c r="W483" s="157"/>
      <c r="X483" s="157"/>
      <c r="Y483" s="158">
        <f>'[1]Pricing Schedule'!H42*'[1]Pricing Schedule'!$G42</f>
        <v>3900</v>
      </c>
      <c r="Z483" s="158">
        <f>'[1]Pricing Schedule'!I42*'[1]Pricing Schedule'!$G42</f>
        <v>3900</v>
      </c>
      <c r="AA483" s="159" t="s">
        <v>278</v>
      </c>
      <c r="AB483" s="160"/>
      <c r="AC483" s="158">
        <f t="shared" si="87"/>
        <v>38.260748588538519</v>
      </c>
    </row>
    <row r="484" spans="8:29" ht="12.5">
      <c r="H484" s="131"/>
      <c r="J484" s="149"/>
      <c r="K484" s="150">
        <f>MAX(K$422:K483)+1</f>
        <v>63</v>
      </c>
      <c r="L484" s="151">
        <f t="shared" si="86"/>
        <v>1</v>
      </c>
      <c r="M484" s="152" t="s">
        <v>319</v>
      </c>
      <c r="N484" s="153"/>
      <c r="O484" s="153"/>
      <c r="P484" s="153"/>
      <c r="Q484" s="153"/>
      <c r="R484" s="153"/>
      <c r="S484" s="154">
        <f t="shared" si="85"/>
        <v>0</v>
      </c>
      <c r="T484" s="155"/>
      <c r="U484" s="154">
        <f>'[1]Pricing Schedule'!F43</f>
        <v>2.9001190145422167E-2</v>
      </c>
      <c r="V484" s="156"/>
      <c r="W484" s="157"/>
      <c r="X484" s="157"/>
      <c r="Y484" s="158">
        <f>'[1]Pricing Schedule'!H43*'[1]Pricing Schedule'!$G43</f>
        <v>1350</v>
      </c>
      <c r="Z484" s="158">
        <f>'[1]Pricing Schedule'!I43*'[1]Pricing Schedule'!$G43</f>
        <v>1350</v>
      </c>
      <c r="AA484" s="159" t="s">
        <v>278</v>
      </c>
      <c r="AB484" s="160"/>
      <c r="AC484" s="158">
        <f t="shared" si="87"/>
        <v>39.151606696319924</v>
      </c>
    </row>
    <row r="485" spans="8:29" ht="12.5">
      <c r="H485" s="131"/>
      <c r="J485" s="149"/>
      <c r="K485" s="150">
        <f>MAX(K$422:K484)+1</f>
        <v>64</v>
      </c>
      <c r="L485" s="151">
        <f t="shared" si="86"/>
        <v>1</v>
      </c>
      <c r="M485" s="152" t="s">
        <v>320</v>
      </c>
      <c r="N485" s="153"/>
      <c r="O485" s="153"/>
      <c r="P485" s="153"/>
      <c r="Q485" s="153"/>
      <c r="R485" s="153"/>
      <c r="S485" s="154">
        <f t="shared" si="85"/>
        <v>0</v>
      </c>
      <c r="T485" s="155"/>
      <c r="U485" s="154">
        <f>'[1]Pricing Schedule'!F44</f>
        <v>0.43</v>
      </c>
      <c r="V485" s="156"/>
      <c r="W485" s="157"/>
      <c r="X485" s="157"/>
      <c r="Y485" s="158">
        <f>'[1]Pricing Schedule'!H44*'[1]Pricing Schedule'!$G44</f>
        <v>3</v>
      </c>
      <c r="Z485" s="158">
        <f>'[1]Pricing Schedule'!I44*'[1]Pricing Schedule'!$G44</f>
        <v>3</v>
      </c>
      <c r="AA485" s="159" t="s">
        <v>278</v>
      </c>
      <c r="AB485" s="160"/>
      <c r="AC485" s="158">
        <f t="shared" si="87"/>
        <v>1.29</v>
      </c>
    </row>
    <row r="486" spans="8:29" ht="12.5">
      <c r="H486" s="131"/>
      <c r="J486" s="149"/>
      <c r="K486" s="150">
        <f>MAX(K$422:K485)+1</f>
        <v>65</v>
      </c>
      <c r="L486" s="151">
        <f t="shared" si="86"/>
        <v>1</v>
      </c>
      <c r="M486" s="152" t="s">
        <v>321</v>
      </c>
      <c r="N486" s="153"/>
      <c r="O486" s="153"/>
      <c r="P486" s="153"/>
      <c r="Q486" s="153"/>
      <c r="R486" s="153"/>
      <c r="S486" s="154">
        <f t="shared" si="85"/>
        <v>0</v>
      </c>
      <c r="T486" s="155"/>
      <c r="U486" s="154">
        <f>'[1]Pricing Schedule'!F45</f>
        <v>3.6160000000000001</v>
      </c>
      <c r="V486" s="156"/>
      <c r="W486" s="157"/>
      <c r="X486" s="157"/>
      <c r="Y486" s="158">
        <f>'[1]Pricing Schedule'!H45*'[1]Pricing Schedule'!$G45</f>
        <v>0</v>
      </c>
      <c r="Z486" s="158">
        <f>'[1]Pricing Schedule'!I45*'[1]Pricing Schedule'!$G45</f>
        <v>0</v>
      </c>
      <c r="AA486" s="159" t="s">
        <v>278</v>
      </c>
      <c r="AB486" s="160"/>
      <c r="AC486" s="158">
        <f t="shared" ref="AC486:AC487" si="88">INDEX(Y486:Z486,1,MATCH(_WellBasketSelection,$Y$421:$Z$421,0))*U486</f>
        <v>0</v>
      </c>
    </row>
    <row r="487" spans="8:29" ht="12.5">
      <c r="H487" s="131"/>
      <c r="J487" s="149"/>
      <c r="K487" s="150">
        <f>MAX(K$422:K486)+1</f>
        <v>66</v>
      </c>
      <c r="L487" s="151">
        <f t="shared" si="86"/>
        <v>1</v>
      </c>
      <c r="M487" s="152" t="s">
        <v>322</v>
      </c>
      <c r="N487" s="153"/>
      <c r="O487" s="153"/>
      <c r="P487" s="153"/>
      <c r="Q487" s="153"/>
      <c r="R487" s="153"/>
      <c r="S487" s="154">
        <f t="shared" ref="S487:S550" si="89">SUM(N487:R487)</f>
        <v>0</v>
      </c>
      <c r="T487" s="155"/>
      <c r="U487" s="154">
        <f>'[1]Pricing Schedule'!F46</f>
        <v>0</v>
      </c>
      <c r="V487" s="156"/>
      <c r="W487" s="157"/>
      <c r="X487" s="157"/>
      <c r="Y487" s="158">
        <f>'[1]Pricing Schedule'!H46*'[1]Pricing Schedule'!$G46</f>
        <v>3</v>
      </c>
      <c r="Z487" s="158">
        <f>'[1]Pricing Schedule'!I46*'[1]Pricing Schedule'!$G46</f>
        <v>3</v>
      </c>
      <c r="AA487" s="159" t="s">
        <v>278</v>
      </c>
      <c r="AB487" s="160"/>
      <c r="AC487" s="158">
        <f t="shared" si="88"/>
        <v>0</v>
      </c>
    </row>
    <row r="488" spans="8:29" ht="12.5">
      <c r="H488" s="131"/>
      <c r="J488" s="149"/>
      <c r="K488" s="150">
        <f>MAX(K$422:K487)+1</f>
        <v>67</v>
      </c>
      <c r="L488" s="151">
        <f t="shared" si="86"/>
        <v>1</v>
      </c>
      <c r="M488" s="152"/>
      <c r="N488" s="153"/>
      <c r="O488" s="153"/>
      <c r="P488" s="153"/>
      <c r="Q488" s="153"/>
      <c r="R488" s="153"/>
      <c r="S488" s="154"/>
      <c r="T488" s="155"/>
      <c r="U488" s="154"/>
      <c r="V488" s="156"/>
      <c r="W488" s="157"/>
      <c r="X488" s="157"/>
      <c r="Y488" s="158"/>
      <c r="Z488" s="158"/>
      <c r="AA488" s="159"/>
      <c r="AB488" s="160"/>
      <c r="AC488" s="158"/>
    </row>
    <row r="489" spans="8:29" ht="12.5">
      <c r="H489" s="131"/>
      <c r="J489" s="149"/>
      <c r="K489" s="150">
        <f>MAX(K$422:K488)+1</f>
        <v>68</v>
      </c>
      <c r="L489" s="151">
        <f t="shared" ref="L489:L552" si="90">IF(J488="",L488,L488+1)</f>
        <v>1</v>
      </c>
      <c r="M489" s="152"/>
      <c r="N489" s="153"/>
      <c r="O489" s="153"/>
      <c r="P489" s="153"/>
      <c r="Q489" s="153"/>
      <c r="R489" s="153"/>
      <c r="S489" s="154"/>
      <c r="T489" s="155"/>
      <c r="U489" s="154"/>
      <c r="V489" s="156"/>
      <c r="W489" s="157"/>
      <c r="X489" s="157"/>
      <c r="Y489" s="158"/>
      <c r="Z489" s="158"/>
      <c r="AA489" s="159"/>
      <c r="AB489" s="160"/>
      <c r="AC489" s="158"/>
    </row>
    <row r="490" spans="8:29" ht="12.5">
      <c r="H490" s="131"/>
      <c r="J490" s="149"/>
      <c r="K490" s="150">
        <f>MAX(K$422:K489)+1</f>
        <v>69</v>
      </c>
      <c r="L490" s="151">
        <f t="shared" si="90"/>
        <v>1</v>
      </c>
      <c r="M490" s="152"/>
      <c r="N490" s="153"/>
      <c r="O490" s="153"/>
      <c r="P490" s="153"/>
      <c r="Q490" s="153"/>
      <c r="R490" s="153"/>
      <c r="S490" s="154"/>
      <c r="T490" s="155"/>
      <c r="U490" s="154"/>
      <c r="V490" s="156"/>
      <c r="W490" s="157"/>
      <c r="X490" s="157"/>
      <c r="Y490" s="158"/>
      <c r="Z490" s="158"/>
      <c r="AA490" s="159"/>
      <c r="AB490" s="160"/>
      <c r="AC490" s="158"/>
    </row>
    <row r="491" spans="8:29" ht="12.5">
      <c r="H491" s="131"/>
      <c r="J491" s="149"/>
      <c r="K491" s="150">
        <f>MAX(K$422:K490)+1</f>
        <v>70</v>
      </c>
      <c r="L491" s="151">
        <f t="shared" si="90"/>
        <v>1</v>
      </c>
      <c r="M491" s="152"/>
      <c r="N491" s="153"/>
      <c r="O491" s="153"/>
      <c r="P491" s="153"/>
      <c r="Q491" s="153"/>
      <c r="R491" s="153"/>
      <c r="S491" s="154"/>
      <c r="T491" s="155"/>
      <c r="U491" s="154"/>
      <c r="V491" s="156"/>
      <c r="W491" s="157"/>
      <c r="X491" s="157"/>
      <c r="Y491" s="158"/>
      <c r="Z491" s="158"/>
      <c r="AA491" s="159"/>
      <c r="AB491" s="160"/>
      <c r="AC491" s="158"/>
    </row>
    <row r="492" spans="8:29" ht="12.5">
      <c r="H492" s="131"/>
      <c r="J492" s="149"/>
      <c r="K492" s="150">
        <f>MAX(K$422:K491)+1</f>
        <v>71</v>
      </c>
      <c r="L492" s="151">
        <f t="shared" si="90"/>
        <v>1</v>
      </c>
      <c r="M492" s="152"/>
      <c r="N492" s="153"/>
      <c r="O492" s="153"/>
      <c r="P492" s="153"/>
      <c r="Q492" s="153"/>
      <c r="R492" s="153"/>
      <c r="S492" s="154"/>
      <c r="T492" s="155"/>
      <c r="U492" s="154"/>
      <c r="V492" s="156"/>
      <c r="W492" s="157"/>
      <c r="X492" s="157"/>
      <c r="Y492" s="158"/>
      <c r="Z492" s="158"/>
      <c r="AA492" s="159"/>
      <c r="AB492" s="160"/>
      <c r="AC492" s="158"/>
    </row>
    <row r="493" spans="8:29" ht="12.5">
      <c r="H493" s="131"/>
      <c r="J493" s="149"/>
      <c r="K493" s="150">
        <f>MAX(K$422:K492)+1</f>
        <v>72</v>
      </c>
      <c r="L493" s="151">
        <f t="shared" si="90"/>
        <v>1</v>
      </c>
      <c r="M493" s="152"/>
      <c r="N493" s="153"/>
      <c r="O493" s="153"/>
      <c r="P493" s="153"/>
      <c r="Q493" s="153"/>
      <c r="R493" s="153"/>
      <c r="S493" s="154"/>
      <c r="T493" s="155"/>
      <c r="U493" s="154"/>
      <c r="V493" s="156"/>
      <c r="W493" s="157"/>
      <c r="X493" s="157"/>
      <c r="Y493" s="158"/>
      <c r="Z493" s="158"/>
      <c r="AA493" s="159"/>
      <c r="AB493" s="160"/>
      <c r="AC493" s="158"/>
    </row>
    <row r="494" spans="8:29" ht="12.5">
      <c r="H494" s="131"/>
      <c r="J494" s="149"/>
      <c r="K494" s="150">
        <f>MAX(K$422:K493)+1</f>
        <v>73</v>
      </c>
      <c r="L494" s="151">
        <f t="shared" si="90"/>
        <v>1</v>
      </c>
      <c r="M494" s="152"/>
      <c r="N494" s="153"/>
      <c r="O494" s="153"/>
      <c r="P494" s="153"/>
      <c r="Q494" s="153"/>
      <c r="R494" s="153"/>
      <c r="S494" s="154"/>
      <c r="T494" s="155"/>
      <c r="U494" s="154"/>
      <c r="V494" s="156"/>
      <c r="W494" s="157"/>
      <c r="X494" s="157"/>
      <c r="Y494" s="158"/>
      <c r="Z494" s="158"/>
      <c r="AA494" s="159"/>
      <c r="AB494" s="160"/>
      <c r="AC494" s="158"/>
    </row>
    <row r="495" spans="8:29" ht="12.5">
      <c r="H495" s="131"/>
      <c r="J495" s="149"/>
      <c r="K495" s="150">
        <f>MAX(K$422:K494)+1</f>
        <v>74</v>
      </c>
      <c r="L495" s="151">
        <f t="shared" si="90"/>
        <v>1</v>
      </c>
      <c r="M495" s="152"/>
      <c r="N495" s="153"/>
      <c r="O495" s="153"/>
      <c r="P495" s="153"/>
      <c r="Q495" s="153"/>
      <c r="R495" s="153"/>
      <c r="S495" s="154"/>
      <c r="T495" s="155"/>
      <c r="U495" s="154"/>
      <c r="V495" s="156"/>
      <c r="W495" s="157"/>
      <c r="X495" s="157"/>
      <c r="Y495" s="158"/>
      <c r="Z495" s="158"/>
      <c r="AA495" s="159"/>
      <c r="AB495" s="160"/>
      <c r="AC495" s="158"/>
    </row>
    <row r="496" spans="8:29" ht="12.5">
      <c r="H496" s="131"/>
      <c r="J496" s="149"/>
      <c r="K496" s="150">
        <f>MAX(K$422:K495)+1</f>
        <v>75</v>
      </c>
      <c r="L496" s="151">
        <f t="shared" si="90"/>
        <v>1</v>
      </c>
      <c r="M496" s="152"/>
      <c r="N496" s="153"/>
      <c r="O496" s="153"/>
      <c r="P496" s="153"/>
      <c r="Q496" s="153"/>
      <c r="R496" s="153"/>
      <c r="S496" s="154"/>
      <c r="T496" s="155"/>
      <c r="U496" s="154"/>
      <c r="V496" s="156"/>
      <c r="W496" s="157"/>
      <c r="X496" s="157"/>
      <c r="Y496" s="158"/>
      <c r="Z496" s="158"/>
      <c r="AA496" s="159"/>
      <c r="AB496" s="160"/>
      <c r="AC496" s="158"/>
    </row>
    <row r="497" spans="8:29" ht="12.5">
      <c r="H497" s="131"/>
      <c r="J497" s="149"/>
      <c r="K497" s="150">
        <f>MAX(K$422:K496)+1</f>
        <v>76</v>
      </c>
      <c r="L497" s="151">
        <f t="shared" si="90"/>
        <v>1</v>
      </c>
      <c r="M497" s="152"/>
      <c r="N497" s="153"/>
      <c r="O497" s="153"/>
      <c r="P497" s="153"/>
      <c r="Q497" s="153"/>
      <c r="R497" s="153"/>
      <c r="S497" s="154"/>
      <c r="T497" s="155"/>
      <c r="U497" s="154"/>
      <c r="V497" s="156"/>
      <c r="W497" s="157"/>
      <c r="X497" s="157"/>
      <c r="Y497" s="158"/>
      <c r="Z497" s="158"/>
      <c r="AA497" s="159"/>
      <c r="AB497" s="160"/>
      <c r="AC497" s="158"/>
    </row>
    <row r="498" spans="8:29" ht="12.5">
      <c r="H498" s="131"/>
      <c r="J498" s="149"/>
      <c r="K498" s="150">
        <f>MAX(K$422:K497)+1</f>
        <v>77</v>
      </c>
      <c r="L498" s="151">
        <f t="shared" si="90"/>
        <v>1</v>
      </c>
      <c r="M498" s="152"/>
      <c r="N498" s="153"/>
      <c r="O498" s="153"/>
      <c r="P498" s="153"/>
      <c r="Q498" s="153"/>
      <c r="R498" s="153"/>
      <c r="S498" s="154"/>
      <c r="T498" s="155"/>
      <c r="U498" s="154"/>
      <c r="V498" s="156"/>
      <c r="W498" s="157"/>
      <c r="X498" s="157"/>
      <c r="Y498" s="158"/>
      <c r="Z498" s="158"/>
      <c r="AA498" s="159"/>
      <c r="AB498" s="160"/>
      <c r="AC498" s="158"/>
    </row>
    <row r="499" spans="8:29" ht="12.5">
      <c r="H499" s="131"/>
      <c r="J499" s="149"/>
      <c r="K499" s="150">
        <f>MAX(K$422:K498)+1</f>
        <v>78</v>
      </c>
      <c r="L499" s="151">
        <f t="shared" si="90"/>
        <v>1</v>
      </c>
      <c r="M499" s="152"/>
      <c r="N499" s="153"/>
      <c r="O499" s="153"/>
      <c r="P499" s="153"/>
      <c r="Q499" s="153"/>
      <c r="R499" s="153"/>
      <c r="S499" s="154"/>
      <c r="T499" s="155"/>
      <c r="U499" s="154"/>
      <c r="V499" s="156"/>
      <c r="W499" s="157"/>
      <c r="X499" s="157"/>
      <c r="Y499" s="158"/>
      <c r="Z499" s="158"/>
      <c r="AA499" s="159"/>
      <c r="AB499" s="160"/>
      <c r="AC499" s="158"/>
    </row>
    <row r="500" spans="8:29" ht="12.5">
      <c r="H500" s="131"/>
      <c r="J500" s="149"/>
      <c r="K500" s="150">
        <f>MAX(K$422:K499)+1</f>
        <v>79</v>
      </c>
      <c r="L500" s="151">
        <f t="shared" si="90"/>
        <v>1</v>
      </c>
      <c r="M500" s="152"/>
      <c r="N500" s="153"/>
      <c r="O500" s="153"/>
      <c r="P500" s="153"/>
      <c r="Q500" s="153"/>
      <c r="R500" s="153"/>
      <c r="S500" s="154"/>
      <c r="T500" s="155"/>
      <c r="U500" s="154"/>
      <c r="V500" s="156"/>
      <c r="W500" s="157"/>
      <c r="X500" s="157"/>
      <c r="Y500" s="158"/>
      <c r="Z500" s="158"/>
      <c r="AA500" s="159"/>
      <c r="AB500" s="160"/>
      <c r="AC500" s="158"/>
    </row>
    <row r="501" spans="8:29" ht="12.5">
      <c r="H501" s="131"/>
      <c r="J501" s="149"/>
      <c r="K501" s="150">
        <f>MAX(K$422:K500)+1</f>
        <v>80</v>
      </c>
      <c r="L501" s="151">
        <f t="shared" si="90"/>
        <v>1</v>
      </c>
      <c r="M501" s="152"/>
      <c r="N501" s="153"/>
      <c r="O501" s="153"/>
      <c r="P501" s="153"/>
      <c r="Q501" s="153"/>
      <c r="R501" s="153"/>
      <c r="S501" s="154"/>
      <c r="T501" s="155"/>
      <c r="U501" s="154"/>
      <c r="V501" s="156"/>
      <c r="W501" s="157"/>
      <c r="X501" s="157"/>
      <c r="Y501" s="158"/>
      <c r="Z501" s="158"/>
      <c r="AA501" s="159"/>
      <c r="AB501" s="160"/>
      <c r="AC501" s="158"/>
    </row>
    <row r="502" spans="8:29" ht="12.5">
      <c r="H502" s="131"/>
      <c r="J502" s="149"/>
      <c r="K502" s="150">
        <f>MAX(K$422:K501)+1</f>
        <v>81</v>
      </c>
      <c r="L502" s="151">
        <f t="shared" si="90"/>
        <v>1</v>
      </c>
      <c r="M502" s="152"/>
      <c r="N502" s="153"/>
      <c r="O502" s="153"/>
      <c r="P502" s="153"/>
      <c r="Q502" s="153"/>
      <c r="R502" s="153"/>
      <c r="S502" s="154"/>
      <c r="T502" s="155"/>
      <c r="U502" s="154"/>
      <c r="V502" s="156"/>
      <c r="W502" s="157"/>
      <c r="X502" s="157"/>
      <c r="Y502" s="158"/>
      <c r="Z502" s="158"/>
      <c r="AA502" s="159"/>
      <c r="AB502" s="160"/>
      <c r="AC502" s="158"/>
    </row>
    <row r="503" spans="8:29" ht="12.5">
      <c r="H503" s="131"/>
      <c r="J503" s="149"/>
      <c r="K503" s="150">
        <f>MAX(K$422:K502)+1</f>
        <v>82</v>
      </c>
      <c r="L503" s="151">
        <f t="shared" si="90"/>
        <v>1</v>
      </c>
      <c r="M503" s="152"/>
      <c r="N503" s="153"/>
      <c r="O503" s="153"/>
      <c r="P503" s="153"/>
      <c r="Q503" s="153"/>
      <c r="R503" s="153"/>
      <c r="S503" s="154"/>
      <c r="T503" s="155"/>
      <c r="U503" s="154"/>
      <c r="V503" s="156"/>
      <c r="W503" s="157"/>
      <c r="X503" s="157"/>
      <c r="Y503" s="158"/>
      <c r="Z503" s="158"/>
      <c r="AA503" s="159"/>
      <c r="AB503" s="160"/>
      <c r="AC503" s="158"/>
    </row>
    <row r="504" spans="8:29" ht="12.5">
      <c r="H504" s="131"/>
      <c r="J504" s="149"/>
      <c r="K504" s="150">
        <f>MAX(K$422:K503)+1</f>
        <v>83</v>
      </c>
      <c r="L504" s="151">
        <f t="shared" si="90"/>
        <v>1</v>
      </c>
      <c r="M504" s="152"/>
      <c r="N504" s="153"/>
      <c r="O504" s="153"/>
      <c r="P504" s="153"/>
      <c r="Q504" s="153"/>
      <c r="R504" s="153"/>
      <c r="S504" s="154"/>
      <c r="T504" s="155"/>
      <c r="U504" s="154"/>
      <c r="V504" s="156"/>
      <c r="W504" s="157"/>
      <c r="X504" s="157"/>
      <c r="Y504" s="158"/>
      <c r="Z504" s="158"/>
      <c r="AA504" s="159"/>
      <c r="AB504" s="160"/>
      <c r="AC504" s="158"/>
    </row>
    <row r="505" spans="8:29" ht="12.5">
      <c r="H505" s="131"/>
      <c r="J505" s="149"/>
      <c r="K505" s="150">
        <f>MAX(K$422:K504)+1</f>
        <v>84</v>
      </c>
      <c r="L505" s="151">
        <f t="shared" si="90"/>
        <v>1</v>
      </c>
      <c r="M505" s="152"/>
      <c r="N505" s="153"/>
      <c r="O505" s="153"/>
      <c r="P505" s="153"/>
      <c r="Q505" s="153"/>
      <c r="R505" s="153"/>
      <c r="S505" s="154"/>
      <c r="T505" s="155"/>
      <c r="U505" s="154"/>
      <c r="V505" s="156"/>
      <c r="W505" s="157"/>
      <c r="X505" s="157"/>
      <c r="Y505" s="158"/>
      <c r="Z505" s="158"/>
      <c r="AA505" s="159"/>
      <c r="AB505" s="160"/>
      <c r="AC505" s="158"/>
    </row>
    <row r="506" spans="8:29" ht="12.5">
      <c r="H506" s="131"/>
      <c r="J506" s="149"/>
      <c r="K506" s="150">
        <f>MAX(K$422:K505)+1</f>
        <v>85</v>
      </c>
      <c r="L506" s="151">
        <f t="shared" si="90"/>
        <v>1</v>
      </c>
      <c r="M506" s="152"/>
      <c r="N506" s="153"/>
      <c r="O506" s="153"/>
      <c r="P506" s="153"/>
      <c r="Q506" s="153"/>
      <c r="R506" s="153"/>
      <c r="S506" s="154"/>
      <c r="T506" s="155"/>
      <c r="U506" s="154"/>
      <c r="V506" s="156"/>
      <c r="W506" s="157"/>
      <c r="X506" s="157"/>
      <c r="Y506" s="158"/>
      <c r="Z506" s="158"/>
      <c r="AA506" s="159"/>
      <c r="AB506" s="160"/>
      <c r="AC506" s="158"/>
    </row>
    <row r="507" spans="8:29" ht="12.5">
      <c r="H507" s="131"/>
      <c r="J507" s="149"/>
      <c r="K507" s="150">
        <f>MAX(K$422:K506)+1</f>
        <v>86</v>
      </c>
      <c r="L507" s="151">
        <f t="shared" si="90"/>
        <v>1</v>
      </c>
      <c r="M507" s="152"/>
      <c r="N507" s="153"/>
      <c r="O507" s="153"/>
      <c r="P507" s="153"/>
      <c r="Q507" s="153"/>
      <c r="R507" s="153"/>
      <c r="S507" s="154"/>
      <c r="T507" s="155"/>
      <c r="U507" s="154"/>
      <c r="V507" s="156"/>
      <c r="W507" s="157"/>
      <c r="X507" s="157"/>
      <c r="Y507" s="158"/>
      <c r="Z507" s="158"/>
      <c r="AA507" s="159"/>
      <c r="AB507" s="160"/>
      <c r="AC507" s="158"/>
    </row>
    <row r="508" spans="8:29" ht="12.5">
      <c r="H508" s="131"/>
      <c r="J508" s="149"/>
      <c r="K508" s="150">
        <f>MAX(K$422:K507)+1</f>
        <v>87</v>
      </c>
      <c r="L508" s="151">
        <f t="shared" si="90"/>
        <v>1</v>
      </c>
      <c r="M508" s="152"/>
      <c r="N508" s="153"/>
      <c r="O508" s="153"/>
      <c r="P508" s="153"/>
      <c r="Q508" s="153"/>
      <c r="R508" s="153"/>
      <c r="S508" s="154"/>
      <c r="T508" s="155"/>
      <c r="U508" s="154"/>
      <c r="V508" s="156"/>
      <c r="W508" s="157"/>
      <c r="X508" s="157"/>
      <c r="Y508" s="158"/>
      <c r="Z508" s="158"/>
      <c r="AA508" s="159"/>
      <c r="AB508" s="160"/>
      <c r="AC508" s="158"/>
    </row>
    <row r="509" spans="8:29" ht="12.5">
      <c r="H509" s="131"/>
      <c r="J509" s="149"/>
      <c r="K509" s="150">
        <f>MAX(K$422:K508)+1</f>
        <v>88</v>
      </c>
      <c r="L509" s="151">
        <f t="shared" si="90"/>
        <v>1</v>
      </c>
      <c r="M509" s="161"/>
      <c r="N509" s="155"/>
      <c r="O509" s="155"/>
      <c r="P509" s="155"/>
      <c r="Q509" s="155"/>
      <c r="R509" s="155"/>
      <c r="S509" s="154"/>
      <c r="T509" s="155"/>
      <c r="U509" s="154"/>
      <c r="V509" s="156"/>
      <c r="W509" s="157"/>
      <c r="X509" s="157"/>
      <c r="Y509" s="158"/>
      <c r="Z509" s="158"/>
      <c r="AA509" s="159"/>
      <c r="AB509" s="160"/>
      <c r="AC509" s="158"/>
    </row>
    <row r="510" spans="8:29" ht="12.5">
      <c r="H510" s="131"/>
      <c r="J510" s="149"/>
      <c r="K510" s="150">
        <f>MAX(K$422:K509)+1</f>
        <v>89</v>
      </c>
      <c r="L510" s="151">
        <f t="shared" si="90"/>
        <v>1</v>
      </c>
      <c r="M510" s="161"/>
      <c r="N510" s="155"/>
      <c r="O510" s="155"/>
      <c r="P510" s="155"/>
      <c r="Q510" s="155"/>
      <c r="R510" s="155"/>
      <c r="S510" s="154"/>
      <c r="T510" s="155"/>
      <c r="U510" s="154"/>
      <c r="V510" s="156"/>
      <c r="W510" s="157"/>
      <c r="X510" s="157"/>
      <c r="Y510" s="158"/>
      <c r="Z510" s="158"/>
      <c r="AA510" s="159"/>
      <c r="AB510" s="160"/>
      <c r="AC510" s="158"/>
    </row>
    <row r="511" spans="8:29" ht="12.5">
      <c r="H511" s="131"/>
      <c r="J511" s="149"/>
      <c r="K511" s="150">
        <f>MAX(K$422:K510)+1</f>
        <v>90</v>
      </c>
      <c r="L511" s="151">
        <f t="shared" si="90"/>
        <v>1</v>
      </c>
      <c r="M511" s="161"/>
      <c r="N511" s="153"/>
      <c r="O511" s="153"/>
      <c r="P511" s="153"/>
      <c r="Q511" s="153"/>
      <c r="R511" s="153"/>
      <c r="S511" s="154"/>
      <c r="T511" s="155"/>
      <c r="U511" s="154"/>
      <c r="V511" s="156"/>
      <c r="W511" s="157"/>
      <c r="X511" s="157"/>
      <c r="Y511" s="158"/>
      <c r="Z511" s="158"/>
      <c r="AA511" s="159"/>
      <c r="AB511" s="160"/>
      <c r="AC511" s="158"/>
    </row>
    <row r="512" spans="8:29" ht="12.5">
      <c r="H512" s="131"/>
      <c r="J512" s="149"/>
      <c r="K512" s="150">
        <f>MAX(K$422:K511)+1</f>
        <v>91</v>
      </c>
      <c r="L512" s="151">
        <f t="shared" si="90"/>
        <v>1</v>
      </c>
      <c r="M512" s="152"/>
      <c r="N512" s="153"/>
      <c r="O512" s="153"/>
      <c r="P512" s="153"/>
      <c r="Q512" s="153"/>
      <c r="R512" s="153"/>
      <c r="S512" s="154">
        <f t="shared" si="89"/>
        <v>0</v>
      </c>
      <c r="T512" s="155"/>
      <c r="U512" s="154">
        <f t="shared" ref="U512:U575" si="91">S512+T512</f>
        <v>0</v>
      </c>
      <c r="V512" s="156"/>
      <c r="W512" s="157"/>
      <c r="X512" s="157"/>
      <c r="Y512" s="158"/>
      <c r="Z512" s="162"/>
      <c r="AA512" s="159" t="s">
        <v>278</v>
      </c>
      <c r="AB512" s="160"/>
      <c r="AC512" s="158">
        <f t="shared" ref="AC512:AC549" si="92">INDEX(Y512:Z512,1,MATCH(_WellBasketSelection,$Y$421:$Z$421,0))*U512</f>
        <v>0</v>
      </c>
    </row>
    <row r="513" spans="8:29" ht="12.5">
      <c r="H513" s="131"/>
      <c r="J513" s="149"/>
      <c r="K513" s="150">
        <f>MAX(K$422:K512)+1</f>
        <v>92</v>
      </c>
      <c r="L513" s="151">
        <f t="shared" si="90"/>
        <v>1</v>
      </c>
      <c r="M513" s="152"/>
      <c r="N513" s="153"/>
      <c r="O513" s="153"/>
      <c r="P513" s="153"/>
      <c r="Q513" s="153"/>
      <c r="R513" s="153"/>
      <c r="S513" s="154">
        <f t="shared" si="89"/>
        <v>0</v>
      </c>
      <c r="T513" s="155"/>
      <c r="U513" s="154">
        <f t="shared" si="91"/>
        <v>0</v>
      </c>
      <c r="V513" s="156"/>
      <c r="W513" s="157"/>
      <c r="X513" s="157"/>
      <c r="Y513" s="158"/>
      <c r="Z513" s="162"/>
      <c r="AA513" s="159" t="s">
        <v>278</v>
      </c>
      <c r="AB513" s="160"/>
      <c r="AC513" s="158">
        <f t="shared" si="92"/>
        <v>0</v>
      </c>
    </row>
    <row r="514" spans="8:29" ht="12.5">
      <c r="H514" s="131"/>
      <c r="J514" s="149"/>
      <c r="K514" s="150">
        <f>MAX(K$422:K513)+1</f>
        <v>93</v>
      </c>
      <c r="L514" s="151">
        <f t="shared" si="90"/>
        <v>1</v>
      </c>
      <c r="M514" s="152"/>
      <c r="N514" s="153"/>
      <c r="O514" s="153"/>
      <c r="P514" s="153"/>
      <c r="Q514" s="153"/>
      <c r="R514" s="153"/>
      <c r="S514" s="154">
        <f t="shared" si="89"/>
        <v>0</v>
      </c>
      <c r="T514" s="155"/>
      <c r="U514" s="154">
        <f t="shared" si="91"/>
        <v>0</v>
      </c>
      <c r="V514" s="156"/>
      <c r="W514" s="157"/>
      <c r="X514" s="157"/>
      <c r="Y514" s="158"/>
      <c r="Z514" s="162"/>
      <c r="AA514" s="159" t="s">
        <v>278</v>
      </c>
      <c r="AB514" s="160"/>
      <c r="AC514" s="158">
        <f t="shared" si="92"/>
        <v>0</v>
      </c>
    </row>
    <row r="515" spans="8:29" ht="12.5">
      <c r="H515" s="131"/>
      <c r="J515" s="149"/>
      <c r="K515" s="150">
        <f>MAX(K$422:K514)+1</f>
        <v>94</v>
      </c>
      <c r="L515" s="151">
        <f t="shared" si="90"/>
        <v>1</v>
      </c>
      <c r="M515" s="152"/>
      <c r="N515" s="153"/>
      <c r="O515" s="153"/>
      <c r="P515" s="153"/>
      <c r="Q515" s="153"/>
      <c r="R515" s="153"/>
      <c r="S515" s="154">
        <f t="shared" si="89"/>
        <v>0</v>
      </c>
      <c r="T515" s="155"/>
      <c r="U515" s="154">
        <f t="shared" si="91"/>
        <v>0</v>
      </c>
      <c r="V515" s="156"/>
      <c r="W515" s="157"/>
      <c r="X515" s="157"/>
      <c r="Y515" s="158"/>
      <c r="Z515" s="162"/>
      <c r="AA515" s="159" t="s">
        <v>278</v>
      </c>
      <c r="AB515" s="160"/>
      <c r="AC515" s="158">
        <f t="shared" si="92"/>
        <v>0</v>
      </c>
    </row>
    <row r="516" spans="8:29" ht="12.5">
      <c r="H516" s="131"/>
      <c r="J516" s="149"/>
      <c r="K516" s="150">
        <f>MAX(K$422:K515)+1</f>
        <v>95</v>
      </c>
      <c r="L516" s="151">
        <f t="shared" si="90"/>
        <v>1</v>
      </c>
      <c r="M516" s="152"/>
      <c r="N516" s="153"/>
      <c r="O516" s="153"/>
      <c r="P516" s="153"/>
      <c r="Q516" s="153"/>
      <c r="R516" s="153"/>
      <c r="S516" s="154">
        <f t="shared" si="89"/>
        <v>0</v>
      </c>
      <c r="T516" s="155"/>
      <c r="U516" s="154">
        <f t="shared" si="91"/>
        <v>0</v>
      </c>
      <c r="V516" s="156"/>
      <c r="W516" s="157"/>
      <c r="X516" s="157"/>
      <c r="Y516" s="158"/>
      <c r="Z516" s="162"/>
      <c r="AA516" s="159" t="s">
        <v>278</v>
      </c>
      <c r="AB516" s="160"/>
      <c r="AC516" s="158">
        <f t="shared" si="92"/>
        <v>0</v>
      </c>
    </row>
    <row r="517" spans="8:29" ht="12.5">
      <c r="H517" s="131"/>
      <c r="J517" s="149"/>
      <c r="K517" s="150">
        <f>MAX(K$422:K516)+1</f>
        <v>96</v>
      </c>
      <c r="L517" s="151">
        <f t="shared" si="90"/>
        <v>1</v>
      </c>
      <c r="M517" s="152"/>
      <c r="N517" s="153"/>
      <c r="O517" s="153"/>
      <c r="P517" s="153"/>
      <c r="Q517" s="153"/>
      <c r="R517" s="153"/>
      <c r="S517" s="154">
        <f t="shared" si="89"/>
        <v>0</v>
      </c>
      <c r="T517" s="155"/>
      <c r="U517" s="154">
        <f t="shared" si="91"/>
        <v>0</v>
      </c>
      <c r="V517" s="156"/>
      <c r="W517" s="157"/>
      <c r="X517" s="157"/>
      <c r="Y517" s="158"/>
      <c r="Z517" s="162"/>
      <c r="AA517" s="159" t="s">
        <v>278</v>
      </c>
      <c r="AB517" s="160"/>
      <c r="AC517" s="158">
        <f t="shared" si="92"/>
        <v>0</v>
      </c>
    </row>
    <row r="518" spans="8:29" ht="12.5">
      <c r="H518" s="131"/>
      <c r="J518" s="149"/>
      <c r="K518" s="150">
        <f>MAX(K$422:K517)+1</f>
        <v>97</v>
      </c>
      <c r="L518" s="151">
        <f t="shared" si="90"/>
        <v>1</v>
      </c>
      <c r="M518" s="152"/>
      <c r="N518" s="153"/>
      <c r="O518" s="153"/>
      <c r="P518" s="153"/>
      <c r="Q518" s="153"/>
      <c r="R518" s="153"/>
      <c r="S518" s="154">
        <f t="shared" si="89"/>
        <v>0</v>
      </c>
      <c r="T518" s="155"/>
      <c r="U518" s="154">
        <f t="shared" si="91"/>
        <v>0</v>
      </c>
      <c r="V518" s="156"/>
      <c r="W518" s="157"/>
      <c r="X518" s="157"/>
      <c r="Y518" s="158"/>
      <c r="Z518" s="162"/>
      <c r="AA518" s="159" t="s">
        <v>278</v>
      </c>
      <c r="AB518" s="160"/>
      <c r="AC518" s="158">
        <f t="shared" si="92"/>
        <v>0</v>
      </c>
    </row>
    <row r="519" spans="8:29" ht="12.5">
      <c r="H519" s="131"/>
      <c r="J519" s="149"/>
      <c r="K519" s="150">
        <f>MAX(K$422:K518)+1</f>
        <v>98</v>
      </c>
      <c r="L519" s="151">
        <f t="shared" si="90"/>
        <v>1</v>
      </c>
      <c r="M519" s="152"/>
      <c r="N519" s="153"/>
      <c r="O519" s="153"/>
      <c r="P519" s="153"/>
      <c r="Q519" s="153"/>
      <c r="R519" s="153"/>
      <c r="S519" s="154">
        <f t="shared" si="89"/>
        <v>0</v>
      </c>
      <c r="T519" s="155"/>
      <c r="U519" s="154">
        <f t="shared" si="91"/>
        <v>0</v>
      </c>
      <c r="V519" s="156"/>
      <c r="W519" s="157"/>
      <c r="X519" s="157"/>
      <c r="Y519" s="158"/>
      <c r="Z519" s="162"/>
      <c r="AA519" s="159" t="s">
        <v>278</v>
      </c>
      <c r="AB519" s="160"/>
      <c r="AC519" s="158">
        <f t="shared" si="92"/>
        <v>0</v>
      </c>
    </row>
    <row r="520" spans="8:29" ht="12.5">
      <c r="H520" s="131"/>
      <c r="J520" s="149"/>
      <c r="K520" s="150">
        <f>MAX(K$422:K519)+1</f>
        <v>99</v>
      </c>
      <c r="L520" s="151">
        <f t="shared" si="90"/>
        <v>1</v>
      </c>
      <c r="M520" s="152"/>
      <c r="N520" s="153"/>
      <c r="O520" s="153"/>
      <c r="P520" s="153"/>
      <c r="Q520" s="153"/>
      <c r="R520" s="153"/>
      <c r="S520" s="154">
        <f t="shared" si="89"/>
        <v>0</v>
      </c>
      <c r="T520" s="155"/>
      <c r="U520" s="154">
        <f t="shared" si="91"/>
        <v>0</v>
      </c>
      <c r="V520" s="156"/>
      <c r="W520" s="157"/>
      <c r="X520" s="157"/>
      <c r="Y520" s="158"/>
      <c r="Z520" s="162"/>
      <c r="AA520" s="159" t="s">
        <v>278</v>
      </c>
      <c r="AB520" s="160"/>
      <c r="AC520" s="158">
        <f t="shared" si="92"/>
        <v>0</v>
      </c>
    </row>
    <row r="521" spans="8:29" ht="12.5">
      <c r="H521" s="131"/>
      <c r="J521" s="149"/>
      <c r="K521" s="150">
        <f>MAX(K$422:K520)+1</f>
        <v>100</v>
      </c>
      <c r="L521" s="151">
        <f t="shared" si="90"/>
        <v>1</v>
      </c>
      <c r="M521" s="152"/>
      <c r="N521" s="153"/>
      <c r="O521" s="153"/>
      <c r="P521" s="153"/>
      <c r="Q521" s="153"/>
      <c r="R521" s="153"/>
      <c r="S521" s="154">
        <f t="shared" si="89"/>
        <v>0</v>
      </c>
      <c r="T521" s="155"/>
      <c r="U521" s="154">
        <f t="shared" si="91"/>
        <v>0</v>
      </c>
      <c r="V521" s="156"/>
      <c r="W521" s="157"/>
      <c r="X521" s="157"/>
      <c r="Y521" s="158"/>
      <c r="Z521" s="162"/>
      <c r="AA521" s="159" t="s">
        <v>278</v>
      </c>
      <c r="AB521" s="160"/>
      <c r="AC521" s="158">
        <f t="shared" si="92"/>
        <v>0</v>
      </c>
    </row>
    <row r="522" spans="8:29" ht="12.5">
      <c r="H522" s="131"/>
      <c r="J522" s="149"/>
      <c r="K522" s="150">
        <f>MAX(K$422:K521)+1</f>
        <v>101</v>
      </c>
      <c r="L522" s="151">
        <f t="shared" si="90"/>
        <v>1</v>
      </c>
      <c r="M522" s="152"/>
      <c r="N522" s="153"/>
      <c r="O522" s="153"/>
      <c r="P522" s="153"/>
      <c r="Q522" s="153"/>
      <c r="R522" s="153"/>
      <c r="S522" s="154">
        <f t="shared" si="89"/>
        <v>0</v>
      </c>
      <c r="T522" s="155"/>
      <c r="U522" s="154">
        <f t="shared" si="91"/>
        <v>0</v>
      </c>
      <c r="V522" s="156"/>
      <c r="W522" s="157"/>
      <c r="X522" s="157"/>
      <c r="Y522" s="158"/>
      <c r="Z522" s="162"/>
      <c r="AA522" s="159" t="s">
        <v>278</v>
      </c>
      <c r="AB522" s="160"/>
      <c r="AC522" s="158">
        <f t="shared" si="92"/>
        <v>0</v>
      </c>
    </row>
    <row r="523" spans="8:29" ht="12.5">
      <c r="H523" s="131"/>
      <c r="J523" s="149"/>
      <c r="K523" s="150">
        <f>MAX(K$422:K522)+1</f>
        <v>102</v>
      </c>
      <c r="L523" s="151">
        <f t="shared" si="90"/>
        <v>1</v>
      </c>
      <c r="M523" s="152"/>
      <c r="N523" s="153"/>
      <c r="O523" s="153"/>
      <c r="P523" s="153"/>
      <c r="Q523" s="153"/>
      <c r="R523" s="153"/>
      <c r="S523" s="154">
        <f t="shared" si="89"/>
        <v>0</v>
      </c>
      <c r="T523" s="155"/>
      <c r="U523" s="154">
        <f t="shared" si="91"/>
        <v>0</v>
      </c>
      <c r="V523" s="156"/>
      <c r="W523" s="157"/>
      <c r="X523" s="157"/>
      <c r="Y523" s="158"/>
      <c r="Z523" s="162"/>
      <c r="AA523" s="159" t="s">
        <v>278</v>
      </c>
      <c r="AB523" s="160"/>
      <c r="AC523" s="158">
        <f t="shared" si="92"/>
        <v>0</v>
      </c>
    </row>
    <row r="524" spans="8:29" ht="12.5">
      <c r="H524" s="131"/>
      <c r="J524" s="149"/>
      <c r="K524" s="150">
        <f>MAX(K$422:K523)+1</f>
        <v>103</v>
      </c>
      <c r="L524" s="151">
        <f t="shared" si="90"/>
        <v>1</v>
      </c>
      <c r="M524" s="152"/>
      <c r="N524" s="153"/>
      <c r="O524" s="153"/>
      <c r="P524" s="153"/>
      <c r="Q524" s="153"/>
      <c r="R524" s="153"/>
      <c r="S524" s="154">
        <f t="shared" si="89"/>
        <v>0</v>
      </c>
      <c r="T524" s="155"/>
      <c r="U524" s="154">
        <f t="shared" si="91"/>
        <v>0</v>
      </c>
      <c r="V524" s="156"/>
      <c r="W524" s="157"/>
      <c r="X524" s="157"/>
      <c r="Y524" s="158"/>
      <c r="Z524" s="162"/>
      <c r="AA524" s="159" t="s">
        <v>278</v>
      </c>
      <c r="AB524" s="160"/>
      <c r="AC524" s="158">
        <f t="shared" si="92"/>
        <v>0</v>
      </c>
    </row>
    <row r="525" spans="8:29" ht="12.5">
      <c r="H525" s="131"/>
      <c r="J525" s="149"/>
      <c r="K525" s="150">
        <f>MAX(K$422:K524)+1</f>
        <v>104</v>
      </c>
      <c r="L525" s="151">
        <f t="shared" si="90"/>
        <v>1</v>
      </c>
      <c r="M525" s="152"/>
      <c r="N525" s="153"/>
      <c r="O525" s="153"/>
      <c r="P525" s="153"/>
      <c r="Q525" s="153"/>
      <c r="R525" s="153"/>
      <c r="S525" s="154">
        <f t="shared" si="89"/>
        <v>0</v>
      </c>
      <c r="T525" s="155"/>
      <c r="U525" s="154">
        <f t="shared" si="91"/>
        <v>0</v>
      </c>
      <c r="V525" s="156"/>
      <c r="W525" s="157"/>
      <c r="X525" s="157"/>
      <c r="Y525" s="158"/>
      <c r="Z525" s="162"/>
      <c r="AA525" s="159" t="s">
        <v>278</v>
      </c>
      <c r="AB525" s="160"/>
      <c r="AC525" s="158">
        <f t="shared" si="92"/>
        <v>0</v>
      </c>
    </row>
    <row r="526" spans="8:29" ht="12.5">
      <c r="H526" s="131"/>
      <c r="J526" s="149"/>
      <c r="K526" s="150">
        <f>MAX(K$422:K525)+1</f>
        <v>105</v>
      </c>
      <c r="L526" s="151">
        <f t="shared" si="90"/>
        <v>1</v>
      </c>
      <c r="M526" s="152"/>
      <c r="N526" s="153"/>
      <c r="O526" s="153"/>
      <c r="P526" s="153"/>
      <c r="Q526" s="153"/>
      <c r="R526" s="153"/>
      <c r="S526" s="154">
        <f t="shared" si="89"/>
        <v>0</v>
      </c>
      <c r="T526" s="155"/>
      <c r="U526" s="154">
        <f t="shared" si="91"/>
        <v>0</v>
      </c>
      <c r="V526" s="156"/>
      <c r="W526" s="157"/>
      <c r="X526" s="157"/>
      <c r="Y526" s="158"/>
      <c r="Z526" s="162"/>
      <c r="AA526" s="159" t="s">
        <v>278</v>
      </c>
      <c r="AB526" s="160"/>
      <c r="AC526" s="158">
        <f t="shared" si="92"/>
        <v>0</v>
      </c>
    </row>
    <row r="527" spans="8:29" ht="12.5">
      <c r="H527" s="131"/>
      <c r="J527" s="149"/>
      <c r="K527" s="150">
        <f>MAX(K$422:K526)+1</f>
        <v>106</v>
      </c>
      <c r="L527" s="151">
        <f t="shared" si="90"/>
        <v>1</v>
      </c>
      <c r="M527" s="152"/>
      <c r="N527" s="153"/>
      <c r="O527" s="153"/>
      <c r="P527" s="153"/>
      <c r="Q527" s="153"/>
      <c r="R527" s="153"/>
      <c r="S527" s="154">
        <f t="shared" si="89"/>
        <v>0</v>
      </c>
      <c r="T527" s="155"/>
      <c r="U527" s="154">
        <f t="shared" si="91"/>
        <v>0</v>
      </c>
      <c r="V527" s="156"/>
      <c r="W527" s="157"/>
      <c r="X527" s="157"/>
      <c r="Y527" s="158"/>
      <c r="Z527" s="162"/>
      <c r="AA527" s="159" t="s">
        <v>278</v>
      </c>
      <c r="AB527" s="160"/>
      <c r="AC527" s="158">
        <f t="shared" si="92"/>
        <v>0</v>
      </c>
    </row>
    <row r="528" spans="8:29" ht="12.5">
      <c r="H528" s="131"/>
      <c r="J528" s="149"/>
      <c r="K528" s="150">
        <f>MAX(K$422:K527)+1</f>
        <v>107</v>
      </c>
      <c r="L528" s="151">
        <f t="shared" si="90"/>
        <v>1</v>
      </c>
      <c r="M528" s="152"/>
      <c r="N528" s="153"/>
      <c r="O528" s="153"/>
      <c r="P528" s="153"/>
      <c r="Q528" s="153"/>
      <c r="R528" s="153"/>
      <c r="S528" s="154">
        <f t="shared" si="89"/>
        <v>0</v>
      </c>
      <c r="T528" s="155"/>
      <c r="U528" s="154">
        <f t="shared" si="91"/>
        <v>0</v>
      </c>
      <c r="V528" s="156"/>
      <c r="W528" s="157"/>
      <c r="X528" s="157"/>
      <c r="Y528" s="158"/>
      <c r="Z528" s="162"/>
      <c r="AA528" s="159" t="s">
        <v>278</v>
      </c>
      <c r="AB528" s="160"/>
      <c r="AC528" s="158">
        <f t="shared" si="92"/>
        <v>0</v>
      </c>
    </row>
    <row r="529" spans="8:29" ht="12.5">
      <c r="H529" s="131"/>
      <c r="J529" s="149"/>
      <c r="K529" s="150">
        <f>MAX(K$422:K528)+1</f>
        <v>108</v>
      </c>
      <c r="L529" s="151">
        <f t="shared" si="90"/>
        <v>1</v>
      </c>
      <c r="M529" s="152"/>
      <c r="N529" s="153"/>
      <c r="O529" s="153"/>
      <c r="P529" s="153"/>
      <c r="Q529" s="153"/>
      <c r="R529" s="153"/>
      <c r="S529" s="154">
        <f t="shared" si="89"/>
        <v>0</v>
      </c>
      <c r="T529" s="155"/>
      <c r="U529" s="154">
        <f t="shared" si="91"/>
        <v>0</v>
      </c>
      <c r="V529" s="156"/>
      <c r="W529" s="157"/>
      <c r="X529" s="157"/>
      <c r="Y529" s="158"/>
      <c r="Z529" s="162"/>
      <c r="AA529" s="159" t="s">
        <v>278</v>
      </c>
      <c r="AB529" s="160"/>
      <c r="AC529" s="158">
        <f t="shared" si="92"/>
        <v>0</v>
      </c>
    </row>
    <row r="530" spans="8:29" ht="12.5">
      <c r="H530" s="131"/>
      <c r="J530" s="149"/>
      <c r="K530" s="150">
        <f>MAX(K$422:K529)+1</f>
        <v>109</v>
      </c>
      <c r="L530" s="151">
        <f t="shared" si="90"/>
        <v>1</v>
      </c>
      <c r="M530" s="152"/>
      <c r="N530" s="153"/>
      <c r="O530" s="153"/>
      <c r="P530" s="153"/>
      <c r="Q530" s="153"/>
      <c r="R530" s="153"/>
      <c r="S530" s="154">
        <f t="shared" si="89"/>
        <v>0</v>
      </c>
      <c r="T530" s="155"/>
      <c r="U530" s="154">
        <f t="shared" si="91"/>
        <v>0</v>
      </c>
      <c r="V530" s="156"/>
      <c r="W530" s="157"/>
      <c r="X530" s="157"/>
      <c r="Y530" s="158"/>
      <c r="Z530" s="162"/>
      <c r="AA530" s="159" t="s">
        <v>278</v>
      </c>
      <c r="AB530" s="160"/>
      <c r="AC530" s="158">
        <f t="shared" si="92"/>
        <v>0</v>
      </c>
    </row>
    <row r="531" spans="8:29" ht="12.5">
      <c r="H531" s="131"/>
      <c r="J531" s="149"/>
      <c r="K531" s="150">
        <f>MAX(K$422:K530)+1</f>
        <v>110</v>
      </c>
      <c r="L531" s="151">
        <f t="shared" si="90"/>
        <v>1</v>
      </c>
      <c r="M531" s="152"/>
      <c r="N531" s="153"/>
      <c r="O531" s="153"/>
      <c r="P531" s="153"/>
      <c r="Q531" s="153"/>
      <c r="R531" s="153"/>
      <c r="S531" s="154">
        <f t="shared" si="89"/>
        <v>0</v>
      </c>
      <c r="T531" s="155"/>
      <c r="U531" s="154">
        <f t="shared" si="91"/>
        <v>0</v>
      </c>
      <c r="V531" s="156"/>
      <c r="W531" s="157"/>
      <c r="X531" s="157"/>
      <c r="Y531" s="158"/>
      <c r="Z531" s="162"/>
      <c r="AA531" s="159" t="s">
        <v>278</v>
      </c>
      <c r="AB531" s="160"/>
      <c r="AC531" s="158">
        <f t="shared" si="92"/>
        <v>0</v>
      </c>
    </row>
    <row r="532" spans="8:29" ht="12.5">
      <c r="H532" s="131"/>
      <c r="J532" s="149"/>
      <c r="K532" s="150">
        <f>MAX(K$422:K531)+1</f>
        <v>111</v>
      </c>
      <c r="L532" s="151">
        <f t="shared" si="90"/>
        <v>1</v>
      </c>
      <c r="M532" s="152"/>
      <c r="N532" s="153"/>
      <c r="O532" s="153"/>
      <c r="P532" s="153"/>
      <c r="Q532" s="153"/>
      <c r="R532" s="153"/>
      <c r="S532" s="154">
        <f t="shared" si="89"/>
        <v>0</v>
      </c>
      <c r="T532" s="155"/>
      <c r="U532" s="154">
        <f t="shared" si="91"/>
        <v>0</v>
      </c>
      <c r="V532" s="156"/>
      <c r="W532" s="157"/>
      <c r="X532" s="157"/>
      <c r="Y532" s="158"/>
      <c r="Z532" s="162"/>
      <c r="AA532" s="159" t="s">
        <v>278</v>
      </c>
      <c r="AB532" s="160"/>
      <c r="AC532" s="158">
        <f t="shared" si="92"/>
        <v>0</v>
      </c>
    </row>
    <row r="533" spans="8:29" ht="12.5">
      <c r="H533" s="131"/>
      <c r="J533" s="149"/>
      <c r="K533" s="150">
        <f>MAX(K$422:K532)+1</f>
        <v>112</v>
      </c>
      <c r="L533" s="151">
        <f t="shared" si="90"/>
        <v>1</v>
      </c>
      <c r="M533" s="152"/>
      <c r="N533" s="153"/>
      <c r="O533" s="153"/>
      <c r="P533" s="153"/>
      <c r="Q533" s="153"/>
      <c r="R533" s="153"/>
      <c r="S533" s="154">
        <f t="shared" si="89"/>
        <v>0</v>
      </c>
      <c r="T533" s="155"/>
      <c r="U533" s="154">
        <f t="shared" si="91"/>
        <v>0</v>
      </c>
      <c r="V533" s="156"/>
      <c r="W533" s="157"/>
      <c r="X533" s="157"/>
      <c r="Y533" s="158"/>
      <c r="Z533" s="162"/>
      <c r="AA533" s="159" t="s">
        <v>278</v>
      </c>
      <c r="AB533" s="160"/>
      <c r="AC533" s="158">
        <f t="shared" si="92"/>
        <v>0</v>
      </c>
    </row>
    <row r="534" spans="8:29" ht="12.5">
      <c r="H534" s="131"/>
      <c r="J534" s="149"/>
      <c r="K534" s="150">
        <f>MAX(K$422:K533)+1</f>
        <v>113</v>
      </c>
      <c r="L534" s="151">
        <f t="shared" si="90"/>
        <v>1</v>
      </c>
      <c r="M534" s="152"/>
      <c r="N534" s="153"/>
      <c r="O534" s="153"/>
      <c r="P534" s="153"/>
      <c r="Q534" s="153"/>
      <c r="R534" s="153"/>
      <c r="S534" s="154">
        <f t="shared" si="89"/>
        <v>0</v>
      </c>
      <c r="T534" s="155"/>
      <c r="U534" s="154">
        <f t="shared" si="91"/>
        <v>0</v>
      </c>
      <c r="V534" s="156"/>
      <c r="W534" s="157"/>
      <c r="X534" s="157"/>
      <c r="Y534" s="158"/>
      <c r="Z534" s="162"/>
      <c r="AA534" s="159" t="s">
        <v>278</v>
      </c>
      <c r="AB534" s="160"/>
      <c r="AC534" s="158">
        <f t="shared" si="92"/>
        <v>0</v>
      </c>
    </row>
    <row r="535" spans="8:29" ht="12.5">
      <c r="H535" s="131"/>
      <c r="J535" s="149"/>
      <c r="K535" s="150">
        <f>MAX(K$422:K534)+1</f>
        <v>114</v>
      </c>
      <c r="L535" s="151">
        <f t="shared" si="90"/>
        <v>1</v>
      </c>
      <c r="M535" s="152"/>
      <c r="N535" s="153"/>
      <c r="O535" s="153"/>
      <c r="P535" s="153"/>
      <c r="Q535" s="153"/>
      <c r="R535" s="153"/>
      <c r="S535" s="154">
        <f t="shared" si="89"/>
        <v>0</v>
      </c>
      <c r="T535" s="155"/>
      <c r="U535" s="154">
        <f t="shared" si="91"/>
        <v>0</v>
      </c>
      <c r="V535" s="156"/>
      <c r="W535" s="157"/>
      <c r="X535" s="157"/>
      <c r="Y535" s="158"/>
      <c r="Z535" s="162"/>
      <c r="AA535" s="159" t="s">
        <v>278</v>
      </c>
      <c r="AB535" s="160"/>
      <c r="AC535" s="158">
        <f t="shared" si="92"/>
        <v>0</v>
      </c>
    </row>
    <row r="536" spans="8:29" ht="12.5">
      <c r="H536" s="131"/>
      <c r="J536" s="149"/>
      <c r="K536" s="150">
        <f>MAX(K$422:K535)+1</f>
        <v>115</v>
      </c>
      <c r="L536" s="151">
        <f t="shared" si="90"/>
        <v>1</v>
      </c>
      <c r="M536" s="152"/>
      <c r="N536" s="153"/>
      <c r="O536" s="153"/>
      <c r="P536" s="153"/>
      <c r="Q536" s="153"/>
      <c r="R536" s="153"/>
      <c r="S536" s="154">
        <f t="shared" si="89"/>
        <v>0</v>
      </c>
      <c r="T536" s="155"/>
      <c r="U536" s="154">
        <f t="shared" si="91"/>
        <v>0</v>
      </c>
      <c r="V536" s="156"/>
      <c r="W536" s="157"/>
      <c r="X536" s="157"/>
      <c r="Y536" s="158"/>
      <c r="Z536" s="162"/>
      <c r="AA536" s="159" t="s">
        <v>278</v>
      </c>
      <c r="AB536" s="160"/>
      <c r="AC536" s="158">
        <f t="shared" si="92"/>
        <v>0</v>
      </c>
    </row>
    <row r="537" spans="8:29" ht="12.5">
      <c r="H537" s="131"/>
      <c r="J537" s="149"/>
      <c r="K537" s="150">
        <f>MAX(K$422:K536)+1</f>
        <v>116</v>
      </c>
      <c r="L537" s="151">
        <f t="shared" si="90"/>
        <v>1</v>
      </c>
      <c r="M537" s="152"/>
      <c r="N537" s="153"/>
      <c r="O537" s="153"/>
      <c r="P537" s="153"/>
      <c r="Q537" s="153"/>
      <c r="R537" s="153"/>
      <c r="S537" s="154">
        <f t="shared" si="89"/>
        <v>0</v>
      </c>
      <c r="T537" s="155"/>
      <c r="U537" s="154">
        <f t="shared" si="91"/>
        <v>0</v>
      </c>
      <c r="V537" s="156"/>
      <c r="W537" s="157"/>
      <c r="X537" s="157"/>
      <c r="Y537" s="158"/>
      <c r="Z537" s="162"/>
      <c r="AA537" s="159" t="s">
        <v>278</v>
      </c>
      <c r="AB537" s="160"/>
      <c r="AC537" s="158">
        <f t="shared" si="92"/>
        <v>0</v>
      </c>
    </row>
    <row r="538" spans="8:29" ht="12.5">
      <c r="H538" s="131"/>
      <c r="J538" s="149"/>
      <c r="K538" s="150">
        <f>MAX(K$422:K537)+1</f>
        <v>117</v>
      </c>
      <c r="L538" s="151">
        <f t="shared" si="90"/>
        <v>1</v>
      </c>
      <c r="M538" s="152"/>
      <c r="N538" s="153"/>
      <c r="O538" s="153"/>
      <c r="P538" s="153"/>
      <c r="Q538" s="153"/>
      <c r="R538" s="153"/>
      <c r="S538" s="154">
        <f t="shared" si="89"/>
        <v>0</v>
      </c>
      <c r="T538" s="155"/>
      <c r="U538" s="154">
        <f t="shared" si="91"/>
        <v>0</v>
      </c>
      <c r="V538" s="156"/>
      <c r="W538" s="157"/>
      <c r="X538" s="157"/>
      <c r="Y538" s="158"/>
      <c r="Z538" s="162"/>
      <c r="AA538" s="159" t="s">
        <v>278</v>
      </c>
      <c r="AB538" s="160"/>
      <c r="AC538" s="158">
        <f t="shared" si="92"/>
        <v>0</v>
      </c>
    </row>
    <row r="539" spans="8:29" ht="12.5">
      <c r="H539" s="131"/>
      <c r="J539" s="149"/>
      <c r="K539" s="150">
        <f>MAX(K$422:K538)+1</f>
        <v>118</v>
      </c>
      <c r="L539" s="151">
        <f t="shared" si="90"/>
        <v>1</v>
      </c>
      <c r="M539" s="152"/>
      <c r="N539" s="153"/>
      <c r="O539" s="153"/>
      <c r="P539" s="153"/>
      <c r="Q539" s="153"/>
      <c r="R539" s="153"/>
      <c r="S539" s="154">
        <f t="shared" si="89"/>
        <v>0</v>
      </c>
      <c r="T539" s="155"/>
      <c r="U539" s="154">
        <f t="shared" si="91"/>
        <v>0</v>
      </c>
      <c r="V539" s="156"/>
      <c r="W539" s="157"/>
      <c r="X539" s="157"/>
      <c r="Y539" s="158"/>
      <c r="Z539" s="162"/>
      <c r="AA539" s="159" t="s">
        <v>278</v>
      </c>
      <c r="AB539" s="160"/>
      <c r="AC539" s="158">
        <f t="shared" si="92"/>
        <v>0</v>
      </c>
    </row>
    <row r="540" spans="8:29" ht="12.5">
      <c r="H540" s="131"/>
      <c r="J540" s="149"/>
      <c r="K540" s="150">
        <f>MAX(K$422:K539)+1</f>
        <v>119</v>
      </c>
      <c r="L540" s="151">
        <f t="shared" si="90"/>
        <v>1</v>
      </c>
      <c r="M540" s="152"/>
      <c r="N540" s="153"/>
      <c r="O540" s="153"/>
      <c r="P540" s="153"/>
      <c r="Q540" s="153"/>
      <c r="R540" s="153"/>
      <c r="S540" s="154">
        <f t="shared" si="89"/>
        <v>0</v>
      </c>
      <c r="T540" s="155"/>
      <c r="U540" s="154">
        <f t="shared" si="91"/>
        <v>0</v>
      </c>
      <c r="V540" s="156"/>
      <c r="W540" s="157"/>
      <c r="X540" s="157"/>
      <c r="Y540" s="158"/>
      <c r="Z540" s="162"/>
      <c r="AA540" s="159" t="s">
        <v>278</v>
      </c>
      <c r="AB540" s="160"/>
      <c r="AC540" s="158">
        <f t="shared" si="92"/>
        <v>0</v>
      </c>
    </row>
    <row r="541" spans="8:29" ht="12.5">
      <c r="H541" s="131"/>
      <c r="J541" s="149"/>
      <c r="K541" s="150">
        <f>MAX(K$422:K540)+1</f>
        <v>120</v>
      </c>
      <c r="L541" s="151">
        <f t="shared" si="90"/>
        <v>1</v>
      </c>
      <c r="M541" s="152"/>
      <c r="N541" s="153"/>
      <c r="O541" s="153"/>
      <c r="P541" s="153"/>
      <c r="Q541" s="153"/>
      <c r="R541" s="153"/>
      <c r="S541" s="154">
        <f t="shared" si="89"/>
        <v>0</v>
      </c>
      <c r="T541" s="155"/>
      <c r="U541" s="154">
        <f t="shared" si="91"/>
        <v>0</v>
      </c>
      <c r="V541" s="156"/>
      <c r="W541" s="157"/>
      <c r="X541" s="157"/>
      <c r="Y541" s="158"/>
      <c r="Z541" s="162"/>
      <c r="AA541" s="159" t="s">
        <v>278</v>
      </c>
      <c r="AB541" s="160"/>
      <c r="AC541" s="158">
        <f t="shared" si="92"/>
        <v>0</v>
      </c>
    </row>
    <row r="542" spans="8:29" ht="12.5">
      <c r="H542" s="131"/>
      <c r="J542" s="149"/>
      <c r="K542" s="150">
        <f>MAX(K$422:K541)+1</f>
        <v>121</v>
      </c>
      <c r="L542" s="151">
        <f t="shared" si="90"/>
        <v>1</v>
      </c>
      <c r="M542" s="152"/>
      <c r="N542" s="153"/>
      <c r="O542" s="153"/>
      <c r="P542" s="153"/>
      <c r="Q542" s="153"/>
      <c r="R542" s="153"/>
      <c r="S542" s="154">
        <f t="shared" si="89"/>
        <v>0</v>
      </c>
      <c r="T542" s="155"/>
      <c r="U542" s="154">
        <f t="shared" si="91"/>
        <v>0</v>
      </c>
      <c r="V542" s="156"/>
      <c r="W542" s="157"/>
      <c r="X542" s="157"/>
      <c r="Y542" s="158"/>
      <c r="Z542" s="162"/>
      <c r="AA542" s="159" t="s">
        <v>278</v>
      </c>
      <c r="AB542" s="160"/>
      <c r="AC542" s="158">
        <f t="shared" si="92"/>
        <v>0</v>
      </c>
    </row>
    <row r="543" spans="8:29" ht="12.5">
      <c r="H543" s="131"/>
      <c r="J543" s="149"/>
      <c r="K543" s="150">
        <f>MAX(K$422:K542)+1</f>
        <v>122</v>
      </c>
      <c r="L543" s="151">
        <f t="shared" si="90"/>
        <v>1</v>
      </c>
      <c r="M543" s="152"/>
      <c r="N543" s="153"/>
      <c r="O543" s="153"/>
      <c r="P543" s="153"/>
      <c r="Q543" s="153"/>
      <c r="R543" s="153"/>
      <c r="S543" s="154">
        <f t="shared" si="89"/>
        <v>0</v>
      </c>
      <c r="T543" s="155"/>
      <c r="U543" s="154">
        <f t="shared" si="91"/>
        <v>0</v>
      </c>
      <c r="V543" s="156"/>
      <c r="W543" s="157"/>
      <c r="X543" s="157"/>
      <c r="Y543" s="158"/>
      <c r="Z543" s="162"/>
      <c r="AA543" s="159" t="s">
        <v>278</v>
      </c>
      <c r="AB543" s="160"/>
      <c r="AC543" s="158">
        <f t="shared" si="92"/>
        <v>0</v>
      </c>
    </row>
    <row r="544" spans="8:29" ht="12.5">
      <c r="H544" s="131"/>
      <c r="J544" s="149"/>
      <c r="K544" s="150">
        <f>MAX(K$422:K543)+1</f>
        <v>123</v>
      </c>
      <c r="L544" s="151">
        <f t="shared" si="90"/>
        <v>1</v>
      </c>
      <c r="M544" s="152"/>
      <c r="N544" s="153"/>
      <c r="O544" s="153"/>
      <c r="P544" s="153"/>
      <c r="Q544" s="153"/>
      <c r="R544" s="153"/>
      <c r="S544" s="154">
        <f t="shared" si="89"/>
        <v>0</v>
      </c>
      <c r="T544" s="155"/>
      <c r="U544" s="154">
        <f t="shared" si="91"/>
        <v>0</v>
      </c>
      <c r="V544" s="156"/>
      <c r="W544" s="157"/>
      <c r="X544" s="157"/>
      <c r="Y544" s="158"/>
      <c r="Z544" s="162"/>
      <c r="AA544" s="159" t="s">
        <v>278</v>
      </c>
      <c r="AB544" s="160"/>
      <c r="AC544" s="158">
        <f t="shared" si="92"/>
        <v>0</v>
      </c>
    </row>
    <row r="545" spans="8:29" ht="12.5">
      <c r="H545" s="131"/>
      <c r="J545" s="149"/>
      <c r="K545" s="150">
        <f>MAX(K$422:K544)+1</f>
        <v>124</v>
      </c>
      <c r="L545" s="151">
        <f t="shared" si="90"/>
        <v>1</v>
      </c>
      <c r="M545" s="152"/>
      <c r="N545" s="153"/>
      <c r="O545" s="153"/>
      <c r="P545" s="153"/>
      <c r="Q545" s="153"/>
      <c r="R545" s="153"/>
      <c r="S545" s="154">
        <f t="shared" si="89"/>
        <v>0</v>
      </c>
      <c r="T545" s="155"/>
      <c r="U545" s="154">
        <f t="shared" si="91"/>
        <v>0</v>
      </c>
      <c r="V545" s="156"/>
      <c r="W545" s="157"/>
      <c r="X545" s="157"/>
      <c r="Y545" s="158"/>
      <c r="Z545" s="162"/>
      <c r="AA545" s="159" t="s">
        <v>278</v>
      </c>
      <c r="AB545" s="160"/>
      <c r="AC545" s="158">
        <f t="shared" si="92"/>
        <v>0</v>
      </c>
    </row>
    <row r="546" spans="8:29" ht="12.5">
      <c r="H546" s="131"/>
      <c r="J546" s="149"/>
      <c r="K546" s="150">
        <f>MAX(K$422:K545)+1</f>
        <v>125</v>
      </c>
      <c r="L546" s="151">
        <f t="shared" si="90"/>
        <v>1</v>
      </c>
      <c r="M546" s="152"/>
      <c r="N546" s="153"/>
      <c r="O546" s="153"/>
      <c r="P546" s="153"/>
      <c r="Q546" s="153"/>
      <c r="R546" s="153"/>
      <c r="S546" s="154">
        <f t="shared" si="89"/>
        <v>0</v>
      </c>
      <c r="T546" s="155"/>
      <c r="U546" s="154">
        <f t="shared" si="91"/>
        <v>0</v>
      </c>
      <c r="V546" s="156"/>
      <c r="W546" s="157"/>
      <c r="X546" s="157"/>
      <c r="Y546" s="158"/>
      <c r="Z546" s="162"/>
      <c r="AA546" s="159" t="s">
        <v>278</v>
      </c>
      <c r="AB546" s="160"/>
      <c r="AC546" s="158">
        <f t="shared" si="92"/>
        <v>0</v>
      </c>
    </row>
    <row r="547" spans="8:29" ht="12.5">
      <c r="H547" s="131"/>
      <c r="J547" s="149"/>
      <c r="K547" s="150">
        <f>MAX(K$422:K546)+1</f>
        <v>126</v>
      </c>
      <c r="L547" s="151">
        <f t="shared" si="90"/>
        <v>1</v>
      </c>
      <c r="M547" s="152"/>
      <c r="N547" s="153"/>
      <c r="O547" s="153"/>
      <c r="P547" s="153"/>
      <c r="Q547" s="153"/>
      <c r="R547" s="153"/>
      <c r="S547" s="154">
        <f t="shared" si="89"/>
        <v>0</v>
      </c>
      <c r="T547" s="155"/>
      <c r="U547" s="154">
        <f t="shared" si="91"/>
        <v>0</v>
      </c>
      <c r="V547" s="156"/>
      <c r="W547" s="157"/>
      <c r="X547" s="157"/>
      <c r="Y547" s="158"/>
      <c r="Z547" s="162"/>
      <c r="AA547" s="159" t="s">
        <v>278</v>
      </c>
      <c r="AB547" s="160"/>
      <c r="AC547" s="158">
        <f t="shared" si="92"/>
        <v>0</v>
      </c>
    </row>
    <row r="548" spans="8:29" ht="12.5">
      <c r="H548" s="131"/>
      <c r="J548" s="149"/>
      <c r="K548" s="150">
        <f>MAX(K$422:K547)+1</f>
        <v>127</v>
      </c>
      <c r="L548" s="151">
        <f t="shared" si="90"/>
        <v>1</v>
      </c>
      <c r="M548" s="152"/>
      <c r="N548" s="153"/>
      <c r="O548" s="153"/>
      <c r="P548" s="153"/>
      <c r="Q548" s="153"/>
      <c r="R548" s="153"/>
      <c r="S548" s="154">
        <f t="shared" si="89"/>
        <v>0</v>
      </c>
      <c r="T548" s="155"/>
      <c r="U548" s="154">
        <f t="shared" si="91"/>
        <v>0</v>
      </c>
      <c r="V548" s="156"/>
      <c r="W548" s="157"/>
      <c r="X548" s="157"/>
      <c r="Y548" s="158"/>
      <c r="Z548" s="162"/>
      <c r="AA548" s="159" t="s">
        <v>278</v>
      </c>
      <c r="AB548" s="160"/>
      <c r="AC548" s="158">
        <f t="shared" si="92"/>
        <v>0</v>
      </c>
    </row>
    <row r="549" spans="8:29" ht="12.5">
      <c r="H549" s="131"/>
      <c r="J549" s="149"/>
      <c r="K549" s="150">
        <f>MAX(K$422:K548)+1</f>
        <v>128</v>
      </c>
      <c r="L549" s="151">
        <f t="shared" si="90"/>
        <v>1</v>
      </c>
      <c r="M549" s="152"/>
      <c r="N549" s="153"/>
      <c r="O549" s="153"/>
      <c r="P549" s="153"/>
      <c r="Q549" s="153"/>
      <c r="R549" s="153"/>
      <c r="S549" s="154">
        <f t="shared" si="89"/>
        <v>0</v>
      </c>
      <c r="T549" s="155"/>
      <c r="U549" s="154">
        <f t="shared" si="91"/>
        <v>0</v>
      </c>
      <c r="V549" s="156"/>
      <c r="W549" s="157"/>
      <c r="X549" s="157"/>
      <c r="Y549" s="158"/>
      <c r="Z549" s="162"/>
      <c r="AA549" s="159" t="s">
        <v>278</v>
      </c>
      <c r="AB549" s="160"/>
      <c r="AC549" s="158">
        <f t="shared" si="92"/>
        <v>0</v>
      </c>
    </row>
    <row r="550" spans="8:29" ht="12.5">
      <c r="H550" s="131"/>
      <c r="J550" s="149"/>
      <c r="K550" s="150">
        <f>MAX(K$422:K549)+1</f>
        <v>129</v>
      </c>
      <c r="L550" s="151">
        <f t="shared" si="90"/>
        <v>1</v>
      </c>
      <c r="M550" s="152"/>
      <c r="N550" s="153"/>
      <c r="O550" s="153"/>
      <c r="P550" s="153"/>
      <c r="Q550" s="153"/>
      <c r="R550" s="153"/>
      <c r="S550" s="154">
        <f t="shared" si="89"/>
        <v>0</v>
      </c>
      <c r="T550" s="155"/>
      <c r="U550" s="154">
        <f t="shared" si="91"/>
        <v>0</v>
      </c>
      <c r="V550" s="156"/>
      <c r="W550" s="157"/>
      <c r="X550" s="157"/>
      <c r="Y550" s="158"/>
      <c r="Z550" s="162"/>
      <c r="AA550" s="159" t="s">
        <v>278</v>
      </c>
      <c r="AB550" s="160"/>
      <c r="AC550" s="158">
        <f t="shared" ref="AC550:AC613" si="93">INDEX(Y550:Z550,1,MATCH(_WellBasketSelection,$Y$421:$Z$421,0))*U550</f>
        <v>0</v>
      </c>
    </row>
    <row r="551" spans="8:29" ht="12.5">
      <c r="H551" s="131"/>
      <c r="J551" s="149"/>
      <c r="K551" s="150">
        <f>MAX(K$422:K550)+1</f>
        <v>130</v>
      </c>
      <c r="L551" s="151">
        <f t="shared" si="90"/>
        <v>1</v>
      </c>
      <c r="M551" s="152"/>
      <c r="N551" s="153"/>
      <c r="O551" s="153"/>
      <c r="P551" s="153"/>
      <c r="Q551" s="153"/>
      <c r="R551" s="153"/>
      <c r="S551" s="154">
        <f t="shared" ref="S551:S614" si="94">SUM(N551:R551)</f>
        <v>0</v>
      </c>
      <c r="T551" s="155"/>
      <c r="U551" s="154">
        <f t="shared" si="91"/>
        <v>0</v>
      </c>
      <c r="V551" s="156"/>
      <c r="W551" s="157"/>
      <c r="X551" s="157"/>
      <c r="Y551" s="158"/>
      <c r="Z551" s="162"/>
      <c r="AA551" s="159" t="s">
        <v>278</v>
      </c>
      <c r="AB551" s="160"/>
      <c r="AC551" s="158">
        <f t="shared" si="93"/>
        <v>0</v>
      </c>
    </row>
    <row r="552" spans="8:29" ht="12.5">
      <c r="H552" s="131"/>
      <c r="J552" s="149"/>
      <c r="K552" s="150">
        <f>MAX(K$422:K551)+1</f>
        <v>131</v>
      </c>
      <c r="L552" s="151">
        <f t="shared" si="90"/>
        <v>1</v>
      </c>
      <c r="M552" s="152"/>
      <c r="N552" s="153"/>
      <c r="O552" s="153"/>
      <c r="P552" s="153"/>
      <c r="Q552" s="153"/>
      <c r="R552" s="153"/>
      <c r="S552" s="154">
        <f t="shared" si="94"/>
        <v>0</v>
      </c>
      <c r="T552" s="155"/>
      <c r="U552" s="154">
        <f t="shared" si="91"/>
        <v>0</v>
      </c>
      <c r="V552" s="156"/>
      <c r="W552" s="157"/>
      <c r="X552" s="157"/>
      <c r="Y552" s="158"/>
      <c r="Z552" s="162"/>
      <c r="AA552" s="159" t="s">
        <v>278</v>
      </c>
      <c r="AB552" s="160"/>
      <c r="AC552" s="158">
        <f t="shared" si="93"/>
        <v>0</v>
      </c>
    </row>
    <row r="553" spans="8:29" ht="12.5">
      <c r="H553" s="131"/>
      <c r="J553" s="149"/>
      <c r="K553" s="150">
        <f>MAX(K$422:K552)+1</f>
        <v>132</v>
      </c>
      <c r="L553" s="151">
        <f t="shared" ref="L553:L616" si="95">IF(J552="",L552,L552+1)</f>
        <v>1</v>
      </c>
      <c r="M553" s="152"/>
      <c r="N553" s="153"/>
      <c r="O553" s="153"/>
      <c r="P553" s="153"/>
      <c r="Q553" s="153"/>
      <c r="R553" s="153"/>
      <c r="S553" s="154">
        <f t="shared" si="94"/>
        <v>0</v>
      </c>
      <c r="T553" s="155"/>
      <c r="U553" s="154">
        <f t="shared" si="91"/>
        <v>0</v>
      </c>
      <c r="V553" s="156"/>
      <c r="W553" s="157"/>
      <c r="X553" s="157"/>
      <c r="Y553" s="158"/>
      <c r="Z553" s="162"/>
      <c r="AA553" s="159" t="s">
        <v>278</v>
      </c>
      <c r="AB553" s="160"/>
      <c r="AC553" s="158">
        <f t="shared" si="93"/>
        <v>0</v>
      </c>
    </row>
    <row r="554" spans="8:29" ht="12.5">
      <c r="H554" s="131"/>
      <c r="J554" s="149"/>
      <c r="K554" s="150">
        <f>MAX(K$422:K553)+1</f>
        <v>133</v>
      </c>
      <c r="L554" s="151">
        <f t="shared" si="95"/>
        <v>1</v>
      </c>
      <c r="M554" s="152"/>
      <c r="N554" s="153"/>
      <c r="O554" s="153"/>
      <c r="P554" s="153"/>
      <c r="Q554" s="153"/>
      <c r="R554" s="153"/>
      <c r="S554" s="154">
        <f t="shared" si="94"/>
        <v>0</v>
      </c>
      <c r="T554" s="155"/>
      <c r="U554" s="154">
        <f t="shared" si="91"/>
        <v>0</v>
      </c>
      <c r="V554" s="156"/>
      <c r="W554" s="157"/>
      <c r="X554" s="157"/>
      <c r="Y554" s="158"/>
      <c r="Z554" s="162"/>
      <c r="AA554" s="159" t="s">
        <v>278</v>
      </c>
      <c r="AB554" s="160"/>
      <c r="AC554" s="158">
        <f t="shared" si="93"/>
        <v>0</v>
      </c>
    </row>
    <row r="555" spans="8:29" ht="12.5">
      <c r="H555" s="131"/>
      <c r="J555" s="149"/>
      <c r="K555" s="150">
        <f>MAX(K$422:K554)+1</f>
        <v>134</v>
      </c>
      <c r="L555" s="151">
        <f t="shared" si="95"/>
        <v>1</v>
      </c>
      <c r="M555" s="152"/>
      <c r="N555" s="153"/>
      <c r="O555" s="153"/>
      <c r="P555" s="153"/>
      <c r="Q555" s="153"/>
      <c r="R555" s="153"/>
      <c r="S555" s="154">
        <f t="shared" si="94"/>
        <v>0</v>
      </c>
      <c r="T555" s="155"/>
      <c r="U555" s="154">
        <f t="shared" si="91"/>
        <v>0</v>
      </c>
      <c r="V555" s="156"/>
      <c r="W555" s="157"/>
      <c r="X555" s="157"/>
      <c r="Y555" s="158"/>
      <c r="Z555" s="162"/>
      <c r="AA555" s="159" t="s">
        <v>278</v>
      </c>
      <c r="AB555" s="160"/>
      <c r="AC555" s="158">
        <f t="shared" si="93"/>
        <v>0</v>
      </c>
    </row>
    <row r="556" spans="8:29" ht="12.5">
      <c r="H556" s="131"/>
      <c r="J556" s="149"/>
      <c r="K556" s="150">
        <f>MAX(K$422:K555)+1</f>
        <v>135</v>
      </c>
      <c r="L556" s="151">
        <f t="shared" si="95"/>
        <v>1</v>
      </c>
      <c r="M556" s="152"/>
      <c r="N556" s="153"/>
      <c r="O556" s="153"/>
      <c r="P556" s="153"/>
      <c r="Q556" s="153"/>
      <c r="R556" s="153"/>
      <c r="S556" s="154">
        <f t="shared" si="94"/>
        <v>0</v>
      </c>
      <c r="T556" s="155"/>
      <c r="U556" s="154">
        <f t="shared" si="91"/>
        <v>0</v>
      </c>
      <c r="V556" s="156"/>
      <c r="W556" s="157"/>
      <c r="X556" s="157"/>
      <c r="Y556" s="158"/>
      <c r="Z556" s="162"/>
      <c r="AA556" s="159" t="s">
        <v>278</v>
      </c>
      <c r="AB556" s="160"/>
      <c r="AC556" s="158">
        <f t="shared" si="93"/>
        <v>0</v>
      </c>
    </row>
    <row r="557" spans="8:29" ht="12.5">
      <c r="H557" s="131"/>
      <c r="J557" s="149"/>
      <c r="K557" s="150">
        <f>MAX(K$422:K556)+1</f>
        <v>136</v>
      </c>
      <c r="L557" s="151">
        <f t="shared" si="95"/>
        <v>1</v>
      </c>
      <c r="M557" s="152"/>
      <c r="N557" s="153"/>
      <c r="O557" s="153"/>
      <c r="P557" s="153"/>
      <c r="Q557" s="153"/>
      <c r="R557" s="153"/>
      <c r="S557" s="154">
        <f t="shared" si="94"/>
        <v>0</v>
      </c>
      <c r="T557" s="155"/>
      <c r="U557" s="154">
        <f t="shared" si="91"/>
        <v>0</v>
      </c>
      <c r="V557" s="156"/>
      <c r="W557" s="157"/>
      <c r="X557" s="157"/>
      <c r="Y557" s="158"/>
      <c r="Z557" s="162"/>
      <c r="AA557" s="159" t="s">
        <v>278</v>
      </c>
      <c r="AB557" s="160"/>
      <c r="AC557" s="158">
        <f t="shared" si="93"/>
        <v>0</v>
      </c>
    </row>
    <row r="558" spans="8:29" ht="12.5">
      <c r="H558" s="131"/>
      <c r="J558" s="149"/>
      <c r="K558" s="150">
        <f>MAX(K$422:K557)+1</f>
        <v>137</v>
      </c>
      <c r="L558" s="151">
        <f t="shared" si="95"/>
        <v>1</v>
      </c>
      <c r="M558" s="152"/>
      <c r="N558" s="153"/>
      <c r="O558" s="153"/>
      <c r="P558" s="153"/>
      <c r="Q558" s="153"/>
      <c r="R558" s="153"/>
      <c r="S558" s="154">
        <f t="shared" si="94"/>
        <v>0</v>
      </c>
      <c r="T558" s="155"/>
      <c r="U558" s="154">
        <f t="shared" si="91"/>
        <v>0</v>
      </c>
      <c r="V558" s="156"/>
      <c r="W558" s="157"/>
      <c r="X558" s="157"/>
      <c r="Y558" s="158"/>
      <c r="Z558" s="162"/>
      <c r="AA558" s="159" t="s">
        <v>278</v>
      </c>
      <c r="AB558" s="160"/>
      <c r="AC558" s="158">
        <f t="shared" si="93"/>
        <v>0</v>
      </c>
    </row>
    <row r="559" spans="8:29" ht="12.5">
      <c r="H559" s="131"/>
      <c r="J559" s="149"/>
      <c r="K559" s="150">
        <f>MAX(K$422:K558)+1</f>
        <v>138</v>
      </c>
      <c r="L559" s="151">
        <f t="shared" si="95"/>
        <v>1</v>
      </c>
      <c r="M559" s="152"/>
      <c r="N559" s="153"/>
      <c r="O559" s="153"/>
      <c r="P559" s="153"/>
      <c r="Q559" s="153"/>
      <c r="R559" s="153"/>
      <c r="S559" s="154">
        <f t="shared" si="94"/>
        <v>0</v>
      </c>
      <c r="T559" s="155"/>
      <c r="U559" s="154">
        <f t="shared" si="91"/>
        <v>0</v>
      </c>
      <c r="V559" s="156"/>
      <c r="W559" s="157"/>
      <c r="X559" s="157"/>
      <c r="Y559" s="158"/>
      <c r="Z559" s="162"/>
      <c r="AA559" s="159" t="s">
        <v>278</v>
      </c>
      <c r="AB559" s="160"/>
      <c r="AC559" s="158">
        <f t="shared" si="93"/>
        <v>0</v>
      </c>
    </row>
    <row r="560" spans="8:29" ht="12.5">
      <c r="H560" s="131"/>
      <c r="J560" s="149"/>
      <c r="K560" s="150">
        <f>MAX(K$422:K559)+1</f>
        <v>139</v>
      </c>
      <c r="L560" s="151">
        <f t="shared" si="95"/>
        <v>1</v>
      </c>
      <c r="M560" s="152"/>
      <c r="N560" s="153"/>
      <c r="O560" s="153"/>
      <c r="P560" s="153"/>
      <c r="Q560" s="153"/>
      <c r="R560" s="153"/>
      <c r="S560" s="154">
        <f t="shared" si="94"/>
        <v>0</v>
      </c>
      <c r="T560" s="155"/>
      <c r="U560" s="154">
        <f t="shared" si="91"/>
        <v>0</v>
      </c>
      <c r="V560" s="156"/>
      <c r="W560" s="157"/>
      <c r="X560" s="157"/>
      <c r="Y560" s="158"/>
      <c r="Z560" s="162"/>
      <c r="AA560" s="159" t="s">
        <v>278</v>
      </c>
      <c r="AB560" s="160"/>
      <c r="AC560" s="158">
        <f t="shared" si="93"/>
        <v>0</v>
      </c>
    </row>
    <row r="561" spans="8:29" ht="12.5">
      <c r="H561" s="131"/>
      <c r="J561" s="149"/>
      <c r="K561" s="150">
        <f>MAX(K$422:K560)+1</f>
        <v>140</v>
      </c>
      <c r="L561" s="151">
        <f t="shared" si="95"/>
        <v>1</v>
      </c>
      <c r="M561" s="152"/>
      <c r="N561" s="153"/>
      <c r="O561" s="153"/>
      <c r="P561" s="153"/>
      <c r="Q561" s="153"/>
      <c r="R561" s="153"/>
      <c r="S561" s="154">
        <f t="shared" si="94"/>
        <v>0</v>
      </c>
      <c r="T561" s="155"/>
      <c r="U561" s="154">
        <f t="shared" si="91"/>
        <v>0</v>
      </c>
      <c r="V561" s="156"/>
      <c r="W561" s="157"/>
      <c r="X561" s="157"/>
      <c r="Y561" s="158"/>
      <c r="Z561" s="162"/>
      <c r="AA561" s="159" t="s">
        <v>278</v>
      </c>
      <c r="AB561" s="160"/>
      <c r="AC561" s="158">
        <f t="shared" si="93"/>
        <v>0</v>
      </c>
    </row>
    <row r="562" spans="8:29" ht="12.5">
      <c r="H562" s="131"/>
      <c r="J562" s="149"/>
      <c r="K562" s="150">
        <f>MAX(K$422:K561)+1</f>
        <v>141</v>
      </c>
      <c r="L562" s="151">
        <f t="shared" si="95"/>
        <v>1</v>
      </c>
      <c r="M562" s="152"/>
      <c r="N562" s="153"/>
      <c r="O562" s="153"/>
      <c r="P562" s="153"/>
      <c r="Q562" s="153"/>
      <c r="R562" s="153"/>
      <c r="S562" s="154">
        <f t="shared" si="94"/>
        <v>0</v>
      </c>
      <c r="T562" s="155"/>
      <c r="U562" s="154">
        <f t="shared" si="91"/>
        <v>0</v>
      </c>
      <c r="V562" s="156"/>
      <c r="W562" s="157"/>
      <c r="X562" s="157"/>
      <c r="Y562" s="158"/>
      <c r="Z562" s="162"/>
      <c r="AA562" s="159" t="s">
        <v>278</v>
      </c>
      <c r="AB562" s="160"/>
      <c r="AC562" s="158">
        <f t="shared" si="93"/>
        <v>0</v>
      </c>
    </row>
    <row r="563" spans="8:29" ht="12.5">
      <c r="H563" s="131"/>
      <c r="J563" s="149"/>
      <c r="K563" s="150">
        <f>MAX(K$422:K562)+1</f>
        <v>142</v>
      </c>
      <c r="L563" s="151">
        <f t="shared" si="95"/>
        <v>1</v>
      </c>
      <c r="M563" s="152"/>
      <c r="N563" s="153"/>
      <c r="O563" s="153"/>
      <c r="P563" s="153"/>
      <c r="Q563" s="153"/>
      <c r="R563" s="153"/>
      <c r="S563" s="154">
        <f t="shared" si="94"/>
        <v>0</v>
      </c>
      <c r="T563" s="155"/>
      <c r="U563" s="154">
        <f t="shared" si="91"/>
        <v>0</v>
      </c>
      <c r="V563" s="156"/>
      <c r="W563" s="157"/>
      <c r="X563" s="157"/>
      <c r="Y563" s="158"/>
      <c r="Z563" s="162"/>
      <c r="AA563" s="159" t="s">
        <v>278</v>
      </c>
      <c r="AB563" s="160"/>
      <c r="AC563" s="158">
        <f t="shared" si="93"/>
        <v>0</v>
      </c>
    </row>
    <row r="564" spans="8:29" ht="12.5">
      <c r="H564" s="131"/>
      <c r="J564" s="149"/>
      <c r="K564" s="150">
        <f>MAX(K$422:K563)+1</f>
        <v>143</v>
      </c>
      <c r="L564" s="151">
        <f t="shared" si="95"/>
        <v>1</v>
      </c>
      <c r="M564" s="152"/>
      <c r="N564" s="153"/>
      <c r="O564" s="153"/>
      <c r="P564" s="153"/>
      <c r="Q564" s="153"/>
      <c r="R564" s="153"/>
      <c r="S564" s="154">
        <f t="shared" si="94"/>
        <v>0</v>
      </c>
      <c r="T564" s="155"/>
      <c r="U564" s="154">
        <f t="shared" si="91"/>
        <v>0</v>
      </c>
      <c r="V564" s="156"/>
      <c r="W564" s="157"/>
      <c r="X564" s="157"/>
      <c r="Y564" s="158"/>
      <c r="Z564" s="162"/>
      <c r="AA564" s="159" t="s">
        <v>278</v>
      </c>
      <c r="AB564" s="160"/>
      <c r="AC564" s="158">
        <f t="shared" si="93"/>
        <v>0</v>
      </c>
    </row>
    <row r="565" spans="8:29" ht="12.5">
      <c r="H565" s="131"/>
      <c r="J565" s="149"/>
      <c r="K565" s="150">
        <f>MAX(K$422:K564)+1</f>
        <v>144</v>
      </c>
      <c r="L565" s="151">
        <f t="shared" si="95"/>
        <v>1</v>
      </c>
      <c r="M565" s="152"/>
      <c r="N565" s="153"/>
      <c r="O565" s="153"/>
      <c r="P565" s="153"/>
      <c r="Q565" s="153"/>
      <c r="R565" s="153"/>
      <c r="S565" s="154">
        <f t="shared" si="94"/>
        <v>0</v>
      </c>
      <c r="T565" s="155"/>
      <c r="U565" s="154">
        <f t="shared" si="91"/>
        <v>0</v>
      </c>
      <c r="V565" s="156"/>
      <c r="W565" s="157"/>
      <c r="X565" s="157"/>
      <c r="Y565" s="158"/>
      <c r="Z565" s="162"/>
      <c r="AA565" s="159" t="s">
        <v>278</v>
      </c>
      <c r="AB565" s="160"/>
      <c r="AC565" s="158">
        <f t="shared" si="93"/>
        <v>0</v>
      </c>
    </row>
    <row r="566" spans="8:29" ht="12.5">
      <c r="H566" s="131"/>
      <c r="J566" s="149"/>
      <c r="K566" s="150">
        <f>MAX(K$422:K565)+1</f>
        <v>145</v>
      </c>
      <c r="L566" s="151">
        <f t="shared" si="95"/>
        <v>1</v>
      </c>
      <c r="M566" s="152"/>
      <c r="N566" s="153"/>
      <c r="O566" s="153"/>
      <c r="P566" s="153"/>
      <c r="Q566" s="153"/>
      <c r="R566" s="153"/>
      <c r="S566" s="154">
        <f t="shared" si="94"/>
        <v>0</v>
      </c>
      <c r="T566" s="155"/>
      <c r="U566" s="154">
        <f t="shared" si="91"/>
        <v>0</v>
      </c>
      <c r="V566" s="156"/>
      <c r="W566" s="157"/>
      <c r="X566" s="157"/>
      <c r="Y566" s="158"/>
      <c r="Z566" s="162"/>
      <c r="AA566" s="159" t="s">
        <v>278</v>
      </c>
      <c r="AB566" s="160"/>
      <c r="AC566" s="158">
        <f t="shared" si="93"/>
        <v>0</v>
      </c>
    </row>
    <row r="567" spans="8:29" ht="12.5">
      <c r="H567" s="131"/>
      <c r="J567" s="149"/>
      <c r="K567" s="150">
        <f>MAX(K$422:K566)+1</f>
        <v>146</v>
      </c>
      <c r="L567" s="151">
        <f t="shared" si="95"/>
        <v>1</v>
      </c>
      <c r="M567" s="152"/>
      <c r="N567" s="153"/>
      <c r="O567" s="153"/>
      <c r="P567" s="153"/>
      <c r="Q567" s="153"/>
      <c r="R567" s="153"/>
      <c r="S567" s="154">
        <f t="shared" si="94"/>
        <v>0</v>
      </c>
      <c r="T567" s="155"/>
      <c r="U567" s="154">
        <f t="shared" si="91"/>
        <v>0</v>
      </c>
      <c r="V567" s="156"/>
      <c r="W567" s="157"/>
      <c r="X567" s="157"/>
      <c r="Y567" s="158"/>
      <c r="Z567" s="162"/>
      <c r="AA567" s="159" t="s">
        <v>278</v>
      </c>
      <c r="AB567" s="160"/>
      <c r="AC567" s="158">
        <f t="shared" si="93"/>
        <v>0</v>
      </c>
    </row>
    <row r="568" spans="8:29" ht="12.5">
      <c r="H568" s="131"/>
      <c r="J568" s="149"/>
      <c r="K568" s="150">
        <f>MAX(K$422:K567)+1</f>
        <v>147</v>
      </c>
      <c r="L568" s="151">
        <f t="shared" si="95"/>
        <v>1</v>
      </c>
      <c r="M568" s="152"/>
      <c r="N568" s="153"/>
      <c r="O568" s="153"/>
      <c r="P568" s="153"/>
      <c r="Q568" s="153"/>
      <c r="R568" s="153"/>
      <c r="S568" s="154">
        <f t="shared" si="94"/>
        <v>0</v>
      </c>
      <c r="T568" s="155"/>
      <c r="U568" s="154">
        <f t="shared" si="91"/>
        <v>0</v>
      </c>
      <c r="V568" s="156"/>
      <c r="W568" s="157"/>
      <c r="X568" s="157"/>
      <c r="Y568" s="158"/>
      <c r="Z568" s="162"/>
      <c r="AA568" s="159" t="s">
        <v>278</v>
      </c>
      <c r="AB568" s="160"/>
      <c r="AC568" s="158">
        <f t="shared" si="93"/>
        <v>0</v>
      </c>
    </row>
    <row r="569" spans="8:29" ht="12.5">
      <c r="H569" s="131"/>
      <c r="J569" s="149"/>
      <c r="K569" s="150">
        <f>MAX(K$422:K568)+1</f>
        <v>148</v>
      </c>
      <c r="L569" s="151">
        <f t="shared" si="95"/>
        <v>1</v>
      </c>
      <c r="M569" s="152"/>
      <c r="N569" s="153"/>
      <c r="O569" s="153"/>
      <c r="P569" s="153"/>
      <c r="Q569" s="153"/>
      <c r="R569" s="153"/>
      <c r="S569" s="154">
        <f t="shared" si="94"/>
        <v>0</v>
      </c>
      <c r="T569" s="155"/>
      <c r="U569" s="154">
        <f t="shared" si="91"/>
        <v>0</v>
      </c>
      <c r="V569" s="156"/>
      <c r="W569" s="157"/>
      <c r="X569" s="157"/>
      <c r="Y569" s="158"/>
      <c r="Z569" s="162"/>
      <c r="AA569" s="159" t="s">
        <v>278</v>
      </c>
      <c r="AB569" s="160"/>
      <c r="AC569" s="158">
        <f t="shared" si="93"/>
        <v>0</v>
      </c>
    </row>
    <row r="570" spans="8:29" ht="12.5">
      <c r="H570" s="131"/>
      <c r="J570" s="149"/>
      <c r="K570" s="150">
        <f>MAX(K$422:K569)+1</f>
        <v>149</v>
      </c>
      <c r="L570" s="151">
        <f t="shared" si="95"/>
        <v>1</v>
      </c>
      <c r="M570" s="152"/>
      <c r="N570" s="153"/>
      <c r="O570" s="153"/>
      <c r="P570" s="153"/>
      <c r="Q570" s="153"/>
      <c r="R570" s="153"/>
      <c r="S570" s="154">
        <f t="shared" si="94"/>
        <v>0</v>
      </c>
      <c r="T570" s="155"/>
      <c r="U570" s="154">
        <f t="shared" si="91"/>
        <v>0</v>
      </c>
      <c r="V570" s="156"/>
      <c r="W570" s="157"/>
      <c r="X570" s="157"/>
      <c r="Y570" s="158"/>
      <c r="Z570" s="162"/>
      <c r="AA570" s="159" t="s">
        <v>278</v>
      </c>
      <c r="AB570" s="160"/>
      <c r="AC570" s="158">
        <f t="shared" si="93"/>
        <v>0</v>
      </c>
    </row>
    <row r="571" spans="8:29" ht="12.5">
      <c r="H571" s="131"/>
      <c r="J571" s="149"/>
      <c r="K571" s="150">
        <f>MAX(K$422:K570)+1</f>
        <v>150</v>
      </c>
      <c r="L571" s="151">
        <f t="shared" si="95"/>
        <v>1</v>
      </c>
      <c r="M571" s="152"/>
      <c r="N571" s="153"/>
      <c r="O571" s="153"/>
      <c r="P571" s="153"/>
      <c r="Q571" s="153"/>
      <c r="R571" s="153"/>
      <c r="S571" s="154">
        <f t="shared" si="94"/>
        <v>0</v>
      </c>
      <c r="T571" s="155"/>
      <c r="U571" s="154">
        <f t="shared" si="91"/>
        <v>0</v>
      </c>
      <c r="V571" s="156"/>
      <c r="W571" s="157"/>
      <c r="X571" s="157"/>
      <c r="Y571" s="158"/>
      <c r="Z571" s="162"/>
      <c r="AA571" s="159" t="s">
        <v>278</v>
      </c>
      <c r="AB571" s="160"/>
      <c r="AC571" s="158">
        <f t="shared" si="93"/>
        <v>0</v>
      </c>
    </row>
    <row r="572" spans="8:29" ht="12.5">
      <c r="H572" s="131"/>
      <c r="J572" s="149"/>
      <c r="K572" s="150">
        <f>MAX(K$422:K571)+1</f>
        <v>151</v>
      </c>
      <c r="L572" s="151">
        <f t="shared" si="95"/>
        <v>1</v>
      </c>
      <c r="M572" s="152"/>
      <c r="N572" s="153"/>
      <c r="O572" s="153"/>
      <c r="P572" s="153"/>
      <c r="Q572" s="153"/>
      <c r="R572" s="153"/>
      <c r="S572" s="154">
        <f t="shared" si="94"/>
        <v>0</v>
      </c>
      <c r="T572" s="155"/>
      <c r="U572" s="154">
        <f t="shared" si="91"/>
        <v>0</v>
      </c>
      <c r="V572" s="156"/>
      <c r="W572" s="157"/>
      <c r="X572" s="157"/>
      <c r="Y572" s="158"/>
      <c r="Z572" s="162"/>
      <c r="AA572" s="159" t="s">
        <v>278</v>
      </c>
      <c r="AB572" s="160"/>
      <c r="AC572" s="158">
        <f t="shared" si="93"/>
        <v>0</v>
      </c>
    </row>
    <row r="573" spans="8:29" ht="12.5">
      <c r="H573" s="131"/>
      <c r="J573" s="149"/>
      <c r="K573" s="150">
        <f>MAX(K$422:K572)+1</f>
        <v>152</v>
      </c>
      <c r="L573" s="151">
        <f t="shared" si="95"/>
        <v>1</v>
      </c>
      <c r="M573" s="152"/>
      <c r="N573" s="153"/>
      <c r="O573" s="153"/>
      <c r="P573" s="153"/>
      <c r="Q573" s="153"/>
      <c r="R573" s="153"/>
      <c r="S573" s="154">
        <f t="shared" si="94"/>
        <v>0</v>
      </c>
      <c r="T573" s="155"/>
      <c r="U573" s="154">
        <f t="shared" si="91"/>
        <v>0</v>
      </c>
      <c r="V573" s="156"/>
      <c r="W573" s="157"/>
      <c r="X573" s="157"/>
      <c r="Y573" s="158"/>
      <c r="Z573" s="162"/>
      <c r="AA573" s="159" t="s">
        <v>278</v>
      </c>
      <c r="AB573" s="160"/>
      <c r="AC573" s="158">
        <f t="shared" si="93"/>
        <v>0</v>
      </c>
    </row>
    <row r="574" spans="8:29" ht="12.5">
      <c r="H574" s="131"/>
      <c r="J574" s="149"/>
      <c r="K574" s="150">
        <f>MAX(K$422:K573)+1</f>
        <v>153</v>
      </c>
      <c r="L574" s="151">
        <f t="shared" si="95"/>
        <v>1</v>
      </c>
      <c r="M574" s="152"/>
      <c r="N574" s="153"/>
      <c r="O574" s="153"/>
      <c r="P574" s="153"/>
      <c r="Q574" s="153"/>
      <c r="R574" s="153"/>
      <c r="S574" s="154">
        <f t="shared" si="94"/>
        <v>0</v>
      </c>
      <c r="T574" s="155"/>
      <c r="U574" s="154">
        <f t="shared" si="91"/>
        <v>0</v>
      </c>
      <c r="V574" s="156"/>
      <c r="W574" s="157"/>
      <c r="X574" s="157"/>
      <c r="Y574" s="158"/>
      <c r="Z574" s="162"/>
      <c r="AA574" s="159" t="s">
        <v>278</v>
      </c>
      <c r="AB574" s="160"/>
      <c r="AC574" s="158">
        <f t="shared" si="93"/>
        <v>0</v>
      </c>
    </row>
    <row r="575" spans="8:29" ht="12.5">
      <c r="H575" s="131"/>
      <c r="J575" s="149"/>
      <c r="K575" s="150">
        <f>MAX(K$422:K574)+1</f>
        <v>154</v>
      </c>
      <c r="L575" s="151">
        <f t="shared" si="95"/>
        <v>1</v>
      </c>
      <c r="M575" s="152"/>
      <c r="N575" s="153"/>
      <c r="O575" s="153"/>
      <c r="P575" s="153"/>
      <c r="Q575" s="153"/>
      <c r="R575" s="153"/>
      <c r="S575" s="154">
        <f t="shared" si="94"/>
        <v>0</v>
      </c>
      <c r="T575" s="155"/>
      <c r="U575" s="154">
        <f t="shared" si="91"/>
        <v>0</v>
      </c>
      <c r="V575" s="156"/>
      <c r="W575" s="157"/>
      <c r="X575" s="157"/>
      <c r="Y575" s="158"/>
      <c r="Z575" s="162"/>
      <c r="AA575" s="159" t="s">
        <v>278</v>
      </c>
      <c r="AB575" s="160"/>
      <c r="AC575" s="158">
        <f t="shared" si="93"/>
        <v>0</v>
      </c>
    </row>
    <row r="576" spans="8:29" ht="12.5">
      <c r="H576" s="131"/>
      <c r="J576" s="149"/>
      <c r="K576" s="150">
        <f>MAX(K$422:K575)+1</f>
        <v>155</v>
      </c>
      <c r="L576" s="151">
        <f t="shared" si="95"/>
        <v>1</v>
      </c>
      <c r="M576" s="152"/>
      <c r="N576" s="153"/>
      <c r="O576" s="153"/>
      <c r="P576" s="153"/>
      <c r="Q576" s="153"/>
      <c r="R576" s="153"/>
      <c r="S576" s="154">
        <f t="shared" si="94"/>
        <v>0</v>
      </c>
      <c r="T576" s="155"/>
      <c r="U576" s="154">
        <f t="shared" ref="U576:U639" si="96">S576+T576</f>
        <v>0</v>
      </c>
      <c r="V576" s="156"/>
      <c r="W576" s="157"/>
      <c r="X576" s="157"/>
      <c r="Y576" s="158"/>
      <c r="Z576" s="162"/>
      <c r="AA576" s="159" t="s">
        <v>278</v>
      </c>
      <c r="AB576" s="160"/>
      <c r="AC576" s="158">
        <f t="shared" si="93"/>
        <v>0</v>
      </c>
    </row>
    <row r="577" spans="8:29" ht="12.5">
      <c r="H577" s="131"/>
      <c r="J577" s="149"/>
      <c r="K577" s="150">
        <f>MAX(K$422:K576)+1</f>
        <v>156</v>
      </c>
      <c r="L577" s="151">
        <f t="shared" si="95"/>
        <v>1</v>
      </c>
      <c r="M577" s="152"/>
      <c r="N577" s="153"/>
      <c r="O577" s="153"/>
      <c r="P577" s="153"/>
      <c r="Q577" s="153"/>
      <c r="R577" s="153"/>
      <c r="S577" s="154">
        <f t="shared" si="94"/>
        <v>0</v>
      </c>
      <c r="T577" s="155"/>
      <c r="U577" s="154">
        <f t="shared" si="96"/>
        <v>0</v>
      </c>
      <c r="V577" s="156"/>
      <c r="W577" s="157"/>
      <c r="X577" s="157"/>
      <c r="Y577" s="158"/>
      <c r="Z577" s="162"/>
      <c r="AA577" s="159" t="s">
        <v>278</v>
      </c>
      <c r="AB577" s="160"/>
      <c r="AC577" s="158">
        <f t="shared" si="93"/>
        <v>0</v>
      </c>
    </row>
    <row r="578" spans="8:29" ht="12.5">
      <c r="H578" s="131"/>
      <c r="J578" s="149"/>
      <c r="K578" s="150">
        <f>MAX(K$422:K577)+1</f>
        <v>157</v>
      </c>
      <c r="L578" s="151">
        <f t="shared" si="95"/>
        <v>1</v>
      </c>
      <c r="M578" s="152"/>
      <c r="N578" s="153"/>
      <c r="O578" s="153"/>
      <c r="P578" s="153"/>
      <c r="Q578" s="153"/>
      <c r="R578" s="153"/>
      <c r="S578" s="154">
        <f t="shared" si="94"/>
        <v>0</v>
      </c>
      <c r="T578" s="155"/>
      <c r="U578" s="154">
        <f t="shared" si="96"/>
        <v>0</v>
      </c>
      <c r="V578" s="156"/>
      <c r="W578" s="157"/>
      <c r="X578" s="157"/>
      <c r="Y578" s="158"/>
      <c r="Z578" s="162"/>
      <c r="AA578" s="159" t="s">
        <v>278</v>
      </c>
      <c r="AB578" s="160"/>
      <c r="AC578" s="158">
        <f t="shared" si="93"/>
        <v>0</v>
      </c>
    </row>
    <row r="579" spans="8:29" ht="12.5">
      <c r="H579" s="131"/>
      <c r="J579" s="149"/>
      <c r="K579" s="150">
        <f>MAX(K$422:K578)+1</f>
        <v>158</v>
      </c>
      <c r="L579" s="151">
        <f t="shared" si="95"/>
        <v>1</v>
      </c>
      <c r="M579" s="152"/>
      <c r="N579" s="153"/>
      <c r="O579" s="153"/>
      <c r="P579" s="153"/>
      <c r="Q579" s="153"/>
      <c r="R579" s="153"/>
      <c r="S579" s="154">
        <f t="shared" si="94"/>
        <v>0</v>
      </c>
      <c r="T579" s="155"/>
      <c r="U579" s="154">
        <f t="shared" si="96"/>
        <v>0</v>
      </c>
      <c r="V579" s="156"/>
      <c r="W579" s="157"/>
      <c r="X579" s="157"/>
      <c r="Y579" s="158"/>
      <c r="Z579" s="162"/>
      <c r="AA579" s="159" t="s">
        <v>278</v>
      </c>
      <c r="AB579" s="160"/>
      <c r="AC579" s="158">
        <f t="shared" si="93"/>
        <v>0</v>
      </c>
    </row>
    <row r="580" spans="8:29" ht="12.5">
      <c r="H580" s="131"/>
      <c r="J580" s="149"/>
      <c r="K580" s="150">
        <f>MAX(K$422:K579)+1</f>
        <v>159</v>
      </c>
      <c r="L580" s="151">
        <f t="shared" si="95"/>
        <v>1</v>
      </c>
      <c r="M580" s="152"/>
      <c r="N580" s="153"/>
      <c r="O580" s="153"/>
      <c r="P580" s="153"/>
      <c r="Q580" s="153"/>
      <c r="R580" s="153"/>
      <c r="S580" s="154">
        <f t="shared" si="94"/>
        <v>0</v>
      </c>
      <c r="T580" s="155"/>
      <c r="U580" s="154">
        <f t="shared" si="96"/>
        <v>0</v>
      </c>
      <c r="V580" s="156"/>
      <c r="W580" s="157"/>
      <c r="X580" s="157"/>
      <c r="Y580" s="158"/>
      <c r="Z580" s="162"/>
      <c r="AA580" s="159" t="s">
        <v>278</v>
      </c>
      <c r="AB580" s="160"/>
      <c r="AC580" s="158">
        <f t="shared" si="93"/>
        <v>0</v>
      </c>
    </row>
    <row r="581" spans="8:29" ht="12.5">
      <c r="H581" s="131"/>
      <c r="J581" s="149"/>
      <c r="K581" s="150">
        <f>MAX(K$422:K580)+1</f>
        <v>160</v>
      </c>
      <c r="L581" s="151">
        <f t="shared" si="95"/>
        <v>1</v>
      </c>
      <c r="M581" s="152"/>
      <c r="N581" s="153"/>
      <c r="O581" s="153"/>
      <c r="P581" s="153"/>
      <c r="Q581" s="153"/>
      <c r="R581" s="153"/>
      <c r="S581" s="154">
        <f t="shared" si="94"/>
        <v>0</v>
      </c>
      <c r="T581" s="155"/>
      <c r="U581" s="154">
        <f t="shared" si="96"/>
        <v>0</v>
      </c>
      <c r="V581" s="156"/>
      <c r="W581" s="157"/>
      <c r="X581" s="157"/>
      <c r="Y581" s="158"/>
      <c r="Z581" s="162"/>
      <c r="AA581" s="159" t="s">
        <v>278</v>
      </c>
      <c r="AB581" s="160"/>
      <c r="AC581" s="158">
        <f t="shared" si="93"/>
        <v>0</v>
      </c>
    </row>
    <row r="582" spans="8:29" ht="12.5">
      <c r="H582" s="131"/>
      <c r="J582" s="149"/>
      <c r="K582" s="150">
        <f>MAX(K$422:K581)+1</f>
        <v>161</v>
      </c>
      <c r="L582" s="151">
        <f t="shared" si="95"/>
        <v>1</v>
      </c>
      <c r="M582" s="152"/>
      <c r="N582" s="153"/>
      <c r="O582" s="153"/>
      <c r="P582" s="153"/>
      <c r="Q582" s="153"/>
      <c r="R582" s="153"/>
      <c r="S582" s="154">
        <f t="shared" si="94"/>
        <v>0</v>
      </c>
      <c r="T582" s="155"/>
      <c r="U582" s="154">
        <f t="shared" si="96"/>
        <v>0</v>
      </c>
      <c r="V582" s="156"/>
      <c r="W582" s="157"/>
      <c r="X582" s="157"/>
      <c r="Y582" s="158"/>
      <c r="Z582" s="162"/>
      <c r="AA582" s="159" t="s">
        <v>278</v>
      </c>
      <c r="AB582" s="160"/>
      <c r="AC582" s="158">
        <f t="shared" si="93"/>
        <v>0</v>
      </c>
    </row>
    <row r="583" spans="8:29" ht="12.5">
      <c r="H583" s="131"/>
      <c r="J583" s="149"/>
      <c r="K583" s="150">
        <f>MAX(K$422:K582)+1</f>
        <v>162</v>
      </c>
      <c r="L583" s="151">
        <f t="shared" si="95"/>
        <v>1</v>
      </c>
      <c r="M583" s="152"/>
      <c r="N583" s="153"/>
      <c r="O583" s="153"/>
      <c r="P583" s="153"/>
      <c r="Q583" s="153"/>
      <c r="R583" s="153"/>
      <c r="S583" s="154">
        <f t="shared" si="94"/>
        <v>0</v>
      </c>
      <c r="T583" s="155"/>
      <c r="U583" s="154">
        <f t="shared" si="96"/>
        <v>0</v>
      </c>
      <c r="V583" s="156"/>
      <c r="W583" s="157"/>
      <c r="X583" s="157"/>
      <c r="Y583" s="158"/>
      <c r="Z583" s="162"/>
      <c r="AA583" s="159" t="s">
        <v>278</v>
      </c>
      <c r="AB583" s="160"/>
      <c r="AC583" s="158">
        <f t="shared" si="93"/>
        <v>0</v>
      </c>
    </row>
    <row r="584" spans="8:29" ht="12.5">
      <c r="H584" s="131"/>
      <c r="J584" s="149"/>
      <c r="K584" s="150">
        <f>MAX(K$422:K583)+1</f>
        <v>163</v>
      </c>
      <c r="L584" s="151">
        <f t="shared" si="95"/>
        <v>1</v>
      </c>
      <c r="M584" s="152"/>
      <c r="N584" s="153"/>
      <c r="O584" s="153"/>
      <c r="P584" s="153"/>
      <c r="Q584" s="153"/>
      <c r="R584" s="153"/>
      <c r="S584" s="154">
        <f t="shared" si="94"/>
        <v>0</v>
      </c>
      <c r="T584" s="155"/>
      <c r="U584" s="154">
        <f t="shared" si="96"/>
        <v>0</v>
      </c>
      <c r="V584" s="156"/>
      <c r="W584" s="157"/>
      <c r="X584" s="157"/>
      <c r="Y584" s="158"/>
      <c r="Z584" s="162"/>
      <c r="AA584" s="159" t="s">
        <v>278</v>
      </c>
      <c r="AB584" s="160"/>
      <c r="AC584" s="158">
        <f t="shared" si="93"/>
        <v>0</v>
      </c>
    </row>
    <row r="585" spans="8:29" ht="12.5">
      <c r="H585" s="131"/>
      <c r="J585" s="149"/>
      <c r="K585" s="150">
        <f>MAX(K$422:K584)+1</f>
        <v>164</v>
      </c>
      <c r="L585" s="151">
        <f t="shared" si="95"/>
        <v>1</v>
      </c>
      <c r="M585" s="152"/>
      <c r="N585" s="153"/>
      <c r="O585" s="153"/>
      <c r="P585" s="153"/>
      <c r="Q585" s="153"/>
      <c r="R585" s="153"/>
      <c r="S585" s="154">
        <f t="shared" si="94"/>
        <v>0</v>
      </c>
      <c r="T585" s="155"/>
      <c r="U585" s="154">
        <f t="shared" si="96"/>
        <v>0</v>
      </c>
      <c r="V585" s="156"/>
      <c r="W585" s="157"/>
      <c r="X585" s="157"/>
      <c r="Y585" s="158"/>
      <c r="Z585" s="162"/>
      <c r="AA585" s="159" t="s">
        <v>278</v>
      </c>
      <c r="AB585" s="160"/>
      <c r="AC585" s="158">
        <f t="shared" si="93"/>
        <v>0</v>
      </c>
    </row>
    <row r="586" spans="8:29" ht="12.5">
      <c r="H586" s="131"/>
      <c r="J586" s="149"/>
      <c r="K586" s="150">
        <f>MAX(K$422:K585)+1</f>
        <v>165</v>
      </c>
      <c r="L586" s="151">
        <f t="shared" si="95"/>
        <v>1</v>
      </c>
      <c r="M586" s="152"/>
      <c r="N586" s="153"/>
      <c r="O586" s="153"/>
      <c r="P586" s="153"/>
      <c r="Q586" s="153"/>
      <c r="R586" s="153"/>
      <c r="S586" s="154">
        <f t="shared" si="94"/>
        <v>0</v>
      </c>
      <c r="T586" s="155"/>
      <c r="U586" s="154">
        <f t="shared" si="96"/>
        <v>0</v>
      </c>
      <c r="V586" s="156"/>
      <c r="W586" s="157"/>
      <c r="X586" s="157"/>
      <c r="Y586" s="158"/>
      <c r="Z586" s="162"/>
      <c r="AA586" s="159" t="s">
        <v>278</v>
      </c>
      <c r="AB586" s="160"/>
      <c r="AC586" s="158">
        <f t="shared" si="93"/>
        <v>0</v>
      </c>
    </row>
    <row r="587" spans="8:29" ht="12.5">
      <c r="H587" s="131"/>
      <c r="J587" s="149"/>
      <c r="K587" s="150">
        <f>MAX(K$422:K586)+1</f>
        <v>166</v>
      </c>
      <c r="L587" s="151">
        <f t="shared" si="95"/>
        <v>1</v>
      </c>
      <c r="M587" s="152"/>
      <c r="N587" s="153"/>
      <c r="O587" s="153"/>
      <c r="P587" s="153"/>
      <c r="Q587" s="153"/>
      <c r="R587" s="153"/>
      <c r="S587" s="154">
        <f t="shared" si="94"/>
        <v>0</v>
      </c>
      <c r="T587" s="155"/>
      <c r="U587" s="154">
        <f t="shared" si="96"/>
        <v>0</v>
      </c>
      <c r="V587" s="156"/>
      <c r="W587" s="157"/>
      <c r="X587" s="157"/>
      <c r="Y587" s="158"/>
      <c r="Z587" s="162"/>
      <c r="AA587" s="159" t="s">
        <v>278</v>
      </c>
      <c r="AB587" s="160"/>
      <c r="AC587" s="158">
        <f t="shared" si="93"/>
        <v>0</v>
      </c>
    </row>
    <row r="588" spans="8:29" ht="12.5">
      <c r="H588" s="131"/>
      <c r="J588" s="149"/>
      <c r="K588" s="150">
        <f>MAX(K$422:K587)+1</f>
        <v>167</v>
      </c>
      <c r="L588" s="151">
        <f t="shared" si="95"/>
        <v>1</v>
      </c>
      <c r="M588" s="152"/>
      <c r="N588" s="153"/>
      <c r="O588" s="153"/>
      <c r="P588" s="153"/>
      <c r="Q588" s="153"/>
      <c r="R588" s="153"/>
      <c r="S588" s="154">
        <f t="shared" si="94"/>
        <v>0</v>
      </c>
      <c r="T588" s="155"/>
      <c r="U588" s="154">
        <f t="shared" si="96"/>
        <v>0</v>
      </c>
      <c r="V588" s="156"/>
      <c r="W588" s="157"/>
      <c r="X588" s="157"/>
      <c r="Y588" s="158"/>
      <c r="Z588" s="162"/>
      <c r="AA588" s="159" t="s">
        <v>278</v>
      </c>
      <c r="AB588" s="160"/>
      <c r="AC588" s="158">
        <f t="shared" si="93"/>
        <v>0</v>
      </c>
    </row>
    <row r="589" spans="8:29" ht="12.5">
      <c r="H589" s="131"/>
      <c r="J589" s="149"/>
      <c r="K589" s="150">
        <f>MAX(K$422:K588)+1</f>
        <v>168</v>
      </c>
      <c r="L589" s="151">
        <f t="shared" si="95"/>
        <v>1</v>
      </c>
      <c r="M589" s="152"/>
      <c r="N589" s="153"/>
      <c r="O589" s="153"/>
      <c r="P589" s="153"/>
      <c r="Q589" s="153"/>
      <c r="R589" s="153"/>
      <c r="S589" s="154">
        <f t="shared" si="94"/>
        <v>0</v>
      </c>
      <c r="T589" s="155"/>
      <c r="U589" s="154">
        <f t="shared" si="96"/>
        <v>0</v>
      </c>
      <c r="V589" s="156"/>
      <c r="W589" s="157"/>
      <c r="X589" s="157"/>
      <c r="Y589" s="158"/>
      <c r="Z589" s="162"/>
      <c r="AA589" s="159" t="s">
        <v>278</v>
      </c>
      <c r="AB589" s="160"/>
      <c r="AC589" s="158">
        <f t="shared" si="93"/>
        <v>0</v>
      </c>
    </row>
    <row r="590" spans="8:29" ht="12.5">
      <c r="H590" s="131"/>
      <c r="J590" s="149"/>
      <c r="K590" s="150">
        <f>MAX(K$422:K589)+1</f>
        <v>169</v>
      </c>
      <c r="L590" s="151">
        <f t="shared" si="95"/>
        <v>1</v>
      </c>
      <c r="M590" s="152"/>
      <c r="N590" s="153"/>
      <c r="O590" s="153"/>
      <c r="P590" s="153"/>
      <c r="Q590" s="153"/>
      <c r="R590" s="153"/>
      <c r="S590" s="154">
        <f t="shared" si="94"/>
        <v>0</v>
      </c>
      <c r="T590" s="155"/>
      <c r="U590" s="154">
        <f t="shared" si="96"/>
        <v>0</v>
      </c>
      <c r="V590" s="156"/>
      <c r="W590" s="157"/>
      <c r="X590" s="157"/>
      <c r="Y590" s="158"/>
      <c r="Z590" s="162"/>
      <c r="AA590" s="159" t="s">
        <v>278</v>
      </c>
      <c r="AB590" s="160"/>
      <c r="AC590" s="158">
        <f t="shared" si="93"/>
        <v>0</v>
      </c>
    </row>
    <row r="591" spans="8:29" ht="12.5">
      <c r="H591" s="131"/>
      <c r="J591" s="149"/>
      <c r="K591" s="150">
        <f>MAX(K$422:K590)+1</f>
        <v>170</v>
      </c>
      <c r="L591" s="151">
        <f t="shared" si="95"/>
        <v>1</v>
      </c>
      <c r="M591" s="152"/>
      <c r="N591" s="153"/>
      <c r="O591" s="153"/>
      <c r="P591" s="153"/>
      <c r="Q591" s="153"/>
      <c r="R591" s="153"/>
      <c r="S591" s="154">
        <f t="shared" si="94"/>
        <v>0</v>
      </c>
      <c r="T591" s="155"/>
      <c r="U591" s="154">
        <f t="shared" si="96"/>
        <v>0</v>
      </c>
      <c r="V591" s="156"/>
      <c r="W591" s="157"/>
      <c r="X591" s="157"/>
      <c r="Y591" s="158"/>
      <c r="Z591" s="162"/>
      <c r="AA591" s="159" t="s">
        <v>278</v>
      </c>
      <c r="AB591" s="160"/>
      <c r="AC591" s="158">
        <f t="shared" si="93"/>
        <v>0</v>
      </c>
    </row>
    <row r="592" spans="8:29" ht="12.5">
      <c r="H592" s="131"/>
      <c r="J592" s="149"/>
      <c r="K592" s="150">
        <f>MAX(K$422:K591)+1</f>
        <v>171</v>
      </c>
      <c r="L592" s="151">
        <f t="shared" si="95"/>
        <v>1</v>
      </c>
      <c r="M592" s="152"/>
      <c r="N592" s="153"/>
      <c r="O592" s="153"/>
      <c r="P592" s="153"/>
      <c r="Q592" s="153"/>
      <c r="R592" s="153"/>
      <c r="S592" s="154">
        <f t="shared" si="94"/>
        <v>0</v>
      </c>
      <c r="T592" s="155"/>
      <c r="U592" s="154">
        <f t="shared" si="96"/>
        <v>0</v>
      </c>
      <c r="V592" s="156"/>
      <c r="W592" s="157"/>
      <c r="X592" s="157"/>
      <c r="Y592" s="158"/>
      <c r="Z592" s="162"/>
      <c r="AA592" s="159" t="s">
        <v>278</v>
      </c>
      <c r="AB592" s="160"/>
      <c r="AC592" s="158">
        <f t="shared" si="93"/>
        <v>0</v>
      </c>
    </row>
    <row r="593" spans="8:29" ht="12.5">
      <c r="H593" s="131"/>
      <c r="J593" s="149"/>
      <c r="K593" s="150">
        <f>MAX(K$422:K592)+1</f>
        <v>172</v>
      </c>
      <c r="L593" s="151">
        <f t="shared" si="95"/>
        <v>1</v>
      </c>
      <c r="M593" s="152"/>
      <c r="N593" s="153"/>
      <c r="O593" s="153"/>
      <c r="P593" s="153"/>
      <c r="Q593" s="153"/>
      <c r="R593" s="153"/>
      <c r="S593" s="154">
        <f t="shared" si="94"/>
        <v>0</v>
      </c>
      <c r="T593" s="155"/>
      <c r="U593" s="154">
        <f t="shared" si="96"/>
        <v>0</v>
      </c>
      <c r="V593" s="156"/>
      <c r="W593" s="157"/>
      <c r="X593" s="157"/>
      <c r="Y593" s="158"/>
      <c r="Z593" s="162"/>
      <c r="AA593" s="159" t="s">
        <v>278</v>
      </c>
      <c r="AB593" s="160"/>
      <c r="AC593" s="158">
        <f t="shared" si="93"/>
        <v>0</v>
      </c>
    </row>
    <row r="594" spans="8:29" ht="12.5">
      <c r="H594" s="131"/>
      <c r="J594" s="149"/>
      <c r="K594" s="150">
        <f>MAX(K$422:K593)+1</f>
        <v>173</v>
      </c>
      <c r="L594" s="151">
        <f t="shared" si="95"/>
        <v>1</v>
      </c>
      <c r="M594" s="152"/>
      <c r="N594" s="153"/>
      <c r="O594" s="153"/>
      <c r="P594" s="153"/>
      <c r="Q594" s="153"/>
      <c r="R594" s="153"/>
      <c r="S594" s="154">
        <f t="shared" si="94"/>
        <v>0</v>
      </c>
      <c r="T594" s="155"/>
      <c r="U594" s="154">
        <f t="shared" si="96"/>
        <v>0</v>
      </c>
      <c r="V594" s="156"/>
      <c r="W594" s="157"/>
      <c r="X594" s="157"/>
      <c r="Y594" s="158"/>
      <c r="Z594" s="162"/>
      <c r="AA594" s="159" t="s">
        <v>278</v>
      </c>
      <c r="AB594" s="160"/>
      <c r="AC594" s="158">
        <f t="shared" si="93"/>
        <v>0</v>
      </c>
    </row>
    <row r="595" spans="8:29" ht="12.5">
      <c r="H595" s="131"/>
      <c r="J595" s="149"/>
      <c r="K595" s="150">
        <f>MAX(K$422:K594)+1</f>
        <v>174</v>
      </c>
      <c r="L595" s="151">
        <f t="shared" si="95"/>
        <v>1</v>
      </c>
      <c r="M595" s="152"/>
      <c r="N595" s="153"/>
      <c r="O595" s="153"/>
      <c r="P595" s="153"/>
      <c r="Q595" s="153"/>
      <c r="R595" s="153"/>
      <c r="S595" s="154">
        <f t="shared" si="94"/>
        <v>0</v>
      </c>
      <c r="T595" s="155"/>
      <c r="U595" s="154">
        <f t="shared" si="96"/>
        <v>0</v>
      </c>
      <c r="V595" s="156"/>
      <c r="W595" s="157"/>
      <c r="X595" s="157"/>
      <c r="Y595" s="158"/>
      <c r="Z595" s="162"/>
      <c r="AA595" s="159" t="s">
        <v>278</v>
      </c>
      <c r="AB595" s="160"/>
      <c r="AC595" s="158">
        <f t="shared" si="93"/>
        <v>0</v>
      </c>
    </row>
    <row r="596" spans="8:29" ht="12.5">
      <c r="H596" s="131"/>
      <c r="J596" s="149"/>
      <c r="K596" s="150">
        <f>MAX(K$422:K595)+1</f>
        <v>175</v>
      </c>
      <c r="L596" s="151">
        <f t="shared" si="95"/>
        <v>1</v>
      </c>
      <c r="M596" s="152"/>
      <c r="N596" s="153"/>
      <c r="O596" s="153"/>
      <c r="P596" s="153"/>
      <c r="Q596" s="153"/>
      <c r="R596" s="153"/>
      <c r="S596" s="154">
        <f t="shared" si="94"/>
        <v>0</v>
      </c>
      <c r="T596" s="155"/>
      <c r="U596" s="154">
        <f t="shared" si="96"/>
        <v>0</v>
      </c>
      <c r="V596" s="156"/>
      <c r="W596" s="157"/>
      <c r="X596" s="157"/>
      <c r="Y596" s="158"/>
      <c r="Z596" s="162"/>
      <c r="AA596" s="159" t="s">
        <v>278</v>
      </c>
      <c r="AB596" s="160"/>
      <c r="AC596" s="158">
        <f t="shared" si="93"/>
        <v>0</v>
      </c>
    </row>
    <row r="597" spans="8:29" ht="12.5">
      <c r="H597" s="131"/>
      <c r="J597" s="149"/>
      <c r="K597" s="150">
        <f>MAX(K$422:K596)+1</f>
        <v>176</v>
      </c>
      <c r="L597" s="151">
        <f t="shared" si="95"/>
        <v>1</v>
      </c>
      <c r="M597" s="152"/>
      <c r="N597" s="153"/>
      <c r="O597" s="153"/>
      <c r="P597" s="153"/>
      <c r="Q597" s="153"/>
      <c r="R597" s="153"/>
      <c r="S597" s="154">
        <f t="shared" si="94"/>
        <v>0</v>
      </c>
      <c r="T597" s="155"/>
      <c r="U597" s="154">
        <f t="shared" si="96"/>
        <v>0</v>
      </c>
      <c r="V597" s="156"/>
      <c r="W597" s="157"/>
      <c r="X597" s="157"/>
      <c r="Y597" s="158"/>
      <c r="Z597" s="162"/>
      <c r="AA597" s="159" t="s">
        <v>278</v>
      </c>
      <c r="AB597" s="160"/>
      <c r="AC597" s="158">
        <f t="shared" si="93"/>
        <v>0</v>
      </c>
    </row>
    <row r="598" spans="8:29" ht="12.5">
      <c r="H598" s="131"/>
      <c r="J598" s="149"/>
      <c r="K598" s="150">
        <f>MAX(K$422:K597)+1</f>
        <v>177</v>
      </c>
      <c r="L598" s="151">
        <f t="shared" si="95"/>
        <v>1</v>
      </c>
      <c r="M598" s="152"/>
      <c r="N598" s="153"/>
      <c r="O598" s="153"/>
      <c r="P598" s="153"/>
      <c r="Q598" s="153"/>
      <c r="R598" s="153"/>
      <c r="S598" s="154">
        <f t="shared" si="94"/>
        <v>0</v>
      </c>
      <c r="T598" s="155"/>
      <c r="U598" s="154">
        <f t="shared" si="96"/>
        <v>0</v>
      </c>
      <c r="V598" s="156"/>
      <c r="W598" s="157"/>
      <c r="X598" s="157"/>
      <c r="Y598" s="158"/>
      <c r="Z598" s="162"/>
      <c r="AA598" s="159" t="s">
        <v>278</v>
      </c>
      <c r="AB598" s="160"/>
      <c r="AC598" s="158">
        <f t="shared" si="93"/>
        <v>0</v>
      </c>
    </row>
    <row r="599" spans="8:29" ht="12.5">
      <c r="H599" s="131"/>
      <c r="J599" s="149"/>
      <c r="K599" s="150">
        <f>MAX(K$422:K598)+1</f>
        <v>178</v>
      </c>
      <c r="L599" s="151">
        <f t="shared" si="95"/>
        <v>1</v>
      </c>
      <c r="M599" s="152"/>
      <c r="N599" s="153"/>
      <c r="O599" s="153"/>
      <c r="P599" s="153"/>
      <c r="Q599" s="153"/>
      <c r="R599" s="153"/>
      <c r="S599" s="154">
        <f t="shared" si="94"/>
        <v>0</v>
      </c>
      <c r="T599" s="155"/>
      <c r="U599" s="154">
        <f t="shared" si="96"/>
        <v>0</v>
      </c>
      <c r="V599" s="156"/>
      <c r="W599" s="157"/>
      <c r="X599" s="157"/>
      <c r="Y599" s="158"/>
      <c r="Z599" s="162"/>
      <c r="AA599" s="159" t="s">
        <v>278</v>
      </c>
      <c r="AB599" s="160"/>
      <c r="AC599" s="158">
        <f t="shared" si="93"/>
        <v>0</v>
      </c>
    </row>
    <row r="600" spans="8:29" ht="12.5">
      <c r="H600" s="131"/>
      <c r="J600" s="149"/>
      <c r="K600" s="150">
        <f>MAX(K$422:K599)+1</f>
        <v>179</v>
      </c>
      <c r="L600" s="151">
        <f t="shared" si="95"/>
        <v>1</v>
      </c>
      <c r="M600" s="152"/>
      <c r="N600" s="153"/>
      <c r="O600" s="153"/>
      <c r="P600" s="153"/>
      <c r="Q600" s="153"/>
      <c r="R600" s="153"/>
      <c r="S600" s="154">
        <f t="shared" si="94"/>
        <v>0</v>
      </c>
      <c r="T600" s="155"/>
      <c r="U600" s="154">
        <f t="shared" si="96"/>
        <v>0</v>
      </c>
      <c r="V600" s="156"/>
      <c r="W600" s="157"/>
      <c r="X600" s="157"/>
      <c r="Y600" s="158"/>
      <c r="Z600" s="162"/>
      <c r="AA600" s="159" t="s">
        <v>278</v>
      </c>
      <c r="AB600" s="160"/>
      <c r="AC600" s="158">
        <f t="shared" si="93"/>
        <v>0</v>
      </c>
    </row>
    <row r="601" spans="8:29" ht="12.5">
      <c r="H601" s="131"/>
      <c r="J601" s="149"/>
      <c r="K601" s="150">
        <f>MAX(K$422:K600)+1</f>
        <v>180</v>
      </c>
      <c r="L601" s="151">
        <f t="shared" si="95"/>
        <v>1</v>
      </c>
      <c r="M601" s="152"/>
      <c r="N601" s="153"/>
      <c r="O601" s="153"/>
      <c r="P601" s="153"/>
      <c r="Q601" s="153"/>
      <c r="R601" s="153"/>
      <c r="S601" s="154">
        <f t="shared" si="94"/>
        <v>0</v>
      </c>
      <c r="T601" s="155"/>
      <c r="U601" s="154">
        <f t="shared" si="96"/>
        <v>0</v>
      </c>
      <c r="V601" s="156"/>
      <c r="W601" s="157"/>
      <c r="X601" s="157"/>
      <c r="Y601" s="158"/>
      <c r="Z601" s="162"/>
      <c r="AA601" s="159" t="s">
        <v>278</v>
      </c>
      <c r="AB601" s="160"/>
      <c r="AC601" s="158">
        <f t="shared" si="93"/>
        <v>0</v>
      </c>
    </row>
    <row r="602" spans="8:29" ht="12.5">
      <c r="H602" s="131"/>
      <c r="J602" s="149"/>
      <c r="K602" s="150">
        <f>MAX(K$422:K601)+1</f>
        <v>181</v>
      </c>
      <c r="L602" s="151">
        <f t="shared" si="95"/>
        <v>1</v>
      </c>
      <c r="M602" s="152"/>
      <c r="N602" s="153"/>
      <c r="O602" s="153"/>
      <c r="P602" s="153"/>
      <c r="Q602" s="153"/>
      <c r="R602" s="153"/>
      <c r="S602" s="154">
        <f t="shared" si="94"/>
        <v>0</v>
      </c>
      <c r="T602" s="155"/>
      <c r="U602" s="154">
        <f t="shared" si="96"/>
        <v>0</v>
      </c>
      <c r="V602" s="156"/>
      <c r="W602" s="157"/>
      <c r="X602" s="157"/>
      <c r="Y602" s="158"/>
      <c r="Z602" s="162"/>
      <c r="AA602" s="159" t="s">
        <v>278</v>
      </c>
      <c r="AB602" s="160"/>
      <c r="AC602" s="158">
        <f t="shared" si="93"/>
        <v>0</v>
      </c>
    </row>
    <row r="603" spans="8:29" ht="12.5">
      <c r="H603" s="131"/>
      <c r="J603" s="149"/>
      <c r="K603" s="150">
        <f>MAX(K$422:K602)+1</f>
        <v>182</v>
      </c>
      <c r="L603" s="151">
        <f t="shared" si="95"/>
        <v>1</v>
      </c>
      <c r="M603" s="152"/>
      <c r="N603" s="153"/>
      <c r="O603" s="153"/>
      <c r="P603" s="153"/>
      <c r="Q603" s="153"/>
      <c r="R603" s="153"/>
      <c r="S603" s="154">
        <f t="shared" si="94"/>
        <v>0</v>
      </c>
      <c r="T603" s="155"/>
      <c r="U603" s="154">
        <f t="shared" si="96"/>
        <v>0</v>
      </c>
      <c r="V603" s="156"/>
      <c r="W603" s="157"/>
      <c r="X603" s="157"/>
      <c r="Y603" s="158"/>
      <c r="Z603" s="162"/>
      <c r="AA603" s="159" t="s">
        <v>278</v>
      </c>
      <c r="AB603" s="160"/>
      <c r="AC603" s="158">
        <f t="shared" si="93"/>
        <v>0</v>
      </c>
    </row>
    <row r="604" spans="8:29" ht="12.5">
      <c r="H604" s="131"/>
      <c r="J604" s="149"/>
      <c r="K604" s="150">
        <f>MAX(K$422:K603)+1</f>
        <v>183</v>
      </c>
      <c r="L604" s="151">
        <f t="shared" si="95"/>
        <v>1</v>
      </c>
      <c r="M604" s="152"/>
      <c r="N604" s="153"/>
      <c r="O604" s="153"/>
      <c r="P604" s="153"/>
      <c r="Q604" s="153"/>
      <c r="R604" s="153"/>
      <c r="S604" s="154">
        <f t="shared" si="94"/>
        <v>0</v>
      </c>
      <c r="T604" s="155"/>
      <c r="U604" s="154">
        <f t="shared" si="96"/>
        <v>0</v>
      </c>
      <c r="V604" s="156"/>
      <c r="W604" s="157"/>
      <c r="X604" s="157"/>
      <c r="Y604" s="158"/>
      <c r="Z604" s="162"/>
      <c r="AA604" s="159" t="s">
        <v>278</v>
      </c>
      <c r="AB604" s="160"/>
      <c r="AC604" s="158">
        <f t="shared" si="93"/>
        <v>0</v>
      </c>
    </row>
    <row r="605" spans="8:29" ht="12.5">
      <c r="H605" s="131"/>
      <c r="J605" s="149"/>
      <c r="K605" s="150">
        <f>MAX(K$422:K604)+1</f>
        <v>184</v>
      </c>
      <c r="L605" s="151">
        <f t="shared" si="95"/>
        <v>1</v>
      </c>
      <c r="M605" s="152"/>
      <c r="N605" s="153"/>
      <c r="O605" s="153"/>
      <c r="P605" s="153"/>
      <c r="Q605" s="153"/>
      <c r="R605" s="153"/>
      <c r="S605" s="154">
        <f t="shared" si="94"/>
        <v>0</v>
      </c>
      <c r="T605" s="155"/>
      <c r="U605" s="154">
        <f t="shared" si="96"/>
        <v>0</v>
      </c>
      <c r="V605" s="156"/>
      <c r="W605" s="157"/>
      <c r="X605" s="157"/>
      <c r="Y605" s="158"/>
      <c r="Z605" s="162"/>
      <c r="AA605" s="159" t="s">
        <v>278</v>
      </c>
      <c r="AB605" s="160"/>
      <c r="AC605" s="158">
        <f t="shared" si="93"/>
        <v>0</v>
      </c>
    </row>
    <row r="606" spans="8:29" ht="12.5">
      <c r="H606" s="131"/>
      <c r="J606" s="149"/>
      <c r="K606" s="150">
        <f>MAX(K$422:K605)+1</f>
        <v>185</v>
      </c>
      <c r="L606" s="151">
        <f t="shared" si="95"/>
        <v>1</v>
      </c>
      <c r="M606" s="152"/>
      <c r="N606" s="153"/>
      <c r="O606" s="153"/>
      <c r="P606" s="153"/>
      <c r="Q606" s="153"/>
      <c r="R606" s="153"/>
      <c r="S606" s="154">
        <f t="shared" si="94"/>
        <v>0</v>
      </c>
      <c r="T606" s="155"/>
      <c r="U606" s="154">
        <f t="shared" si="96"/>
        <v>0</v>
      </c>
      <c r="V606" s="156"/>
      <c r="W606" s="157"/>
      <c r="X606" s="157"/>
      <c r="Y606" s="158"/>
      <c r="Z606" s="162"/>
      <c r="AA606" s="159" t="s">
        <v>278</v>
      </c>
      <c r="AB606" s="160"/>
      <c r="AC606" s="158">
        <f t="shared" si="93"/>
        <v>0</v>
      </c>
    </row>
    <row r="607" spans="8:29" ht="12.5">
      <c r="H607" s="131"/>
      <c r="J607" s="149"/>
      <c r="K607" s="150">
        <f>MAX(K$422:K606)+1</f>
        <v>186</v>
      </c>
      <c r="L607" s="151">
        <f t="shared" si="95"/>
        <v>1</v>
      </c>
      <c r="M607" s="152"/>
      <c r="N607" s="153"/>
      <c r="O607" s="153"/>
      <c r="P607" s="153"/>
      <c r="Q607" s="153"/>
      <c r="R607" s="153"/>
      <c r="S607" s="154">
        <f t="shared" si="94"/>
        <v>0</v>
      </c>
      <c r="T607" s="155"/>
      <c r="U607" s="154">
        <f t="shared" si="96"/>
        <v>0</v>
      </c>
      <c r="V607" s="156"/>
      <c r="W607" s="157"/>
      <c r="X607" s="157"/>
      <c r="Y607" s="158"/>
      <c r="Z607" s="162"/>
      <c r="AA607" s="159" t="s">
        <v>278</v>
      </c>
      <c r="AB607" s="160"/>
      <c r="AC607" s="158">
        <f t="shared" si="93"/>
        <v>0</v>
      </c>
    </row>
    <row r="608" spans="8:29" ht="12.5">
      <c r="H608" s="131"/>
      <c r="J608" s="149"/>
      <c r="K608" s="150">
        <f>MAX(K$422:K607)+1</f>
        <v>187</v>
      </c>
      <c r="L608" s="151">
        <f t="shared" si="95"/>
        <v>1</v>
      </c>
      <c r="M608" s="152"/>
      <c r="N608" s="153"/>
      <c r="O608" s="153"/>
      <c r="P608" s="153"/>
      <c r="Q608" s="153"/>
      <c r="R608" s="153"/>
      <c r="S608" s="154">
        <f t="shared" si="94"/>
        <v>0</v>
      </c>
      <c r="T608" s="155"/>
      <c r="U608" s="154">
        <f t="shared" si="96"/>
        <v>0</v>
      </c>
      <c r="V608" s="156"/>
      <c r="W608" s="157"/>
      <c r="X608" s="157"/>
      <c r="Y608" s="158"/>
      <c r="Z608" s="162"/>
      <c r="AA608" s="159" t="s">
        <v>278</v>
      </c>
      <c r="AB608" s="160"/>
      <c r="AC608" s="158">
        <f t="shared" si="93"/>
        <v>0</v>
      </c>
    </row>
    <row r="609" spans="8:29" ht="12.5">
      <c r="H609" s="131"/>
      <c r="J609" s="149"/>
      <c r="K609" s="150">
        <f>MAX(K$422:K608)+1</f>
        <v>188</v>
      </c>
      <c r="L609" s="151">
        <f t="shared" si="95"/>
        <v>1</v>
      </c>
      <c r="M609" s="152"/>
      <c r="N609" s="153"/>
      <c r="O609" s="153"/>
      <c r="P609" s="153"/>
      <c r="Q609" s="153"/>
      <c r="R609" s="153"/>
      <c r="S609" s="154">
        <f t="shared" si="94"/>
        <v>0</v>
      </c>
      <c r="T609" s="155"/>
      <c r="U609" s="154">
        <f t="shared" si="96"/>
        <v>0</v>
      </c>
      <c r="V609" s="156"/>
      <c r="W609" s="157"/>
      <c r="X609" s="157"/>
      <c r="Y609" s="158"/>
      <c r="Z609" s="162"/>
      <c r="AA609" s="159" t="s">
        <v>278</v>
      </c>
      <c r="AB609" s="160"/>
      <c r="AC609" s="158">
        <f t="shared" si="93"/>
        <v>0</v>
      </c>
    </row>
    <row r="610" spans="8:29" ht="12.5">
      <c r="H610" s="131"/>
      <c r="J610" s="149"/>
      <c r="K610" s="150">
        <f>MAX(K$422:K609)+1</f>
        <v>189</v>
      </c>
      <c r="L610" s="151">
        <f t="shared" si="95"/>
        <v>1</v>
      </c>
      <c r="M610" s="152"/>
      <c r="N610" s="153"/>
      <c r="O610" s="153"/>
      <c r="P610" s="153"/>
      <c r="Q610" s="153"/>
      <c r="R610" s="153"/>
      <c r="S610" s="154">
        <f t="shared" si="94"/>
        <v>0</v>
      </c>
      <c r="T610" s="155"/>
      <c r="U610" s="154">
        <f t="shared" si="96"/>
        <v>0</v>
      </c>
      <c r="V610" s="156"/>
      <c r="W610" s="157"/>
      <c r="X610" s="157"/>
      <c r="Y610" s="158"/>
      <c r="Z610" s="162"/>
      <c r="AA610" s="159" t="s">
        <v>278</v>
      </c>
      <c r="AB610" s="160"/>
      <c r="AC610" s="158">
        <f t="shared" si="93"/>
        <v>0</v>
      </c>
    </row>
    <row r="611" spans="8:29" ht="12.5">
      <c r="H611" s="131"/>
      <c r="J611" s="149"/>
      <c r="K611" s="150">
        <f>MAX(K$422:K610)+1</f>
        <v>190</v>
      </c>
      <c r="L611" s="151">
        <f t="shared" si="95"/>
        <v>1</v>
      </c>
      <c r="M611" s="152"/>
      <c r="N611" s="153"/>
      <c r="O611" s="153"/>
      <c r="P611" s="153"/>
      <c r="Q611" s="153"/>
      <c r="R611" s="153"/>
      <c r="S611" s="154">
        <f t="shared" si="94"/>
        <v>0</v>
      </c>
      <c r="T611" s="155"/>
      <c r="U611" s="154">
        <f t="shared" si="96"/>
        <v>0</v>
      </c>
      <c r="V611" s="156"/>
      <c r="W611" s="157"/>
      <c r="X611" s="157"/>
      <c r="Y611" s="158"/>
      <c r="Z611" s="162"/>
      <c r="AA611" s="159" t="s">
        <v>278</v>
      </c>
      <c r="AB611" s="160"/>
      <c r="AC611" s="158">
        <f t="shared" si="93"/>
        <v>0</v>
      </c>
    </row>
    <row r="612" spans="8:29" ht="12.5">
      <c r="H612" s="131"/>
      <c r="J612" s="149"/>
      <c r="K612" s="150">
        <f>MAX(K$422:K611)+1</f>
        <v>191</v>
      </c>
      <c r="L612" s="151">
        <f t="shared" si="95"/>
        <v>1</v>
      </c>
      <c r="M612" s="152"/>
      <c r="N612" s="153"/>
      <c r="O612" s="153"/>
      <c r="P612" s="153"/>
      <c r="Q612" s="153"/>
      <c r="R612" s="153"/>
      <c r="S612" s="154">
        <f t="shared" si="94"/>
        <v>0</v>
      </c>
      <c r="T612" s="155"/>
      <c r="U612" s="154">
        <f t="shared" si="96"/>
        <v>0</v>
      </c>
      <c r="V612" s="156"/>
      <c r="W612" s="157"/>
      <c r="X612" s="157"/>
      <c r="Y612" s="158"/>
      <c r="Z612" s="162"/>
      <c r="AA612" s="159" t="s">
        <v>278</v>
      </c>
      <c r="AB612" s="160"/>
      <c r="AC612" s="158">
        <f t="shared" si="93"/>
        <v>0</v>
      </c>
    </row>
    <row r="613" spans="8:29" ht="12.5">
      <c r="H613" s="131"/>
      <c r="J613" s="149"/>
      <c r="K613" s="150">
        <f>MAX(K$422:K612)+1</f>
        <v>192</v>
      </c>
      <c r="L613" s="151">
        <f t="shared" si="95"/>
        <v>1</v>
      </c>
      <c r="M613" s="152"/>
      <c r="N613" s="153"/>
      <c r="O613" s="153"/>
      <c r="P613" s="153"/>
      <c r="Q613" s="153"/>
      <c r="R613" s="153"/>
      <c r="S613" s="154">
        <f t="shared" si="94"/>
        <v>0</v>
      </c>
      <c r="T613" s="155"/>
      <c r="U613" s="154">
        <f t="shared" si="96"/>
        <v>0</v>
      </c>
      <c r="V613" s="156"/>
      <c r="W613" s="157"/>
      <c r="X613" s="157"/>
      <c r="Y613" s="158"/>
      <c r="Z613" s="162"/>
      <c r="AA613" s="159" t="s">
        <v>278</v>
      </c>
      <c r="AB613" s="160"/>
      <c r="AC613" s="158">
        <f t="shared" si="93"/>
        <v>0</v>
      </c>
    </row>
    <row r="614" spans="8:29" ht="12.5">
      <c r="H614" s="131"/>
      <c r="J614" s="149"/>
      <c r="K614" s="150">
        <f>MAX(K$422:K613)+1</f>
        <v>193</v>
      </c>
      <c r="L614" s="151">
        <f t="shared" si="95"/>
        <v>1</v>
      </c>
      <c r="M614" s="152"/>
      <c r="N614" s="153"/>
      <c r="O614" s="153"/>
      <c r="P614" s="153"/>
      <c r="Q614" s="153"/>
      <c r="R614" s="153"/>
      <c r="S614" s="154">
        <f t="shared" si="94"/>
        <v>0</v>
      </c>
      <c r="T614" s="155"/>
      <c r="U614" s="154">
        <f t="shared" si="96"/>
        <v>0</v>
      </c>
      <c r="V614" s="156"/>
      <c r="W614" s="157"/>
      <c r="X614" s="157"/>
      <c r="Y614" s="158"/>
      <c r="Z614" s="162"/>
      <c r="AA614" s="159" t="s">
        <v>278</v>
      </c>
      <c r="AB614" s="160"/>
      <c r="AC614" s="158">
        <f t="shared" ref="AC614:AC677" si="97">INDEX(Y614:Z614,1,MATCH(_WellBasketSelection,$Y$421:$Z$421,0))*U614</f>
        <v>0</v>
      </c>
    </row>
    <row r="615" spans="8:29" ht="12.5">
      <c r="H615" s="131"/>
      <c r="J615" s="149"/>
      <c r="K615" s="150">
        <f>MAX(K$422:K614)+1</f>
        <v>194</v>
      </c>
      <c r="L615" s="151">
        <f t="shared" si="95"/>
        <v>1</v>
      </c>
      <c r="M615" s="152"/>
      <c r="N615" s="153"/>
      <c r="O615" s="153"/>
      <c r="P615" s="153"/>
      <c r="Q615" s="153"/>
      <c r="R615" s="153"/>
      <c r="S615" s="154">
        <f t="shared" ref="S615:S678" si="98">SUM(N615:R615)</f>
        <v>0</v>
      </c>
      <c r="T615" s="155"/>
      <c r="U615" s="154">
        <f t="shared" si="96"/>
        <v>0</v>
      </c>
      <c r="V615" s="156"/>
      <c r="W615" s="157"/>
      <c r="X615" s="157"/>
      <c r="Y615" s="158"/>
      <c r="Z615" s="162"/>
      <c r="AA615" s="159" t="s">
        <v>278</v>
      </c>
      <c r="AB615" s="160"/>
      <c r="AC615" s="158">
        <f t="shared" si="97"/>
        <v>0</v>
      </c>
    </row>
    <row r="616" spans="8:29" ht="12.5">
      <c r="H616" s="131"/>
      <c r="J616" s="149"/>
      <c r="K616" s="150">
        <f>MAX(K$422:K615)+1</f>
        <v>195</v>
      </c>
      <c r="L616" s="151">
        <f t="shared" si="95"/>
        <v>1</v>
      </c>
      <c r="M616" s="152"/>
      <c r="N616" s="153"/>
      <c r="O616" s="153"/>
      <c r="P616" s="153"/>
      <c r="Q616" s="153"/>
      <c r="R616" s="153"/>
      <c r="S616" s="154">
        <f t="shared" si="98"/>
        <v>0</v>
      </c>
      <c r="T616" s="155"/>
      <c r="U616" s="154">
        <f t="shared" si="96"/>
        <v>0</v>
      </c>
      <c r="V616" s="156"/>
      <c r="W616" s="157"/>
      <c r="X616" s="157"/>
      <c r="Y616" s="158"/>
      <c r="Z616" s="162"/>
      <c r="AA616" s="159" t="s">
        <v>278</v>
      </c>
      <c r="AB616" s="160"/>
      <c r="AC616" s="158">
        <f t="shared" si="97"/>
        <v>0</v>
      </c>
    </row>
    <row r="617" spans="8:29" ht="12.5">
      <c r="H617" s="131"/>
      <c r="J617" s="149"/>
      <c r="K617" s="150">
        <f>MAX(K$422:K616)+1</f>
        <v>196</v>
      </c>
      <c r="L617" s="151">
        <f t="shared" ref="L617:L680" si="99">IF(J616="",L616,L616+1)</f>
        <v>1</v>
      </c>
      <c r="M617" s="152"/>
      <c r="N617" s="153"/>
      <c r="O617" s="153"/>
      <c r="P617" s="153"/>
      <c r="Q617" s="153"/>
      <c r="R617" s="153"/>
      <c r="S617" s="154">
        <f t="shared" si="98"/>
        <v>0</v>
      </c>
      <c r="T617" s="155"/>
      <c r="U617" s="154">
        <f t="shared" si="96"/>
        <v>0</v>
      </c>
      <c r="V617" s="156"/>
      <c r="W617" s="157"/>
      <c r="X617" s="157"/>
      <c r="Y617" s="158"/>
      <c r="Z617" s="162"/>
      <c r="AA617" s="159" t="s">
        <v>278</v>
      </c>
      <c r="AB617" s="160"/>
      <c r="AC617" s="158">
        <f t="shared" si="97"/>
        <v>0</v>
      </c>
    </row>
    <row r="618" spans="8:29" ht="12.5">
      <c r="H618" s="131"/>
      <c r="J618" s="149"/>
      <c r="K618" s="150">
        <f>MAX(K$422:K617)+1</f>
        <v>197</v>
      </c>
      <c r="L618" s="151">
        <f t="shared" si="99"/>
        <v>1</v>
      </c>
      <c r="M618" s="152"/>
      <c r="N618" s="153"/>
      <c r="O618" s="153"/>
      <c r="P618" s="153"/>
      <c r="Q618" s="153"/>
      <c r="R618" s="153"/>
      <c r="S618" s="154">
        <f t="shared" si="98"/>
        <v>0</v>
      </c>
      <c r="T618" s="155"/>
      <c r="U618" s="154">
        <f t="shared" si="96"/>
        <v>0</v>
      </c>
      <c r="V618" s="156"/>
      <c r="W618" s="157"/>
      <c r="X618" s="157"/>
      <c r="Y618" s="158"/>
      <c r="Z618" s="162"/>
      <c r="AA618" s="159" t="s">
        <v>278</v>
      </c>
      <c r="AB618" s="160"/>
      <c r="AC618" s="158">
        <f t="shared" si="97"/>
        <v>0</v>
      </c>
    </row>
    <row r="619" spans="8:29" ht="12.5">
      <c r="H619" s="131"/>
      <c r="J619" s="149"/>
      <c r="K619" s="150">
        <f>MAX(K$422:K618)+1</f>
        <v>198</v>
      </c>
      <c r="L619" s="151">
        <f t="shared" si="99"/>
        <v>1</v>
      </c>
      <c r="M619" s="152"/>
      <c r="N619" s="153"/>
      <c r="O619" s="153"/>
      <c r="P619" s="153"/>
      <c r="Q619" s="153"/>
      <c r="R619" s="153"/>
      <c r="S619" s="154">
        <f t="shared" si="98"/>
        <v>0</v>
      </c>
      <c r="T619" s="155"/>
      <c r="U619" s="154">
        <f t="shared" si="96"/>
        <v>0</v>
      </c>
      <c r="V619" s="156"/>
      <c r="W619" s="157"/>
      <c r="X619" s="157"/>
      <c r="Y619" s="158"/>
      <c r="Z619" s="162"/>
      <c r="AA619" s="159" t="s">
        <v>278</v>
      </c>
      <c r="AB619" s="160"/>
      <c r="AC619" s="158">
        <f t="shared" si="97"/>
        <v>0</v>
      </c>
    </row>
    <row r="620" spans="8:29" ht="12.5">
      <c r="H620" s="131"/>
      <c r="J620" s="149"/>
      <c r="K620" s="150">
        <f>MAX(K$422:K619)+1</f>
        <v>199</v>
      </c>
      <c r="L620" s="151">
        <f t="shared" si="99"/>
        <v>1</v>
      </c>
      <c r="M620" s="152"/>
      <c r="N620" s="153"/>
      <c r="O620" s="153"/>
      <c r="P620" s="153"/>
      <c r="Q620" s="153"/>
      <c r="R620" s="153"/>
      <c r="S620" s="154">
        <f t="shared" si="98"/>
        <v>0</v>
      </c>
      <c r="T620" s="155"/>
      <c r="U620" s="154">
        <f t="shared" si="96"/>
        <v>0</v>
      </c>
      <c r="V620" s="156"/>
      <c r="W620" s="157"/>
      <c r="X620" s="157"/>
      <c r="Y620" s="158"/>
      <c r="Z620" s="162"/>
      <c r="AA620" s="159" t="s">
        <v>278</v>
      </c>
      <c r="AB620" s="160"/>
      <c r="AC620" s="158">
        <f t="shared" si="97"/>
        <v>0</v>
      </c>
    </row>
    <row r="621" spans="8:29" ht="12.5">
      <c r="H621" s="131"/>
      <c r="J621" s="149"/>
      <c r="K621" s="150">
        <f>MAX(K$422:K620)+1</f>
        <v>200</v>
      </c>
      <c r="L621" s="151">
        <f t="shared" si="99"/>
        <v>1</v>
      </c>
      <c r="M621" s="152"/>
      <c r="N621" s="153"/>
      <c r="O621" s="153"/>
      <c r="P621" s="153"/>
      <c r="Q621" s="153"/>
      <c r="R621" s="153"/>
      <c r="S621" s="154">
        <f t="shared" si="98"/>
        <v>0</v>
      </c>
      <c r="T621" s="155"/>
      <c r="U621" s="154">
        <f t="shared" si="96"/>
        <v>0</v>
      </c>
      <c r="V621" s="156"/>
      <c r="W621" s="157"/>
      <c r="X621" s="157"/>
      <c r="Y621" s="158"/>
      <c r="Z621" s="162"/>
      <c r="AA621" s="159" t="s">
        <v>278</v>
      </c>
      <c r="AB621" s="160"/>
      <c r="AC621" s="158">
        <f t="shared" si="97"/>
        <v>0</v>
      </c>
    </row>
    <row r="622" spans="8:29" ht="12.5" hidden="1">
      <c r="H622" s="131"/>
      <c r="J622" s="149"/>
      <c r="K622" s="150">
        <f>MAX(K$422:K621)+1</f>
        <v>201</v>
      </c>
      <c r="L622" s="151">
        <f t="shared" si="99"/>
        <v>1</v>
      </c>
      <c r="M622" s="152"/>
      <c r="N622" s="153"/>
      <c r="O622" s="153"/>
      <c r="P622" s="153"/>
      <c r="Q622" s="153"/>
      <c r="R622" s="153"/>
      <c r="S622" s="154">
        <f t="shared" si="98"/>
        <v>0</v>
      </c>
      <c r="T622" s="155"/>
      <c r="U622" s="154">
        <f t="shared" si="96"/>
        <v>0</v>
      </c>
      <c r="V622" s="156"/>
      <c r="W622" s="157"/>
      <c r="X622" s="157"/>
      <c r="Y622" s="158"/>
      <c r="Z622" s="162"/>
      <c r="AA622" s="159" t="s">
        <v>278</v>
      </c>
      <c r="AB622" s="160"/>
      <c r="AC622" s="158">
        <f t="shared" si="97"/>
        <v>0</v>
      </c>
    </row>
    <row r="623" spans="8:29" ht="12.5" hidden="1">
      <c r="H623" s="131"/>
      <c r="J623" s="149"/>
      <c r="K623" s="150">
        <f>MAX(K$422:K622)+1</f>
        <v>202</v>
      </c>
      <c r="L623" s="151">
        <f t="shared" si="99"/>
        <v>1</v>
      </c>
      <c r="M623" s="152"/>
      <c r="N623" s="153"/>
      <c r="O623" s="153"/>
      <c r="P623" s="153"/>
      <c r="Q623" s="153"/>
      <c r="R623" s="153"/>
      <c r="S623" s="154">
        <f t="shared" si="98"/>
        <v>0</v>
      </c>
      <c r="T623" s="155"/>
      <c r="U623" s="154">
        <f t="shared" si="96"/>
        <v>0</v>
      </c>
      <c r="V623" s="156"/>
      <c r="W623" s="157"/>
      <c r="X623" s="157"/>
      <c r="Y623" s="158"/>
      <c r="Z623" s="162"/>
      <c r="AA623" s="159" t="s">
        <v>278</v>
      </c>
      <c r="AB623" s="160"/>
      <c r="AC623" s="158">
        <f t="shared" si="97"/>
        <v>0</v>
      </c>
    </row>
    <row r="624" spans="8:29" ht="12.5" hidden="1">
      <c r="H624" s="131"/>
      <c r="J624" s="149"/>
      <c r="K624" s="150">
        <f>MAX(K$422:K623)+1</f>
        <v>203</v>
      </c>
      <c r="L624" s="151">
        <f t="shared" si="99"/>
        <v>1</v>
      </c>
      <c r="M624" s="152"/>
      <c r="N624" s="153"/>
      <c r="O624" s="153"/>
      <c r="P624" s="153"/>
      <c r="Q624" s="153"/>
      <c r="R624" s="153"/>
      <c r="S624" s="154">
        <f t="shared" si="98"/>
        <v>0</v>
      </c>
      <c r="T624" s="155"/>
      <c r="U624" s="154">
        <f t="shared" si="96"/>
        <v>0</v>
      </c>
      <c r="V624" s="156"/>
      <c r="W624" s="157"/>
      <c r="X624" s="157"/>
      <c r="Y624" s="158"/>
      <c r="Z624" s="162"/>
      <c r="AA624" s="159" t="s">
        <v>278</v>
      </c>
      <c r="AB624" s="160"/>
      <c r="AC624" s="158">
        <f t="shared" si="97"/>
        <v>0</v>
      </c>
    </row>
    <row r="625" spans="8:29" ht="12.5" hidden="1">
      <c r="H625" s="131"/>
      <c r="J625" s="149"/>
      <c r="K625" s="150">
        <f>MAX(K$422:K624)+1</f>
        <v>204</v>
      </c>
      <c r="L625" s="151">
        <f t="shared" si="99"/>
        <v>1</v>
      </c>
      <c r="M625" s="152"/>
      <c r="N625" s="153"/>
      <c r="O625" s="153"/>
      <c r="P625" s="153"/>
      <c r="Q625" s="153"/>
      <c r="R625" s="153"/>
      <c r="S625" s="154">
        <f t="shared" si="98"/>
        <v>0</v>
      </c>
      <c r="T625" s="155"/>
      <c r="U625" s="154">
        <f t="shared" si="96"/>
        <v>0</v>
      </c>
      <c r="V625" s="156"/>
      <c r="W625" s="157"/>
      <c r="X625" s="157"/>
      <c r="Y625" s="158"/>
      <c r="Z625" s="162"/>
      <c r="AA625" s="159" t="s">
        <v>278</v>
      </c>
      <c r="AB625" s="160"/>
      <c r="AC625" s="158">
        <f t="shared" si="97"/>
        <v>0</v>
      </c>
    </row>
    <row r="626" spans="8:29" ht="12.5" hidden="1">
      <c r="H626" s="131"/>
      <c r="J626" s="149"/>
      <c r="K626" s="150">
        <f>MAX(K$422:K625)+1</f>
        <v>205</v>
      </c>
      <c r="L626" s="151">
        <f t="shared" si="99"/>
        <v>1</v>
      </c>
      <c r="M626" s="152"/>
      <c r="N626" s="153"/>
      <c r="O626" s="153"/>
      <c r="P626" s="153"/>
      <c r="Q626" s="153"/>
      <c r="R626" s="153"/>
      <c r="S626" s="154">
        <f t="shared" si="98"/>
        <v>0</v>
      </c>
      <c r="T626" s="155"/>
      <c r="U626" s="154">
        <f t="shared" si="96"/>
        <v>0</v>
      </c>
      <c r="V626" s="156"/>
      <c r="W626" s="157"/>
      <c r="X626" s="157"/>
      <c r="Y626" s="158"/>
      <c r="Z626" s="162"/>
      <c r="AA626" s="159" t="s">
        <v>278</v>
      </c>
      <c r="AB626" s="160"/>
      <c r="AC626" s="158">
        <f t="shared" si="97"/>
        <v>0</v>
      </c>
    </row>
    <row r="627" spans="8:29" ht="12.5" hidden="1">
      <c r="H627" s="131"/>
      <c r="J627" s="149"/>
      <c r="K627" s="150">
        <f>MAX(K$422:K626)+1</f>
        <v>206</v>
      </c>
      <c r="L627" s="151">
        <f t="shared" si="99"/>
        <v>1</v>
      </c>
      <c r="M627" s="152"/>
      <c r="N627" s="153"/>
      <c r="O627" s="153"/>
      <c r="P627" s="153"/>
      <c r="Q627" s="153"/>
      <c r="R627" s="153"/>
      <c r="S627" s="154">
        <f t="shared" si="98"/>
        <v>0</v>
      </c>
      <c r="T627" s="155"/>
      <c r="U627" s="154">
        <f t="shared" si="96"/>
        <v>0</v>
      </c>
      <c r="V627" s="156"/>
      <c r="W627" s="157"/>
      <c r="X627" s="157"/>
      <c r="Y627" s="158"/>
      <c r="Z627" s="162"/>
      <c r="AA627" s="159" t="s">
        <v>278</v>
      </c>
      <c r="AB627" s="160"/>
      <c r="AC627" s="158">
        <f t="shared" si="97"/>
        <v>0</v>
      </c>
    </row>
    <row r="628" spans="8:29" ht="12.5" hidden="1">
      <c r="H628" s="131"/>
      <c r="J628" s="149"/>
      <c r="K628" s="150">
        <f>MAX(K$422:K627)+1</f>
        <v>207</v>
      </c>
      <c r="L628" s="151">
        <f t="shared" si="99"/>
        <v>1</v>
      </c>
      <c r="M628" s="152"/>
      <c r="N628" s="153"/>
      <c r="O628" s="153"/>
      <c r="P628" s="153"/>
      <c r="Q628" s="153"/>
      <c r="R628" s="153"/>
      <c r="S628" s="154">
        <f t="shared" si="98"/>
        <v>0</v>
      </c>
      <c r="T628" s="155"/>
      <c r="U628" s="154">
        <f t="shared" si="96"/>
        <v>0</v>
      </c>
      <c r="V628" s="156"/>
      <c r="W628" s="157"/>
      <c r="X628" s="157"/>
      <c r="Y628" s="158"/>
      <c r="Z628" s="162"/>
      <c r="AA628" s="159" t="s">
        <v>278</v>
      </c>
      <c r="AB628" s="160"/>
      <c r="AC628" s="158">
        <f t="shared" si="97"/>
        <v>0</v>
      </c>
    </row>
    <row r="629" spans="8:29" ht="12.5" hidden="1">
      <c r="H629" s="131"/>
      <c r="J629" s="149"/>
      <c r="K629" s="150">
        <f>MAX(K$422:K628)+1</f>
        <v>208</v>
      </c>
      <c r="L629" s="151">
        <f t="shared" si="99"/>
        <v>1</v>
      </c>
      <c r="M629" s="152"/>
      <c r="N629" s="153"/>
      <c r="O629" s="153"/>
      <c r="P629" s="153"/>
      <c r="Q629" s="153"/>
      <c r="R629" s="153"/>
      <c r="S629" s="154">
        <f t="shared" si="98"/>
        <v>0</v>
      </c>
      <c r="T629" s="155"/>
      <c r="U629" s="154">
        <f t="shared" si="96"/>
        <v>0</v>
      </c>
      <c r="V629" s="156"/>
      <c r="W629" s="157"/>
      <c r="X629" s="157"/>
      <c r="Y629" s="158"/>
      <c r="Z629" s="162"/>
      <c r="AA629" s="159" t="s">
        <v>278</v>
      </c>
      <c r="AB629" s="160"/>
      <c r="AC629" s="158">
        <f t="shared" si="97"/>
        <v>0</v>
      </c>
    </row>
    <row r="630" spans="8:29" ht="12.5" hidden="1">
      <c r="H630" s="131"/>
      <c r="J630" s="149"/>
      <c r="K630" s="150">
        <f>MAX(K$422:K629)+1</f>
        <v>209</v>
      </c>
      <c r="L630" s="151">
        <f t="shared" si="99"/>
        <v>1</v>
      </c>
      <c r="M630" s="152"/>
      <c r="N630" s="153"/>
      <c r="O630" s="153"/>
      <c r="P630" s="153"/>
      <c r="Q630" s="153"/>
      <c r="R630" s="153"/>
      <c r="S630" s="154">
        <f t="shared" si="98"/>
        <v>0</v>
      </c>
      <c r="T630" s="155"/>
      <c r="U630" s="154">
        <f t="shared" si="96"/>
        <v>0</v>
      </c>
      <c r="V630" s="156"/>
      <c r="W630" s="157"/>
      <c r="X630" s="157"/>
      <c r="Y630" s="158"/>
      <c r="Z630" s="162"/>
      <c r="AA630" s="159" t="s">
        <v>278</v>
      </c>
      <c r="AB630" s="160"/>
      <c r="AC630" s="158">
        <f t="shared" si="97"/>
        <v>0</v>
      </c>
    </row>
    <row r="631" spans="8:29" ht="12.5" hidden="1">
      <c r="H631" s="131"/>
      <c r="J631" s="149"/>
      <c r="K631" s="150">
        <f>MAX(K$422:K630)+1</f>
        <v>210</v>
      </c>
      <c r="L631" s="151">
        <f t="shared" si="99"/>
        <v>1</v>
      </c>
      <c r="M631" s="152"/>
      <c r="N631" s="153"/>
      <c r="O631" s="153"/>
      <c r="P631" s="153"/>
      <c r="Q631" s="153"/>
      <c r="R631" s="153"/>
      <c r="S631" s="154">
        <f t="shared" si="98"/>
        <v>0</v>
      </c>
      <c r="T631" s="155"/>
      <c r="U631" s="154">
        <f t="shared" si="96"/>
        <v>0</v>
      </c>
      <c r="V631" s="156"/>
      <c r="W631" s="157"/>
      <c r="X631" s="157"/>
      <c r="Y631" s="158"/>
      <c r="Z631" s="162"/>
      <c r="AA631" s="159" t="s">
        <v>278</v>
      </c>
      <c r="AB631" s="160"/>
      <c r="AC631" s="158">
        <f t="shared" si="97"/>
        <v>0</v>
      </c>
    </row>
    <row r="632" spans="8:29" ht="12.5" hidden="1">
      <c r="H632" s="131"/>
      <c r="J632" s="149"/>
      <c r="K632" s="150">
        <f>MAX(K$422:K631)+1</f>
        <v>211</v>
      </c>
      <c r="L632" s="151">
        <f t="shared" si="99"/>
        <v>1</v>
      </c>
      <c r="M632" s="152"/>
      <c r="N632" s="153"/>
      <c r="O632" s="153"/>
      <c r="P632" s="153"/>
      <c r="Q632" s="153"/>
      <c r="R632" s="153"/>
      <c r="S632" s="154">
        <f t="shared" si="98"/>
        <v>0</v>
      </c>
      <c r="T632" s="155"/>
      <c r="U632" s="154">
        <f t="shared" si="96"/>
        <v>0</v>
      </c>
      <c r="V632" s="156"/>
      <c r="W632" s="157"/>
      <c r="X632" s="157"/>
      <c r="Y632" s="158"/>
      <c r="Z632" s="162"/>
      <c r="AA632" s="159" t="s">
        <v>278</v>
      </c>
      <c r="AB632" s="160"/>
      <c r="AC632" s="158">
        <f t="shared" si="97"/>
        <v>0</v>
      </c>
    </row>
    <row r="633" spans="8:29" ht="12.5" hidden="1">
      <c r="H633" s="131"/>
      <c r="J633" s="149"/>
      <c r="K633" s="150">
        <f>MAX(K$422:K632)+1</f>
        <v>212</v>
      </c>
      <c r="L633" s="151">
        <f t="shared" si="99"/>
        <v>1</v>
      </c>
      <c r="M633" s="152"/>
      <c r="N633" s="153"/>
      <c r="O633" s="153"/>
      <c r="P633" s="153"/>
      <c r="Q633" s="153"/>
      <c r="R633" s="153"/>
      <c r="S633" s="154">
        <f t="shared" si="98"/>
        <v>0</v>
      </c>
      <c r="T633" s="155"/>
      <c r="U633" s="154">
        <f t="shared" si="96"/>
        <v>0</v>
      </c>
      <c r="V633" s="156"/>
      <c r="W633" s="157"/>
      <c r="X633" s="157"/>
      <c r="Y633" s="158"/>
      <c r="Z633" s="162"/>
      <c r="AA633" s="159" t="s">
        <v>278</v>
      </c>
      <c r="AB633" s="160"/>
      <c r="AC633" s="158">
        <f t="shared" si="97"/>
        <v>0</v>
      </c>
    </row>
    <row r="634" spans="8:29" ht="12.5" hidden="1">
      <c r="H634" s="131"/>
      <c r="J634" s="149"/>
      <c r="K634" s="150">
        <f>MAX(K$422:K633)+1</f>
        <v>213</v>
      </c>
      <c r="L634" s="151">
        <f t="shared" si="99"/>
        <v>1</v>
      </c>
      <c r="M634" s="152"/>
      <c r="N634" s="153"/>
      <c r="O634" s="153"/>
      <c r="P634" s="153"/>
      <c r="Q634" s="153"/>
      <c r="R634" s="153"/>
      <c r="S634" s="154">
        <f t="shared" si="98"/>
        <v>0</v>
      </c>
      <c r="T634" s="155"/>
      <c r="U634" s="154">
        <f t="shared" si="96"/>
        <v>0</v>
      </c>
      <c r="V634" s="156"/>
      <c r="W634" s="157"/>
      <c r="X634" s="157"/>
      <c r="Y634" s="158"/>
      <c r="Z634" s="162"/>
      <c r="AA634" s="159" t="s">
        <v>278</v>
      </c>
      <c r="AB634" s="160"/>
      <c r="AC634" s="158">
        <f t="shared" si="97"/>
        <v>0</v>
      </c>
    </row>
    <row r="635" spans="8:29" ht="12.5" hidden="1">
      <c r="H635" s="131"/>
      <c r="J635" s="149"/>
      <c r="K635" s="150">
        <f>MAX(K$422:K634)+1</f>
        <v>214</v>
      </c>
      <c r="L635" s="151">
        <f t="shared" si="99"/>
        <v>1</v>
      </c>
      <c r="M635" s="152"/>
      <c r="N635" s="153"/>
      <c r="O635" s="153"/>
      <c r="P635" s="153"/>
      <c r="Q635" s="153"/>
      <c r="R635" s="153"/>
      <c r="S635" s="154">
        <f t="shared" si="98"/>
        <v>0</v>
      </c>
      <c r="T635" s="155"/>
      <c r="U635" s="154">
        <f t="shared" si="96"/>
        <v>0</v>
      </c>
      <c r="V635" s="156"/>
      <c r="W635" s="157"/>
      <c r="X635" s="157"/>
      <c r="Y635" s="158"/>
      <c r="Z635" s="162"/>
      <c r="AA635" s="159" t="s">
        <v>278</v>
      </c>
      <c r="AB635" s="160"/>
      <c r="AC635" s="158">
        <f t="shared" si="97"/>
        <v>0</v>
      </c>
    </row>
    <row r="636" spans="8:29" ht="12.5" hidden="1">
      <c r="H636" s="131"/>
      <c r="J636" s="149"/>
      <c r="K636" s="150">
        <f>MAX(K$422:K635)+1</f>
        <v>215</v>
      </c>
      <c r="L636" s="151">
        <f t="shared" si="99"/>
        <v>1</v>
      </c>
      <c r="M636" s="152"/>
      <c r="N636" s="153"/>
      <c r="O636" s="153"/>
      <c r="P636" s="153"/>
      <c r="Q636" s="153"/>
      <c r="R636" s="153"/>
      <c r="S636" s="154">
        <f t="shared" si="98"/>
        <v>0</v>
      </c>
      <c r="T636" s="155"/>
      <c r="U636" s="154">
        <f t="shared" si="96"/>
        <v>0</v>
      </c>
      <c r="V636" s="156"/>
      <c r="W636" s="157"/>
      <c r="X636" s="157"/>
      <c r="Y636" s="158"/>
      <c r="Z636" s="162"/>
      <c r="AA636" s="159" t="s">
        <v>278</v>
      </c>
      <c r="AB636" s="160"/>
      <c r="AC636" s="158">
        <f t="shared" si="97"/>
        <v>0</v>
      </c>
    </row>
    <row r="637" spans="8:29" ht="12.5" hidden="1">
      <c r="H637" s="131"/>
      <c r="J637" s="149"/>
      <c r="K637" s="150">
        <f>MAX(K$422:K636)+1</f>
        <v>216</v>
      </c>
      <c r="L637" s="151">
        <f t="shared" si="99"/>
        <v>1</v>
      </c>
      <c r="M637" s="152"/>
      <c r="N637" s="153"/>
      <c r="O637" s="153"/>
      <c r="P637" s="153"/>
      <c r="Q637" s="153"/>
      <c r="R637" s="153"/>
      <c r="S637" s="154">
        <f t="shared" si="98"/>
        <v>0</v>
      </c>
      <c r="T637" s="155"/>
      <c r="U637" s="154">
        <f t="shared" si="96"/>
        <v>0</v>
      </c>
      <c r="V637" s="156"/>
      <c r="W637" s="157"/>
      <c r="X637" s="157"/>
      <c r="Y637" s="158"/>
      <c r="Z637" s="162"/>
      <c r="AA637" s="159" t="s">
        <v>278</v>
      </c>
      <c r="AB637" s="160"/>
      <c r="AC637" s="158">
        <f t="shared" si="97"/>
        <v>0</v>
      </c>
    </row>
    <row r="638" spans="8:29" ht="12.5" hidden="1">
      <c r="H638" s="131"/>
      <c r="J638" s="149"/>
      <c r="K638" s="150">
        <f>MAX(K$422:K637)+1</f>
        <v>217</v>
      </c>
      <c r="L638" s="151">
        <f t="shared" si="99"/>
        <v>1</v>
      </c>
      <c r="M638" s="152"/>
      <c r="N638" s="153"/>
      <c r="O638" s="153"/>
      <c r="P638" s="153"/>
      <c r="Q638" s="153"/>
      <c r="R638" s="153"/>
      <c r="S638" s="154">
        <f t="shared" si="98"/>
        <v>0</v>
      </c>
      <c r="T638" s="155"/>
      <c r="U638" s="154">
        <f t="shared" si="96"/>
        <v>0</v>
      </c>
      <c r="V638" s="156"/>
      <c r="W638" s="157"/>
      <c r="X638" s="157"/>
      <c r="Y638" s="158"/>
      <c r="Z638" s="162"/>
      <c r="AA638" s="159" t="s">
        <v>278</v>
      </c>
      <c r="AB638" s="160"/>
      <c r="AC638" s="158">
        <f t="shared" si="97"/>
        <v>0</v>
      </c>
    </row>
    <row r="639" spans="8:29" ht="12.5" hidden="1">
      <c r="H639" s="131"/>
      <c r="J639" s="149"/>
      <c r="K639" s="150">
        <f>MAX(K$422:K638)+1</f>
        <v>218</v>
      </c>
      <c r="L639" s="151">
        <f t="shared" si="99"/>
        <v>1</v>
      </c>
      <c r="M639" s="152"/>
      <c r="N639" s="153"/>
      <c r="O639" s="153"/>
      <c r="P639" s="153"/>
      <c r="Q639" s="153"/>
      <c r="R639" s="153"/>
      <c r="S639" s="154">
        <f t="shared" si="98"/>
        <v>0</v>
      </c>
      <c r="T639" s="155"/>
      <c r="U639" s="154">
        <f t="shared" si="96"/>
        <v>0</v>
      </c>
      <c r="V639" s="156"/>
      <c r="W639" s="157"/>
      <c r="X639" s="157"/>
      <c r="Y639" s="158"/>
      <c r="Z639" s="162"/>
      <c r="AA639" s="159" t="s">
        <v>278</v>
      </c>
      <c r="AB639" s="160"/>
      <c r="AC639" s="158">
        <f t="shared" si="97"/>
        <v>0</v>
      </c>
    </row>
    <row r="640" spans="8:29" ht="12.5" hidden="1">
      <c r="H640" s="131"/>
      <c r="J640" s="149"/>
      <c r="K640" s="150">
        <f>MAX(K$422:K639)+1</f>
        <v>219</v>
      </c>
      <c r="L640" s="151">
        <f t="shared" si="99"/>
        <v>1</v>
      </c>
      <c r="M640" s="152"/>
      <c r="N640" s="153"/>
      <c r="O640" s="153"/>
      <c r="P640" s="153"/>
      <c r="Q640" s="153"/>
      <c r="R640" s="153"/>
      <c r="S640" s="154">
        <f t="shared" si="98"/>
        <v>0</v>
      </c>
      <c r="T640" s="155"/>
      <c r="U640" s="154">
        <f t="shared" ref="U640:U703" si="100">S640+T640</f>
        <v>0</v>
      </c>
      <c r="V640" s="156"/>
      <c r="W640" s="157"/>
      <c r="X640" s="157"/>
      <c r="Y640" s="158"/>
      <c r="Z640" s="162"/>
      <c r="AA640" s="159" t="s">
        <v>278</v>
      </c>
      <c r="AB640" s="160"/>
      <c r="AC640" s="158">
        <f t="shared" si="97"/>
        <v>0</v>
      </c>
    </row>
    <row r="641" spans="8:29" ht="12.5" hidden="1">
      <c r="H641" s="131"/>
      <c r="J641" s="149"/>
      <c r="K641" s="150">
        <f>MAX(K$422:K640)+1</f>
        <v>220</v>
      </c>
      <c r="L641" s="151">
        <f t="shared" si="99"/>
        <v>1</v>
      </c>
      <c r="M641" s="152"/>
      <c r="N641" s="153"/>
      <c r="O641" s="153"/>
      <c r="P641" s="153"/>
      <c r="Q641" s="153"/>
      <c r="R641" s="153"/>
      <c r="S641" s="154">
        <f t="shared" si="98"/>
        <v>0</v>
      </c>
      <c r="T641" s="155"/>
      <c r="U641" s="154">
        <f t="shared" si="100"/>
        <v>0</v>
      </c>
      <c r="V641" s="156"/>
      <c r="W641" s="157"/>
      <c r="X641" s="157"/>
      <c r="Y641" s="158"/>
      <c r="Z641" s="162"/>
      <c r="AA641" s="159" t="s">
        <v>278</v>
      </c>
      <c r="AB641" s="160"/>
      <c r="AC641" s="158">
        <f t="shared" si="97"/>
        <v>0</v>
      </c>
    </row>
    <row r="642" spans="8:29" ht="12.5" hidden="1">
      <c r="H642" s="131"/>
      <c r="J642" s="149"/>
      <c r="K642" s="150">
        <f>MAX(K$422:K641)+1</f>
        <v>221</v>
      </c>
      <c r="L642" s="151">
        <f t="shared" si="99"/>
        <v>1</v>
      </c>
      <c r="M642" s="152"/>
      <c r="N642" s="153"/>
      <c r="O642" s="153"/>
      <c r="P642" s="153"/>
      <c r="Q642" s="153"/>
      <c r="R642" s="153"/>
      <c r="S642" s="154">
        <f t="shared" si="98"/>
        <v>0</v>
      </c>
      <c r="T642" s="155"/>
      <c r="U642" s="154">
        <f t="shared" si="100"/>
        <v>0</v>
      </c>
      <c r="V642" s="156"/>
      <c r="W642" s="157"/>
      <c r="X642" s="157"/>
      <c r="Y642" s="158"/>
      <c r="Z642" s="162"/>
      <c r="AA642" s="159" t="s">
        <v>278</v>
      </c>
      <c r="AB642" s="160"/>
      <c r="AC642" s="158">
        <f t="shared" si="97"/>
        <v>0</v>
      </c>
    </row>
    <row r="643" spans="8:29" ht="12.5" hidden="1">
      <c r="H643" s="131"/>
      <c r="J643" s="149"/>
      <c r="K643" s="150">
        <f>MAX(K$422:K642)+1</f>
        <v>222</v>
      </c>
      <c r="L643" s="151">
        <f t="shared" si="99"/>
        <v>1</v>
      </c>
      <c r="M643" s="152"/>
      <c r="N643" s="153"/>
      <c r="O643" s="153"/>
      <c r="P643" s="153"/>
      <c r="Q643" s="153"/>
      <c r="R643" s="153"/>
      <c r="S643" s="154">
        <f t="shared" si="98"/>
        <v>0</v>
      </c>
      <c r="T643" s="155"/>
      <c r="U643" s="154">
        <f t="shared" si="100"/>
        <v>0</v>
      </c>
      <c r="V643" s="156"/>
      <c r="W643" s="157"/>
      <c r="X643" s="157"/>
      <c r="Y643" s="158"/>
      <c r="Z643" s="162"/>
      <c r="AA643" s="159" t="s">
        <v>278</v>
      </c>
      <c r="AB643" s="160"/>
      <c r="AC643" s="158">
        <f t="shared" si="97"/>
        <v>0</v>
      </c>
    </row>
    <row r="644" spans="8:29" ht="12.5" hidden="1">
      <c r="H644" s="131"/>
      <c r="J644" s="149"/>
      <c r="K644" s="150">
        <f>MAX(K$422:K643)+1</f>
        <v>223</v>
      </c>
      <c r="L644" s="151">
        <f t="shared" si="99"/>
        <v>1</v>
      </c>
      <c r="M644" s="152"/>
      <c r="N644" s="153"/>
      <c r="O644" s="153"/>
      <c r="P644" s="153"/>
      <c r="Q644" s="153"/>
      <c r="R644" s="153"/>
      <c r="S644" s="154">
        <f t="shared" si="98"/>
        <v>0</v>
      </c>
      <c r="T644" s="155"/>
      <c r="U644" s="154">
        <f t="shared" si="100"/>
        <v>0</v>
      </c>
      <c r="V644" s="156"/>
      <c r="W644" s="157"/>
      <c r="X644" s="157"/>
      <c r="Y644" s="158"/>
      <c r="Z644" s="162"/>
      <c r="AA644" s="159" t="s">
        <v>278</v>
      </c>
      <c r="AB644" s="160"/>
      <c r="AC644" s="158">
        <f t="shared" si="97"/>
        <v>0</v>
      </c>
    </row>
    <row r="645" spans="8:29" ht="12.5" hidden="1">
      <c r="H645" s="131"/>
      <c r="J645" s="149"/>
      <c r="K645" s="150">
        <f>MAX(K$422:K644)+1</f>
        <v>224</v>
      </c>
      <c r="L645" s="151">
        <f t="shared" si="99"/>
        <v>1</v>
      </c>
      <c r="M645" s="152"/>
      <c r="N645" s="153"/>
      <c r="O645" s="153"/>
      <c r="P645" s="153"/>
      <c r="Q645" s="153"/>
      <c r="R645" s="153"/>
      <c r="S645" s="154">
        <f t="shared" si="98"/>
        <v>0</v>
      </c>
      <c r="T645" s="155"/>
      <c r="U645" s="154">
        <f t="shared" si="100"/>
        <v>0</v>
      </c>
      <c r="V645" s="156"/>
      <c r="W645" s="157"/>
      <c r="X645" s="157"/>
      <c r="Y645" s="158"/>
      <c r="Z645" s="162"/>
      <c r="AA645" s="159" t="s">
        <v>278</v>
      </c>
      <c r="AB645" s="160"/>
      <c r="AC645" s="158">
        <f t="shared" si="97"/>
        <v>0</v>
      </c>
    </row>
    <row r="646" spans="8:29" ht="12.5" hidden="1">
      <c r="H646" s="131"/>
      <c r="J646" s="149"/>
      <c r="K646" s="150">
        <f>MAX(K$422:K645)+1</f>
        <v>225</v>
      </c>
      <c r="L646" s="151">
        <f t="shared" si="99"/>
        <v>1</v>
      </c>
      <c r="M646" s="152"/>
      <c r="N646" s="153"/>
      <c r="O646" s="153"/>
      <c r="P646" s="153"/>
      <c r="Q646" s="153"/>
      <c r="R646" s="153"/>
      <c r="S646" s="154">
        <f t="shared" si="98"/>
        <v>0</v>
      </c>
      <c r="T646" s="155"/>
      <c r="U646" s="154">
        <f t="shared" si="100"/>
        <v>0</v>
      </c>
      <c r="V646" s="156"/>
      <c r="W646" s="157"/>
      <c r="X646" s="157"/>
      <c r="Y646" s="158"/>
      <c r="Z646" s="162"/>
      <c r="AA646" s="159" t="s">
        <v>278</v>
      </c>
      <c r="AB646" s="160"/>
      <c r="AC646" s="158">
        <f t="shared" si="97"/>
        <v>0</v>
      </c>
    </row>
    <row r="647" spans="8:29" ht="12.5" hidden="1">
      <c r="H647" s="131"/>
      <c r="J647" s="149"/>
      <c r="K647" s="150">
        <f>MAX(K$422:K646)+1</f>
        <v>226</v>
      </c>
      <c r="L647" s="151">
        <f t="shared" si="99"/>
        <v>1</v>
      </c>
      <c r="M647" s="152"/>
      <c r="N647" s="153"/>
      <c r="O647" s="153"/>
      <c r="P647" s="153"/>
      <c r="Q647" s="153"/>
      <c r="R647" s="153"/>
      <c r="S647" s="154">
        <f t="shared" si="98"/>
        <v>0</v>
      </c>
      <c r="T647" s="155"/>
      <c r="U647" s="154">
        <f t="shared" si="100"/>
        <v>0</v>
      </c>
      <c r="V647" s="156"/>
      <c r="W647" s="157"/>
      <c r="X647" s="157"/>
      <c r="Y647" s="158"/>
      <c r="Z647" s="162"/>
      <c r="AA647" s="159" t="s">
        <v>278</v>
      </c>
      <c r="AB647" s="160"/>
      <c r="AC647" s="158">
        <f t="shared" si="97"/>
        <v>0</v>
      </c>
    </row>
    <row r="648" spans="8:29" ht="12.5" hidden="1">
      <c r="H648" s="131"/>
      <c r="J648" s="149"/>
      <c r="K648" s="150">
        <f>MAX(K$422:K647)+1</f>
        <v>227</v>
      </c>
      <c r="L648" s="151">
        <f t="shared" si="99"/>
        <v>1</v>
      </c>
      <c r="M648" s="152"/>
      <c r="N648" s="153"/>
      <c r="O648" s="153"/>
      <c r="P648" s="153"/>
      <c r="Q648" s="153"/>
      <c r="R648" s="153"/>
      <c r="S648" s="154">
        <f t="shared" si="98"/>
        <v>0</v>
      </c>
      <c r="T648" s="155"/>
      <c r="U648" s="154">
        <f t="shared" si="100"/>
        <v>0</v>
      </c>
      <c r="V648" s="156"/>
      <c r="W648" s="157"/>
      <c r="X648" s="157"/>
      <c r="Y648" s="158"/>
      <c r="Z648" s="162"/>
      <c r="AA648" s="159" t="s">
        <v>278</v>
      </c>
      <c r="AB648" s="160"/>
      <c r="AC648" s="158">
        <f t="shared" si="97"/>
        <v>0</v>
      </c>
    </row>
    <row r="649" spans="8:29" ht="12.5" hidden="1">
      <c r="H649" s="131"/>
      <c r="J649" s="149"/>
      <c r="K649" s="150">
        <f>MAX(K$422:K648)+1</f>
        <v>228</v>
      </c>
      <c r="L649" s="151">
        <f t="shared" si="99"/>
        <v>1</v>
      </c>
      <c r="M649" s="152"/>
      <c r="N649" s="153"/>
      <c r="O649" s="153"/>
      <c r="P649" s="153"/>
      <c r="Q649" s="153"/>
      <c r="R649" s="153"/>
      <c r="S649" s="154">
        <f t="shared" si="98"/>
        <v>0</v>
      </c>
      <c r="T649" s="155"/>
      <c r="U649" s="154">
        <f t="shared" si="100"/>
        <v>0</v>
      </c>
      <c r="V649" s="156"/>
      <c r="W649" s="157"/>
      <c r="X649" s="157"/>
      <c r="Y649" s="158"/>
      <c r="Z649" s="162"/>
      <c r="AA649" s="159" t="s">
        <v>278</v>
      </c>
      <c r="AB649" s="160"/>
      <c r="AC649" s="158">
        <f t="shared" si="97"/>
        <v>0</v>
      </c>
    </row>
    <row r="650" spans="8:29" ht="12.5" hidden="1">
      <c r="H650" s="131"/>
      <c r="J650" s="149"/>
      <c r="K650" s="150">
        <f>MAX(K$422:K649)+1</f>
        <v>229</v>
      </c>
      <c r="L650" s="151">
        <f t="shared" si="99"/>
        <v>1</v>
      </c>
      <c r="M650" s="152"/>
      <c r="N650" s="153"/>
      <c r="O650" s="153"/>
      <c r="P650" s="153"/>
      <c r="Q650" s="153"/>
      <c r="R650" s="153"/>
      <c r="S650" s="154">
        <f t="shared" si="98"/>
        <v>0</v>
      </c>
      <c r="T650" s="155"/>
      <c r="U650" s="154">
        <f t="shared" si="100"/>
        <v>0</v>
      </c>
      <c r="V650" s="156"/>
      <c r="W650" s="157"/>
      <c r="X650" s="157"/>
      <c r="Y650" s="158"/>
      <c r="Z650" s="162"/>
      <c r="AA650" s="159" t="s">
        <v>278</v>
      </c>
      <c r="AB650" s="160"/>
      <c r="AC650" s="158">
        <f t="shared" si="97"/>
        <v>0</v>
      </c>
    </row>
    <row r="651" spans="8:29" ht="12.5" hidden="1">
      <c r="H651" s="131"/>
      <c r="J651" s="149"/>
      <c r="K651" s="150">
        <f>MAX(K$422:K650)+1</f>
        <v>230</v>
      </c>
      <c r="L651" s="151">
        <f t="shared" si="99"/>
        <v>1</v>
      </c>
      <c r="M651" s="152"/>
      <c r="N651" s="153"/>
      <c r="O651" s="153"/>
      <c r="P651" s="153"/>
      <c r="Q651" s="153"/>
      <c r="R651" s="153"/>
      <c r="S651" s="154">
        <f t="shared" si="98"/>
        <v>0</v>
      </c>
      <c r="T651" s="155"/>
      <c r="U651" s="154">
        <f t="shared" si="100"/>
        <v>0</v>
      </c>
      <c r="V651" s="156"/>
      <c r="W651" s="157"/>
      <c r="X651" s="157"/>
      <c r="Y651" s="158"/>
      <c r="Z651" s="162"/>
      <c r="AA651" s="159" t="s">
        <v>278</v>
      </c>
      <c r="AB651" s="160"/>
      <c r="AC651" s="158">
        <f t="shared" si="97"/>
        <v>0</v>
      </c>
    </row>
    <row r="652" spans="8:29" ht="12.5" hidden="1">
      <c r="H652" s="131"/>
      <c r="J652" s="149"/>
      <c r="K652" s="150">
        <f>MAX(K$422:K651)+1</f>
        <v>231</v>
      </c>
      <c r="L652" s="151">
        <f t="shared" si="99"/>
        <v>1</v>
      </c>
      <c r="M652" s="152"/>
      <c r="N652" s="153"/>
      <c r="O652" s="153"/>
      <c r="P652" s="153"/>
      <c r="Q652" s="153"/>
      <c r="R652" s="153"/>
      <c r="S652" s="154">
        <f t="shared" si="98"/>
        <v>0</v>
      </c>
      <c r="T652" s="155"/>
      <c r="U652" s="154">
        <f t="shared" si="100"/>
        <v>0</v>
      </c>
      <c r="V652" s="156"/>
      <c r="W652" s="157"/>
      <c r="X652" s="157"/>
      <c r="Y652" s="158"/>
      <c r="Z652" s="162"/>
      <c r="AA652" s="159" t="s">
        <v>278</v>
      </c>
      <c r="AB652" s="160"/>
      <c r="AC652" s="158">
        <f t="shared" si="97"/>
        <v>0</v>
      </c>
    </row>
    <row r="653" spans="8:29" ht="12.5" hidden="1">
      <c r="H653" s="131"/>
      <c r="J653" s="149"/>
      <c r="K653" s="150">
        <f>MAX(K$422:K652)+1</f>
        <v>232</v>
      </c>
      <c r="L653" s="151">
        <f t="shared" si="99"/>
        <v>1</v>
      </c>
      <c r="M653" s="152"/>
      <c r="N653" s="153"/>
      <c r="O653" s="153"/>
      <c r="P653" s="153"/>
      <c r="Q653" s="153"/>
      <c r="R653" s="153"/>
      <c r="S653" s="154">
        <f t="shared" si="98"/>
        <v>0</v>
      </c>
      <c r="T653" s="155"/>
      <c r="U653" s="154">
        <f t="shared" si="100"/>
        <v>0</v>
      </c>
      <c r="V653" s="156"/>
      <c r="W653" s="157"/>
      <c r="X653" s="157"/>
      <c r="Y653" s="158"/>
      <c r="Z653" s="162"/>
      <c r="AA653" s="159" t="s">
        <v>278</v>
      </c>
      <c r="AB653" s="160"/>
      <c r="AC653" s="158">
        <f t="shared" si="97"/>
        <v>0</v>
      </c>
    </row>
    <row r="654" spans="8:29" ht="12.5" hidden="1">
      <c r="H654" s="131"/>
      <c r="J654" s="149"/>
      <c r="K654" s="150">
        <f>MAX(K$422:K653)+1</f>
        <v>233</v>
      </c>
      <c r="L654" s="151">
        <f t="shared" si="99"/>
        <v>1</v>
      </c>
      <c r="M654" s="152"/>
      <c r="N654" s="153"/>
      <c r="O654" s="153"/>
      <c r="P654" s="153"/>
      <c r="Q654" s="153"/>
      <c r="R654" s="153"/>
      <c r="S654" s="154">
        <f t="shared" si="98"/>
        <v>0</v>
      </c>
      <c r="T654" s="155"/>
      <c r="U654" s="154">
        <f t="shared" si="100"/>
        <v>0</v>
      </c>
      <c r="V654" s="156"/>
      <c r="W654" s="157"/>
      <c r="X654" s="157"/>
      <c r="Y654" s="158"/>
      <c r="Z654" s="162"/>
      <c r="AA654" s="159" t="s">
        <v>278</v>
      </c>
      <c r="AB654" s="160"/>
      <c r="AC654" s="158">
        <f t="shared" si="97"/>
        <v>0</v>
      </c>
    </row>
    <row r="655" spans="8:29" ht="12.5" hidden="1">
      <c r="H655" s="131"/>
      <c r="J655" s="149"/>
      <c r="K655" s="150">
        <f>MAX(K$422:K654)+1</f>
        <v>234</v>
      </c>
      <c r="L655" s="151">
        <f t="shared" si="99"/>
        <v>1</v>
      </c>
      <c r="M655" s="152"/>
      <c r="N655" s="153"/>
      <c r="O655" s="153"/>
      <c r="P655" s="153"/>
      <c r="Q655" s="153"/>
      <c r="R655" s="153"/>
      <c r="S655" s="154">
        <f t="shared" si="98"/>
        <v>0</v>
      </c>
      <c r="T655" s="155"/>
      <c r="U655" s="154">
        <f t="shared" si="100"/>
        <v>0</v>
      </c>
      <c r="V655" s="156"/>
      <c r="W655" s="157"/>
      <c r="X655" s="157"/>
      <c r="Y655" s="158"/>
      <c r="Z655" s="162"/>
      <c r="AA655" s="159" t="s">
        <v>278</v>
      </c>
      <c r="AB655" s="160"/>
      <c r="AC655" s="158">
        <f t="shared" si="97"/>
        <v>0</v>
      </c>
    </row>
    <row r="656" spans="8:29" ht="12.5" hidden="1">
      <c r="H656" s="131"/>
      <c r="J656" s="149"/>
      <c r="K656" s="150">
        <f>MAX(K$422:K655)+1</f>
        <v>235</v>
      </c>
      <c r="L656" s="151">
        <f t="shared" si="99"/>
        <v>1</v>
      </c>
      <c r="M656" s="152"/>
      <c r="N656" s="153"/>
      <c r="O656" s="153"/>
      <c r="P656" s="153"/>
      <c r="Q656" s="153"/>
      <c r="R656" s="153"/>
      <c r="S656" s="154">
        <f t="shared" si="98"/>
        <v>0</v>
      </c>
      <c r="T656" s="155"/>
      <c r="U656" s="154">
        <f t="shared" si="100"/>
        <v>0</v>
      </c>
      <c r="V656" s="156"/>
      <c r="W656" s="157"/>
      <c r="X656" s="157"/>
      <c r="Y656" s="158"/>
      <c r="Z656" s="162"/>
      <c r="AA656" s="159" t="s">
        <v>278</v>
      </c>
      <c r="AB656" s="160"/>
      <c r="AC656" s="158">
        <f t="shared" si="97"/>
        <v>0</v>
      </c>
    </row>
    <row r="657" spans="8:29" ht="12.5" hidden="1">
      <c r="H657" s="131"/>
      <c r="J657" s="149"/>
      <c r="K657" s="150">
        <f>MAX(K$422:K656)+1</f>
        <v>236</v>
      </c>
      <c r="L657" s="151">
        <f t="shared" si="99"/>
        <v>1</v>
      </c>
      <c r="M657" s="152"/>
      <c r="N657" s="153"/>
      <c r="O657" s="153"/>
      <c r="P657" s="153"/>
      <c r="Q657" s="153"/>
      <c r="R657" s="153"/>
      <c r="S657" s="154">
        <f t="shared" si="98"/>
        <v>0</v>
      </c>
      <c r="T657" s="155"/>
      <c r="U657" s="154">
        <f t="shared" si="100"/>
        <v>0</v>
      </c>
      <c r="V657" s="156"/>
      <c r="W657" s="157"/>
      <c r="X657" s="157"/>
      <c r="Y657" s="158"/>
      <c r="Z657" s="162"/>
      <c r="AA657" s="159" t="s">
        <v>278</v>
      </c>
      <c r="AB657" s="160"/>
      <c r="AC657" s="158">
        <f t="shared" si="97"/>
        <v>0</v>
      </c>
    </row>
    <row r="658" spans="8:29" ht="12.5" hidden="1">
      <c r="H658" s="131"/>
      <c r="J658" s="149"/>
      <c r="K658" s="150">
        <f>MAX(K$422:K657)+1</f>
        <v>237</v>
      </c>
      <c r="L658" s="151">
        <f t="shared" si="99"/>
        <v>1</v>
      </c>
      <c r="M658" s="152"/>
      <c r="N658" s="153"/>
      <c r="O658" s="153"/>
      <c r="P658" s="153"/>
      <c r="Q658" s="153"/>
      <c r="R658" s="153"/>
      <c r="S658" s="154">
        <f t="shared" si="98"/>
        <v>0</v>
      </c>
      <c r="T658" s="155"/>
      <c r="U658" s="154">
        <f t="shared" si="100"/>
        <v>0</v>
      </c>
      <c r="V658" s="156"/>
      <c r="W658" s="157"/>
      <c r="X658" s="157"/>
      <c r="Y658" s="158"/>
      <c r="Z658" s="162"/>
      <c r="AA658" s="159" t="s">
        <v>278</v>
      </c>
      <c r="AB658" s="160"/>
      <c r="AC658" s="158">
        <f t="shared" si="97"/>
        <v>0</v>
      </c>
    </row>
    <row r="659" spans="8:29" ht="12.5" hidden="1">
      <c r="H659" s="131"/>
      <c r="J659" s="149"/>
      <c r="K659" s="150">
        <f>MAX(K$422:K658)+1</f>
        <v>238</v>
      </c>
      <c r="L659" s="151">
        <f t="shared" si="99"/>
        <v>1</v>
      </c>
      <c r="M659" s="152"/>
      <c r="N659" s="153"/>
      <c r="O659" s="153"/>
      <c r="P659" s="153"/>
      <c r="Q659" s="153"/>
      <c r="R659" s="153"/>
      <c r="S659" s="154">
        <f t="shared" si="98"/>
        <v>0</v>
      </c>
      <c r="T659" s="155"/>
      <c r="U659" s="154">
        <f t="shared" si="100"/>
        <v>0</v>
      </c>
      <c r="V659" s="156"/>
      <c r="W659" s="157"/>
      <c r="X659" s="157"/>
      <c r="Y659" s="158"/>
      <c r="Z659" s="162"/>
      <c r="AA659" s="159" t="s">
        <v>278</v>
      </c>
      <c r="AB659" s="160"/>
      <c r="AC659" s="158">
        <f t="shared" si="97"/>
        <v>0</v>
      </c>
    </row>
    <row r="660" spans="8:29" ht="12.5" hidden="1">
      <c r="H660" s="131"/>
      <c r="J660" s="149"/>
      <c r="K660" s="150">
        <f>MAX(K$422:K659)+1</f>
        <v>239</v>
      </c>
      <c r="L660" s="151">
        <f t="shared" si="99"/>
        <v>1</v>
      </c>
      <c r="M660" s="152"/>
      <c r="N660" s="153"/>
      <c r="O660" s="153"/>
      <c r="P660" s="153"/>
      <c r="Q660" s="153"/>
      <c r="R660" s="153"/>
      <c r="S660" s="154">
        <f t="shared" si="98"/>
        <v>0</v>
      </c>
      <c r="T660" s="155"/>
      <c r="U660" s="154">
        <f t="shared" si="100"/>
        <v>0</v>
      </c>
      <c r="V660" s="156"/>
      <c r="W660" s="157"/>
      <c r="X660" s="157"/>
      <c r="Y660" s="158"/>
      <c r="Z660" s="162"/>
      <c r="AA660" s="159" t="s">
        <v>278</v>
      </c>
      <c r="AB660" s="160"/>
      <c r="AC660" s="158">
        <f t="shared" si="97"/>
        <v>0</v>
      </c>
    </row>
    <row r="661" spans="8:29" ht="12.5" hidden="1">
      <c r="H661" s="131"/>
      <c r="J661" s="149"/>
      <c r="K661" s="150">
        <f>MAX(K$422:K660)+1</f>
        <v>240</v>
      </c>
      <c r="L661" s="151">
        <f t="shared" si="99"/>
        <v>1</v>
      </c>
      <c r="M661" s="152"/>
      <c r="N661" s="153"/>
      <c r="O661" s="153"/>
      <c r="P661" s="153"/>
      <c r="Q661" s="153"/>
      <c r="R661" s="153"/>
      <c r="S661" s="154">
        <f t="shared" si="98"/>
        <v>0</v>
      </c>
      <c r="T661" s="155"/>
      <c r="U661" s="154">
        <f t="shared" si="100"/>
        <v>0</v>
      </c>
      <c r="V661" s="156"/>
      <c r="W661" s="157"/>
      <c r="X661" s="157"/>
      <c r="Y661" s="158"/>
      <c r="Z661" s="162"/>
      <c r="AA661" s="159" t="s">
        <v>278</v>
      </c>
      <c r="AB661" s="160"/>
      <c r="AC661" s="158">
        <f t="shared" si="97"/>
        <v>0</v>
      </c>
    </row>
    <row r="662" spans="8:29" ht="12.5" hidden="1">
      <c r="H662" s="131"/>
      <c r="J662" s="149"/>
      <c r="K662" s="150">
        <f>MAX(K$422:K661)+1</f>
        <v>241</v>
      </c>
      <c r="L662" s="151">
        <f t="shared" si="99"/>
        <v>1</v>
      </c>
      <c r="M662" s="152"/>
      <c r="N662" s="153"/>
      <c r="O662" s="153"/>
      <c r="P662" s="153"/>
      <c r="Q662" s="153"/>
      <c r="R662" s="153"/>
      <c r="S662" s="154">
        <f t="shared" si="98"/>
        <v>0</v>
      </c>
      <c r="T662" s="155"/>
      <c r="U662" s="154">
        <f t="shared" si="100"/>
        <v>0</v>
      </c>
      <c r="V662" s="156"/>
      <c r="W662" s="157"/>
      <c r="X662" s="157"/>
      <c r="Y662" s="158"/>
      <c r="Z662" s="162"/>
      <c r="AA662" s="159" t="s">
        <v>278</v>
      </c>
      <c r="AB662" s="160"/>
      <c r="AC662" s="158">
        <f t="shared" si="97"/>
        <v>0</v>
      </c>
    </row>
    <row r="663" spans="8:29" ht="12.5" hidden="1">
      <c r="H663" s="131"/>
      <c r="J663" s="149"/>
      <c r="K663" s="150">
        <f>MAX(K$422:K662)+1</f>
        <v>242</v>
      </c>
      <c r="L663" s="151">
        <f t="shared" si="99"/>
        <v>1</v>
      </c>
      <c r="M663" s="152"/>
      <c r="N663" s="153"/>
      <c r="O663" s="153"/>
      <c r="P663" s="153"/>
      <c r="Q663" s="153"/>
      <c r="R663" s="153"/>
      <c r="S663" s="154">
        <f t="shared" si="98"/>
        <v>0</v>
      </c>
      <c r="T663" s="155"/>
      <c r="U663" s="154">
        <f t="shared" si="100"/>
        <v>0</v>
      </c>
      <c r="V663" s="156"/>
      <c r="W663" s="157"/>
      <c r="X663" s="157"/>
      <c r="Y663" s="158"/>
      <c r="Z663" s="162"/>
      <c r="AA663" s="159" t="s">
        <v>278</v>
      </c>
      <c r="AB663" s="160"/>
      <c r="AC663" s="158">
        <f t="shared" si="97"/>
        <v>0</v>
      </c>
    </row>
    <row r="664" spans="8:29" ht="12.5" hidden="1">
      <c r="H664" s="131"/>
      <c r="J664" s="149"/>
      <c r="K664" s="150">
        <f>MAX(K$422:K663)+1</f>
        <v>243</v>
      </c>
      <c r="L664" s="151">
        <f t="shared" si="99"/>
        <v>1</v>
      </c>
      <c r="M664" s="152"/>
      <c r="N664" s="153"/>
      <c r="O664" s="153"/>
      <c r="P664" s="153"/>
      <c r="Q664" s="153"/>
      <c r="R664" s="153"/>
      <c r="S664" s="154">
        <f t="shared" si="98"/>
        <v>0</v>
      </c>
      <c r="T664" s="155"/>
      <c r="U664" s="154">
        <f t="shared" si="100"/>
        <v>0</v>
      </c>
      <c r="V664" s="156"/>
      <c r="W664" s="157"/>
      <c r="X664" s="157"/>
      <c r="Y664" s="158"/>
      <c r="Z664" s="162"/>
      <c r="AA664" s="159" t="s">
        <v>278</v>
      </c>
      <c r="AB664" s="160"/>
      <c r="AC664" s="158">
        <f t="shared" si="97"/>
        <v>0</v>
      </c>
    </row>
    <row r="665" spans="8:29" ht="12.5" hidden="1">
      <c r="H665" s="131"/>
      <c r="J665" s="149"/>
      <c r="K665" s="150">
        <f>MAX(K$422:K664)+1</f>
        <v>244</v>
      </c>
      <c r="L665" s="151">
        <f t="shared" si="99"/>
        <v>1</v>
      </c>
      <c r="M665" s="152"/>
      <c r="N665" s="153"/>
      <c r="O665" s="153"/>
      <c r="P665" s="153"/>
      <c r="Q665" s="153"/>
      <c r="R665" s="153"/>
      <c r="S665" s="154">
        <f t="shared" si="98"/>
        <v>0</v>
      </c>
      <c r="T665" s="155"/>
      <c r="U665" s="154">
        <f t="shared" si="100"/>
        <v>0</v>
      </c>
      <c r="V665" s="156"/>
      <c r="W665" s="157"/>
      <c r="X665" s="157"/>
      <c r="Y665" s="158"/>
      <c r="Z665" s="162"/>
      <c r="AA665" s="159" t="s">
        <v>278</v>
      </c>
      <c r="AB665" s="160"/>
      <c r="AC665" s="158">
        <f t="shared" si="97"/>
        <v>0</v>
      </c>
    </row>
    <row r="666" spans="8:29" ht="12.5" hidden="1">
      <c r="H666" s="131"/>
      <c r="J666" s="149"/>
      <c r="K666" s="150">
        <f>MAX(K$422:K665)+1</f>
        <v>245</v>
      </c>
      <c r="L666" s="151">
        <f t="shared" si="99"/>
        <v>1</v>
      </c>
      <c r="M666" s="152"/>
      <c r="N666" s="153"/>
      <c r="O666" s="153"/>
      <c r="P666" s="153"/>
      <c r="Q666" s="153"/>
      <c r="R666" s="153"/>
      <c r="S666" s="154">
        <f t="shared" si="98"/>
        <v>0</v>
      </c>
      <c r="T666" s="155"/>
      <c r="U666" s="154">
        <f t="shared" si="100"/>
        <v>0</v>
      </c>
      <c r="V666" s="156"/>
      <c r="W666" s="157"/>
      <c r="X666" s="157"/>
      <c r="Y666" s="158"/>
      <c r="Z666" s="162"/>
      <c r="AA666" s="159" t="s">
        <v>278</v>
      </c>
      <c r="AB666" s="160"/>
      <c r="AC666" s="158">
        <f t="shared" si="97"/>
        <v>0</v>
      </c>
    </row>
    <row r="667" spans="8:29" ht="12.5" hidden="1">
      <c r="H667" s="131"/>
      <c r="J667" s="149"/>
      <c r="K667" s="150">
        <f>MAX(K$422:K666)+1</f>
        <v>246</v>
      </c>
      <c r="L667" s="151">
        <f t="shared" si="99"/>
        <v>1</v>
      </c>
      <c r="M667" s="152"/>
      <c r="N667" s="153"/>
      <c r="O667" s="153"/>
      <c r="P667" s="153"/>
      <c r="Q667" s="153"/>
      <c r="R667" s="153"/>
      <c r="S667" s="154">
        <f t="shared" si="98"/>
        <v>0</v>
      </c>
      <c r="T667" s="155"/>
      <c r="U667" s="154">
        <f t="shared" si="100"/>
        <v>0</v>
      </c>
      <c r="V667" s="156"/>
      <c r="W667" s="157"/>
      <c r="X667" s="157"/>
      <c r="Y667" s="158"/>
      <c r="Z667" s="162"/>
      <c r="AA667" s="159" t="s">
        <v>278</v>
      </c>
      <c r="AB667" s="160"/>
      <c r="AC667" s="158">
        <f t="shared" si="97"/>
        <v>0</v>
      </c>
    </row>
    <row r="668" spans="8:29" ht="12.5" hidden="1">
      <c r="H668" s="131"/>
      <c r="J668" s="149"/>
      <c r="K668" s="150">
        <f>MAX(K$422:K667)+1</f>
        <v>247</v>
      </c>
      <c r="L668" s="151">
        <f t="shared" si="99"/>
        <v>1</v>
      </c>
      <c r="M668" s="152"/>
      <c r="N668" s="153"/>
      <c r="O668" s="153"/>
      <c r="P668" s="153"/>
      <c r="Q668" s="153"/>
      <c r="R668" s="153"/>
      <c r="S668" s="154">
        <f t="shared" si="98"/>
        <v>0</v>
      </c>
      <c r="T668" s="155"/>
      <c r="U668" s="154">
        <f t="shared" si="100"/>
        <v>0</v>
      </c>
      <c r="V668" s="156"/>
      <c r="W668" s="157"/>
      <c r="X668" s="157"/>
      <c r="Y668" s="158"/>
      <c r="Z668" s="162"/>
      <c r="AA668" s="159" t="s">
        <v>278</v>
      </c>
      <c r="AB668" s="160"/>
      <c r="AC668" s="158">
        <f t="shared" si="97"/>
        <v>0</v>
      </c>
    </row>
    <row r="669" spans="8:29" ht="12.5" hidden="1">
      <c r="H669" s="131"/>
      <c r="J669" s="149"/>
      <c r="K669" s="150">
        <f>MAX(K$422:K668)+1</f>
        <v>248</v>
      </c>
      <c r="L669" s="151">
        <f t="shared" si="99"/>
        <v>1</v>
      </c>
      <c r="M669" s="152"/>
      <c r="N669" s="153"/>
      <c r="O669" s="153"/>
      <c r="P669" s="153"/>
      <c r="Q669" s="153"/>
      <c r="R669" s="153"/>
      <c r="S669" s="154">
        <f t="shared" si="98"/>
        <v>0</v>
      </c>
      <c r="T669" s="155"/>
      <c r="U669" s="154">
        <f t="shared" si="100"/>
        <v>0</v>
      </c>
      <c r="V669" s="156"/>
      <c r="W669" s="157"/>
      <c r="X669" s="157"/>
      <c r="Y669" s="158"/>
      <c r="Z669" s="162"/>
      <c r="AA669" s="159" t="s">
        <v>278</v>
      </c>
      <c r="AB669" s="160"/>
      <c r="AC669" s="158">
        <f t="shared" si="97"/>
        <v>0</v>
      </c>
    </row>
    <row r="670" spans="8:29" ht="12.5" hidden="1">
      <c r="H670" s="131"/>
      <c r="J670" s="149"/>
      <c r="K670" s="150">
        <f>MAX(K$422:K669)+1</f>
        <v>249</v>
      </c>
      <c r="L670" s="151">
        <f t="shared" si="99"/>
        <v>1</v>
      </c>
      <c r="M670" s="152"/>
      <c r="N670" s="153"/>
      <c r="O670" s="153"/>
      <c r="P670" s="153"/>
      <c r="Q670" s="153"/>
      <c r="R670" s="153"/>
      <c r="S670" s="154">
        <f t="shared" si="98"/>
        <v>0</v>
      </c>
      <c r="T670" s="155"/>
      <c r="U670" s="154">
        <f t="shared" si="100"/>
        <v>0</v>
      </c>
      <c r="V670" s="156"/>
      <c r="W670" s="157"/>
      <c r="X670" s="157"/>
      <c r="Y670" s="158"/>
      <c r="Z670" s="162"/>
      <c r="AA670" s="159" t="s">
        <v>278</v>
      </c>
      <c r="AB670" s="160"/>
      <c r="AC670" s="158">
        <f t="shared" si="97"/>
        <v>0</v>
      </c>
    </row>
    <row r="671" spans="8:29" ht="12.5" hidden="1">
      <c r="H671" s="131"/>
      <c r="J671" s="149"/>
      <c r="K671" s="150">
        <f>MAX(K$422:K670)+1</f>
        <v>250</v>
      </c>
      <c r="L671" s="151">
        <f t="shared" si="99"/>
        <v>1</v>
      </c>
      <c r="M671" s="152"/>
      <c r="N671" s="153"/>
      <c r="O671" s="153"/>
      <c r="P671" s="153"/>
      <c r="Q671" s="153"/>
      <c r="R671" s="153"/>
      <c r="S671" s="154">
        <f t="shared" si="98"/>
        <v>0</v>
      </c>
      <c r="T671" s="155"/>
      <c r="U671" s="154">
        <f t="shared" si="100"/>
        <v>0</v>
      </c>
      <c r="V671" s="156"/>
      <c r="W671" s="157"/>
      <c r="X671" s="157"/>
      <c r="Y671" s="158"/>
      <c r="Z671" s="162"/>
      <c r="AA671" s="159" t="s">
        <v>278</v>
      </c>
      <c r="AB671" s="160"/>
      <c r="AC671" s="158">
        <f t="shared" si="97"/>
        <v>0</v>
      </c>
    </row>
    <row r="672" spans="8:29" ht="12.5" hidden="1">
      <c r="H672" s="131"/>
      <c r="J672" s="149"/>
      <c r="K672" s="150">
        <f>MAX(K$422:K671)+1</f>
        <v>251</v>
      </c>
      <c r="L672" s="151">
        <f t="shared" si="99"/>
        <v>1</v>
      </c>
      <c r="M672" s="152"/>
      <c r="N672" s="153"/>
      <c r="O672" s="153"/>
      <c r="P672" s="153"/>
      <c r="Q672" s="153"/>
      <c r="R672" s="153"/>
      <c r="S672" s="154">
        <f t="shared" si="98"/>
        <v>0</v>
      </c>
      <c r="T672" s="155"/>
      <c r="U672" s="154">
        <f t="shared" si="100"/>
        <v>0</v>
      </c>
      <c r="V672" s="156"/>
      <c r="W672" s="157"/>
      <c r="X672" s="157"/>
      <c r="Y672" s="158"/>
      <c r="Z672" s="162"/>
      <c r="AA672" s="159" t="s">
        <v>278</v>
      </c>
      <c r="AB672" s="160"/>
      <c r="AC672" s="158">
        <f t="shared" si="97"/>
        <v>0</v>
      </c>
    </row>
    <row r="673" spans="8:29" ht="12.5" hidden="1">
      <c r="H673" s="131"/>
      <c r="J673" s="149"/>
      <c r="K673" s="150">
        <f>MAX(K$422:K672)+1</f>
        <v>252</v>
      </c>
      <c r="L673" s="151">
        <f t="shared" si="99"/>
        <v>1</v>
      </c>
      <c r="M673" s="152"/>
      <c r="N673" s="153"/>
      <c r="O673" s="153"/>
      <c r="P673" s="153"/>
      <c r="Q673" s="153"/>
      <c r="R673" s="153"/>
      <c r="S673" s="154">
        <f t="shared" si="98"/>
        <v>0</v>
      </c>
      <c r="T673" s="155"/>
      <c r="U673" s="154">
        <f t="shared" si="100"/>
        <v>0</v>
      </c>
      <c r="V673" s="156"/>
      <c r="W673" s="157"/>
      <c r="X673" s="157"/>
      <c r="Y673" s="158"/>
      <c r="Z673" s="162"/>
      <c r="AA673" s="159" t="s">
        <v>278</v>
      </c>
      <c r="AB673" s="160"/>
      <c r="AC673" s="158">
        <f t="shared" si="97"/>
        <v>0</v>
      </c>
    </row>
    <row r="674" spans="8:29" ht="12.5" hidden="1">
      <c r="H674" s="131"/>
      <c r="J674" s="149"/>
      <c r="K674" s="150">
        <f>MAX(K$422:K673)+1</f>
        <v>253</v>
      </c>
      <c r="L674" s="151">
        <f t="shared" si="99"/>
        <v>1</v>
      </c>
      <c r="M674" s="152"/>
      <c r="N674" s="153"/>
      <c r="O674" s="153"/>
      <c r="P674" s="153"/>
      <c r="Q674" s="153"/>
      <c r="R674" s="153"/>
      <c r="S674" s="154">
        <f t="shared" si="98"/>
        <v>0</v>
      </c>
      <c r="T674" s="155"/>
      <c r="U674" s="154">
        <f t="shared" si="100"/>
        <v>0</v>
      </c>
      <c r="V674" s="156"/>
      <c r="W674" s="157"/>
      <c r="X674" s="157"/>
      <c r="Y674" s="158"/>
      <c r="Z674" s="162"/>
      <c r="AA674" s="159" t="s">
        <v>278</v>
      </c>
      <c r="AB674" s="160"/>
      <c r="AC674" s="158">
        <f t="shared" si="97"/>
        <v>0</v>
      </c>
    </row>
    <row r="675" spans="8:29" ht="12.5" hidden="1">
      <c r="H675" s="131"/>
      <c r="J675" s="149"/>
      <c r="K675" s="150">
        <f>MAX(K$422:K674)+1</f>
        <v>254</v>
      </c>
      <c r="L675" s="151">
        <f t="shared" si="99"/>
        <v>1</v>
      </c>
      <c r="M675" s="152"/>
      <c r="N675" s="153"/>
      <c r="O675" s="153"/>
      <c r="P675" s="153"/>
      <c r="Q675" s="153"/>
      <c r="R675" s="153"/>
      <c r="S675" s="154">
        <f t="shared" si="98"/>
        <v>0</v>
      </c>
      <c r="T675" s="155"/>
      <c r="U675" s="154">
        <f t="shared" si="100"/>
        <v>0</v>
      </c>
      <c r="V675" s="156"/>
      <c r="W675" s="157"/>
      <c r="X675" s="157"/>
      <c r="Y675" s="158"/>
      <c r="Z675" s="162"/>
      <c r="AA675" s="159" t="s">
        <v>278</v>
      </c>
      <c r="AB675" s="160"/>
      <c r="AC675" s="158">
        <f t="shared" si="97"/>
        <v>0</v>
      </c>
    </row>
    <row r="676" spans="8:29" ht="12.5" hidden="1">
      <c r="H676" s="131"/>
      <c r="J676" s="149"/>
      <c r="K676" s="150">
        <f>MAX(K$422:K675)+1</f>
        <v>255</v>
      </c>
      <c r="L676" s="151">
        <f t="shared" si="99"/>
        <v>1</v>
      </c>
      <c r="M676" s="152"/>
      <c r="N676" s="153"/>
      <c r="O676" s="153"/>
      <c r="P676" s="153"/>
      <c r="Q676" s="153"/>
      <c r="R676" s="153"/>
      <c r="S676" s="154">
        <f t="shared" si="98"/>
        <v>0</v>
      </c>
      <c r="T676" s="155"/>
      <c r="U676" s="154">
        <f t="shared" si="100"/>
        <v>0</v>
      </c>
      <c r="V676" s="156"/>
      <c r="W676" s="157"/>
      <c r="X676" s="157"/>
      <c r="Y676" s="158"/>
      <c r="Z676" s="162"/>
      <c r="AA676" s="159" t="s">
        <v>278</v>
      </c>
      <c r="AB676" s="160"/>
      <c r="AC676" s="158">
        <f t="shared" si="97"/>
        <v>0</v>
      </c>
    </row>
    <row r="677" spans="8:29" ht="12.5" hidden="1">
      <c r="H677" s="131"/>
      <c r="J677" s="149"/>
      <c r="K677" s="150">
        <f>MAX(K$422:K676)+1</f>
        <v>256</v>
      </c>
      <c r="L677" s="151">
        <f t="shared" si="99"/>
        <v>1</v>
      </c>
      <c r="M677" s="152"/>
      <c r="N677" s="153"/>
      <c r="O677" s="153"/>
      <c r="P677" s="153"/>
      <c r="Q677" s="153"/>
      <c r="R677" s="153"/>
      <c r="S677" s="154">
        <f t="shared" si="98"/>
        <v>0</v>
      </c>
      <c r="T677" s="155"/>
      <c r="U677" s="154">
        <f t="shared" si="100"/>
        <v>0</v>
      </c>
      <c r="V677" s="156"/>
      <c r="W677" s="157"/>
      <c r="X677" s="157"/>
      <c r="Y677" s="158"/>
      <c r="Z677" s="162"/>
      <c r="AA677" s="159" t="s">
        <v>278</v>
      </c>
      <c r="AB677" s="160"/>
      <c r="AC677" s="158">
        <f t="shared" si="97"/>
        <v>0</v>
      </c>
    </row>
    <row r="678" spans="8:29" ht="12.5" hidden="1">
      <c r="H678" s="131"/>
      <c r="J678" s="149"/>
      <c r="K678" s="150">
        <f>MAX(K$422:K677)+1</f>
        <v>257</v>
      </c>
      <c r="L678" s="151">
        <f t="shared" si="99"/>
        <v>1</v>
      </c>
      <c r="M678" s="152"/>
      <c r="N678" s="153"/>
      <c r="O678" s="153"/>
      <c r="P678" s="153"/>
      <c r="Q678" s="153"/>
      <c r="R678" s="153"/>
      <c r="S678" s="154">
        <f t="shared" si="98"/>
        <v>0</v>
      </c>
      <c r="T678" s="155"/>
      <c r="U678" s="154">
        <f t="shared" si="100"/>
        <v>0</v>
      </c>
      <c r="V678" s="156"/>
      <c r="W678" s="157"/>
      <c r="X678" s="157"/>
      <c r="Y678" s="158"/>
      <c r="Z678" s="162"/>
      <c r="AA678" s="159" t="s">
        <v>278</v>
      </c>
      <c r="AB678" s="160"/>
      <c r="AC678" s="158">
        <f t="shared" ref="AC678:AC741" si="101">INDEX(Y678:Z678,1,MATCH(_WellBasketSelection,$Y$421:$Z$421,0))*U678</f>
        <v>0</v>
      </c>
    </row>
    <row r="679" spans="8:29" ht="12.5" hidden="1">
      <c r="H679" s="131"/>
      <c r="J679" s="149"/>
      <c r="K679" s="150">
        <f>MAX(K$422:K678)+1</f>
        <v>258</v>
      </c>
      <c r="L679" s="151">
        <f t="shared" si="99"/>
        <v>1</v>
      </c>
      <c r="M679" s="152"/>
      <c r="N679" s="153"/>
      <c r="O679" s="153"/>
      <c r="P679" s="153"/>
      <c r="Q679" s="153"/>
      <c r="R679" s="153"/>
      <c r="S679" s="154">
        <f t="shared" ref="S679:S742" si="102">SUM(N679:R679)</f>
        <v>0</v>
      </c>
      <c r="T679" s="155"/>
      <c r="U679" s="154">
        <f t="shared" si="100"/>
        <v>0</v>
      </c>
      <c r="V679" s="156"/>
      <c r="W679" s="157"/>
      <c r="X679" s="157"/>
      <c r="Y679" s="158"/>
      <c r="Z679" s="162"/>
      <c r="AA679" s="159" t="s">
        <v>278</v>
      </c>
      <c r="AB679" s="160"/>
      <c r="AC679" s="158">
        <f t="shared" si="101"/>
        <v>0</v>
      </c>
    </row>
    <row r="680" spans="8:29" ht="12.5" hidden="1">
      <c r="H680" s="131"/>
      <c r="J680" s="149"/>
      <c r="K680" s="150">
        <f>MAX(K$422:K679)+1</f>
        <v>259</v>
      </c>
      <c r="L680" s="151">
        <f t="shared" si="99"/>
        <v>1</v>
      </c>
      <c r="M680" s="152"/>
      <c r="N680" s="153"/>
      <c r="O680" s="153"/>
      <c r="P680" s="153"/>
      <c r="Q680" s="153"/>
      <c r="R680" s="153"/>
      <c r="S680" s="154">
        <f t="shared" si="102"/>
        <v>0</v>
      </c>
      <c r="T680" s="155"/>
      <c r="U680" s="154">
        <f t="shared" si="100"/>
        <v>0</v>
      </c>
      <c r="V680" s="156"/>
      <c r="W680" s="157"/>
      <c r="X680" s="157"/>
      <c r="Y680" s="158"/>
      <c r="Z680" s="162"/>
      <c r="AA680" s="159" t="s">
        <v>278</v>
      </c>
      <c r="AB680" s="160"/>
      <c r="AC680" s="158">
        <f t="shared" si="101"/>
        <v>0</v>
      </c>
    </row>
    <row r="681" spans="8:29" ht="12.5" hidden="1">
      <c r="H681" s="131"/>
      <c r="J681" s="149"/>
      <c r="K681" s="150">
        <f>MAX(K$422:K680)+1</f>
        <v>260</v>
      </c>
      <c r="L681" s="151">
        <f t="shared" ref="L681:L744" si="103">IF(J680="",L680,L680+1)</f>
        <v>1</v>
      </c>
      <c r="M681" s="152"/>
      <c r="N681" s="153"/>
      <c r="O681" s="153"/>
      <c r="P681" s="153"/>
      <c r="Q681" s="153"/>
      <c r="R681" s="153"/>
      <c r="S681" s="154">
        <f t="shared" si="102"/>
        <v>0</v>
      </c>
      <c r="T681" s="155"/>
      <c r="U681" s="154">
        <f t="shared" si="100"/>
        <v>0</v>
      </c>
      <c r="V681" s="156"/>
      <c r="W681" s="157"/>
      <c r="X681" s="157"/>
      <c r="Y681" s="158"/>
      <c r="Z681" s="162"/>
      <c r="AA681" s="159" t="s">
        <v>278</v>
      </c>
      <c r="AB681" s="160"/>
      <c r="AC681" s="158">
        <f t="shared" si="101"/>
        <v>0</v>
      </c>
    </row>
    <row r="682" spans="8:29" ht="12.5" hidden="1">
      <c r="H682" s="131"/>
      <c r="J682" s="149"/>
      <c r="K682" s="150">
        <f>MAX(K$422:K681)+1</f>
        <v>261</v>
      </c>
      <c r="L682" s="151">
        <f t="shared" si="103"/>
        <v>1</v>
      </c>
      <c r="M682" s="152"/>
      <c r="N682" s="153"/>
      <c r="O682" s="153"/>
      <c r="P682" s="153"/>
      <c r="Q682" s="153"/>
      <c r="R682" s="153"/>
      <c r="S682" s="154">
        <f t="shared" si="102"/>
        <v>0</v>
      </c>
      <c r="T682" s="155"/>
      <c r="U682" s="154">
        <f t="shared" si="100"/>
        <v>0</v>
      </c>
      <c r="V682" s="156"/>
      <c r="W682" s="157"/>
      <c r="X682" s="157"/>
      <c r="Y682" s="158"/>
      <c r="Z682" s="162"/>
      <c r="AA682" s="159" t="s">
        <v>278</v>
      </c>
      <c r="AB682" s="160"/>
      <c r="AC682" s="158">
        <f t="shared" si="101"/>
        <v>0</v>
      </c>
    </row>
    <row r="683" spans="8:29" ht="12.5" hidden="1">
      <c r="H683" s="131"/>
      <c r="J683" s="149"/>
      <c r="K683" s="150">
        <f>MAX(K$422:K682)+1</f>
        <v>262</v>
      </c>
      <c r="L683" s="151">
        <f t="shared" si="103"/>
        <v>1</v>
      </c>
      <c r="M683" s="152"/>
      <c r="N683" s="153"/>
      <c r="O683" s="153"/>
      <c r="P683" s="153"/>
      <c r="Q683" s="153"/>
      <c r="R683" s="153"/>
      <c r="S683" s="154">
        <f t="shared" si="102"/>
        <v>0</v>
      </c>
      <c r="T683" s="155"/>
      <c r="U683" s="154">
        <f t="shared" si="100"/>
        <v>0</v>
      </c>
      <c r="V683" s="156"/>
      <c r="W683" s="157"/>
      <c r="X683" s="157"/>
      <c r="Y683" s="158"/>
      <c r="Z683" s="162"/>
      <c r="AA683" s="159" t="s">
        <v>278</v>
      </c>
      <c r="AB683" s="160"/>
      <c r="AC683" s="158">
        <f t="shared" si="101"/>
        <v>0</v>
      </c>
    </row>
    <row r="684" spans="8:29" ht="12.5" hidden="1">
      <c r="H684" s="131"/>
      <c r="J684" s="149"/>
      <c r="K684" s="150">
        <f>MAX(K$422:K683)+1</f>
        <v>263</v>
      </c>
      <c r="L684" s="151">
        <f t="shared" si="103"/>
        <v>1</v>
      </c>
      <c r="M684" s="152"/>
      <c r="N684" s="153"/>
      <c r="O684" s="153"/>
      <c r="P684" s="153"/>
      <c r="Q684" s="153"/>
      <c r="R684" s="153"/>
      <c r="S684" s="154">
        <f t="shared" si="102"/>
        <v>0</v>
      </c>
      <c r="T684" s="155"/>
      <c r="U684" s="154">
        <f t="shared" si="100"/>
        <v>0</v>
      </c>
      <c r="V684" s="156"/>
      <c r="W684" s="157"/>
      <c r="X684" s="157"/>
      <c r="Y684" s="158"/>
      <c r="Z684" s="162"/>
      <c r="AA684" s="159" t="s">
        <v>278</v>
      </c>
      <c r="AB684" s="160"/>
      <c r="AC684" s="158">
        <f t="shared" si="101"/>
        <v>0</v>
      </c>
    </row>
    <row r="685" spans="8:29" ht="12.5" hidden="1">
      <c r="H685" s="131"/>
      <c r="J685" s="149"/>
      <c r="K685" s="150">
        <f>MAX(K$422:K684)+1</f>
        <v>264</v>
      </c>
      <c r="L685" s="151">
        <f t="shared" si="103"/>
        <v>1</v>
      </c>
      <c r="M685" s="152"/>
      <c r="N685" s="153"/>
      <c r="O685" s="153"/>
      <c r="P685" s="153"/>
      <c r="Q685" s="153"/>
      <c r="R685" s="153"/>
      <c r="S685" s="154">
        <f t="shared" si="102"/>
        <v>0</v>
      </c>
      <c r="T685" s="155"/>
      <c r="U685" s="154">
        <f t="shared" si="100"/>
        <v>0</v>
      </c>
      <c r="V685" s="156"/>
      <c r="W685" s="157"/>
      <c r="X685" s="157"/>
      <c r="Y685" s="158"/>
      <c r="Z685" s="162"/>
      <c r="AA685" s="159" t="s">
        <v>278</v>
      </c>
      <c r="AB685" s="160"/>
      <c r="AC685" s="158">
        <f t="shared" si="101"/>
        <v>0</v>
      </c>
    </row>
    <row r="686" spans="8:29" ht="12.5" hidden="1">
      <c r="H686" s="131"/>
      <c r="J686" s="149"/>
      <c r="K686" s="150">
        <f>MAX(K$422:K685)+1</f>
        <v>265</v>
      </c>
      <c r="L686" s="151">
        <f t="shared" si="103"/>
        <v>1</v>
      </c>
      <c r="M686" s="152"/>
      <c r="N686" s="153"/>
      <c r="O686" s="153"/>
      <c r="P686" s="153"/>
      <c r="Q686" s="153"/>
      <c r="R686" s="153"/>
      <c r="S686" s="154">
        <f t="shared" si="102"/>
        <v>0</v>
      </c>
      <c r="T686" s="155"/>
      <c r="U686" s="154">
        <f t="shared" si="100"/>
        <v>0</v>
      </c>
      <c r="V686" s="156"/>
      <c r="W686" s="157"/>
      <c r="X686" s="157"/>
      <c r="Y686" s="158"/>
      <c r="Z686" s="162"/>
      <c r="AA686" s="159" t="s">
        <v>278</v>
      </c>
      <c r="AB686" s="160"/>
      <c r="AC686" s="158">
        <f t="shared" si="101"/>
        <v>0</v>
      </c>
    </row>
    <row r="687" spans="8:29" ht="12.5" hidden="1">
      <c r="H687" s="131"/>
      <c r="J687" s="149"/>
      <c r="K687" s="150">
        <f>MAX(K$422:K686)+1</f>
        <v>266</v>
      </c>
      <c r="L687" s="151">
        <f t="shared" si="103"/>
        <v>1</v>
      </c>
      <c r="M687" s="152"/>
      <c r="N687" s="153"/>
      <c r="O687" s="153"/>
      <c r="P687" s="153"/>
      <c r="Q687" s="153"/>
      <c r="R687" s="153"/>
      <c r="S687" s="154">
        <f t="shared" si="102"/>
        <v>0</v>
      </c>
      <c r="T687" s="155"/>
      <c r="U687" s="154">
        <f t="shared" si="100"/>
        <v>0</v>
      </c>
      <c r="V687" s="156"/>
      <c r="W687" s="157"/>
      <c r="X687" s="157"/>
      <c r="Y687" s="158"/>
      <c r="Z687" s="162"/>
      <c r="AA687" s="159" t="s">
        <v>278</v>
      </c>
      <c r="AB687" s="160"/>
      <c r="AC687" s="158">
        <f t="shared" si="101"/>
        <v>0</v>
      </c>
    </row>
    <row r="688" spans="8:29" ht="12.5" hidden="1">
      <c r="H688" s="131"/>
      <c r="J688" s="149"/>
      <c r="K688" s="150">
        <f>MAX(K$422:K687)+1</f>
        <v>267</v>
      </c>
      <c r="L688" s="151">
        <f t="shared" si="103"/>
        <v>1</v>
      </c>
      <c r="M688" s="152"/>
      <c r="N688" s="153"/>
      <c r="O688" s="153"/>
      <c r="P688" s="153"/>
      <c r="Q688" s="153"/>
      <c r="R688" s="153"/>
      <c r="S688" s="154">
        <f t="shared" si="102"/>
        <v>0</v>
      </c>
      <c r="T688" s="155"/>
      <c r="U688" s="154">
        <f t="shared" si="100"/>
        <v>0</v>
      </c>
      <c r="V688" s="156"/>
      <c r="W688" s="157"/>
      <c r="X688" s="157"/>
      <c r="Y688" s="158"/>
      <c r="Z688" s="162"/>
      <c r="AA688" s="159" t="s">
        <v>278</v>
      </c>
      <c r="AB688" s="160"/>
      <c r="AC688" s="158">
        <f t="shared" si="101"/>
        <v>0</v>
      </c>
    </row>
    <row r="689" spans="8:29" ht="12.5" hidden="1">
      <c r="H689" s="131"/>
      <c r="J689" s="149"/>
      <c r="K689" s="150">
        <f>MAX(K$422:K688)+1</f>
        <v>268</v>
      </c>
      <c r="L689" s="151">
        <f t="shared" si="103"/>
        <v>1</v>
      </c>
      <c r="M689" s="152"/>
      <c r="N689" s="153"/>
      <c r="O689" s="153"/>
      <c r="P689" s="153"/>
      <c r="Q689" s="153"/>
      <c r="R689" s="153"/>
      <c r="S689" s="154">
        <f t="shared" si="102"/>
        <v>0</v>
      </c>
      <c r="T689" s="155"/>
      <c r="U689" s="154">
        <f t="shared" si="100"/>
        <v>0</v>
      </c>
      <c r="V689" s="156"/>
      <c r="W689" s="157"/>
      <c r="X689" s="157"/>
      <c r="Y689" s="158"/>
      <c r="Z689" s="162"/>
      <c r="AA689" s="159" t="s">
        <v>278</v>
      </c>
      <c r="AB689" s="160"/>
      <c r="AC689" s="158">
        <f t="shared" si="101"/>
        <v>0</v>
      </c>
    </row>
    <row r="690" spans="8:29" ht="12.5" hidden="1">
      <c r="H690" s="131"/>
      <c r="J690" s="149"/>
      <c r="K690" s="150">
        <f>MAX(K$422:K689)+1</f>
        <v>269</v>
      </c>
      <c r="L690" s="151">
        <f t="shared" si="103"/>
        <v>1</v>
      </c>
      <c r="M690" s="152"/>
      <c r="N690" s="153"/>
      <c r="O690" s="153"/>
      <c r="P690" s="153"/>
      <c r="Q690" s="153"/>
      <c r="R690" s="153"/>
      <c r="S690" s="154">
        <f t="shared" si="102"/>
        <v>0</v>
      </c>
      <c r="T690" s="155"/>
      <c r="U690" s="154">
        <f t="shared" si="100"/>
        <v>0</v>
      </c>
      <c r="V690" s="156"/>
      <c r="W690" s="157"/>
      <c r="X690" s="157"/>
      <c r="Y690" s="158"/>
      <c r="Z690" s="162"/>
      <c r="AA690" s="159" t="s">
        <v>278</v>
      </c>
      <c r="AB690" s="160"/>
      <c r="AC690" s="158">
        <f t="shared" si="101"/>
        <v>0</v>
      </c>
    </row>
    <row r="691" spans="8:29" ht="12.5" hidden="1">
      <c r="H691" s="131"/>
      <c r="J691" s="149"/>
      <c r="K691" s="150">
        <f>MAX(K$422:K690)+1</f>
        <v>270</v>
      </c>
      <c r="L691" s="151">
        <f t="shared" si="103"/>
        <v>1</v>
      </c>
      <c r="M691" s="152"/>
      <c r="N691" s="153"/>
      <c r="O691" s="153"/>
      <c r="P691" s="153"/>
      <c r="Q691" s="153"/>
      <c r="R691" s="153"/>
      <c r="S691" s="154">
        <f t="shared" si="102"/>
        <v>0</v>
      </c>
      <c r="T691" s="155"/>
      <c r="U691" s="154">
        <f t="shared" si="100"/>
        <v>0</v>
      </c>
      <c r="V691" s="156"/>
      <c r="W691" s="157"/>
      <c r="X691" s="157"/>
      <c r="Y691" s="158"/>
      <c r="Z691" s="162"/>
      <c r="AA691" s="159" t="s">
        <v>278</v>
      </c>
      <c r="AB691" s="160"/>
      <c r="AC691" s="158">
        <f t="shared" si="101"/>
        <v>0</v>
      </c>
    </row>
    <row r="692" spans="8:29" ht="12.5" hidden="1">
      <c r="H692" s="131"/>
      <c r="J692" s="149"/>
      <c r="K692" s="150">
        <f>MAX(K$422:K691)+1</f>
        <v>271</v>
      </c>
      <c r="L692" s="151">
        <f t="shared" si="103"/>
        <v>1</v>
      </c>
      <c r="M692" s="152"/>
      <c r="N692" s="153"/>
      <c r="O692" s="153"/>
      <c r="P692" s="153"/>
      <c r="Q692" s="153"/>
      <c r="R692" s="153"/>
      <c r="S692" s="154">
        <f t="shared" si="102"/>
        <v>0</v>
      </c>
      <c r="T692" s="155"/>
      <c r="U692" s="154">
        <f t="shared" si="100"/>
        <v>0</v>
      </c>
      <c r="V692" s="156"/>
      <c r="W692" s="157"/>
      <c r="X692" s="157"/>
      <c r="Y692" s="158"/>
      <c r="Z692" s="162"/>
      <c r="AA692" s="159" t="s">
        <v>278</v>
      </c>
      <c r="AB692" s="160"/>
      <c r="AC692" s="158">
        <f t="shared" si="101"/>
        <v>0</v>
      </c>
    </row>
    <row r="693" spans="8:29" ht="12.5" hidden="1">
      <c r="H693" s="131"/>
      <c r="J693" s="149"/>
      <c r="K693" s="150">
        <f>MAX(K$422:K692)+1</f>
        <v>272</v>
      </c>
      <c r="L693" s="151">
        <f t="shared" si="103"/>
        <v>1</v>
      </c>
      <c r="M693" s="152"/>
      <c r="N693" s="153"/>
      <c r="O693" s="153"/>
      <c r="P693" s="153"/>
      <c r="Q693" s="153"/>
      <c r="R693" s="153"/>
      <c r="S693" s="154">
        <f t="shared" si="102"/>
        <v>0</v>
      </c>
      <c r="T693" s="155"/>
      <c r="U693" s="154">
        <f t="shared" si="100"/>
        <v>0</v>
      </c>
      <c r="V693" s="156"/>
      <c r="W693" s="157"/>
      <c r="X693" s="157"/>
      <c r="Y693" s="158"/>
      <c r="Z693" s="162"/>
      <c r="AA693" s="159" t="s">
        <v>278</v>
      </c>
      <c r="AB693" s="160"/>
      <c r="AC693" s="158">
        <f t="shared" si="101"/>
        <v>0</v>
      </c>
    </row>
    <row r="694" spans="8:29" ht="12.5" hidden="1">
      <c r="H694" s="131"/>
      <c r="J694" s="149"/>
      <c r="K694" s="150">
        <f>MAX(K$422:K693)+1</f>
        <v>273</v>
      </c>
      <c r="L694" s="151">
        <f t="shared" si="103"/>
        <v>1</v>
      </c>
      <c r="M694" s="152"/>
      <c r="N694" s="153"/>
      <c r="O694" s="153"/>
      <c r="P694" s="153"/>
      <c r="Q694" s="153"/>
      <c r="R694" s="153"/>
      <c r="S694" s="154">
        <f t="shared" si="102"/>
        <v>0</v>
      </c>
      <c r="T694" s="155"/>
      <c r="U694" s="154">
        <f t="shared" si="100"/>
        <v>0</v>
      </c>
      <c r="V694" s="156"/>
      <c r="W694" s="157"/>
      <c r="X694" s="157"/>
      <c r="Y694" s="158"/>
      <c r="Z694" s="162"/>
      <c r="AA694" s="159" t="s">
        <v>278</v>
      </c>
      <c r="AB694" s="160"/>
      <c r="AC694" s="158">
        <f t="shared" si="101"/>
        <v>0</v>
      </c>
    </row>
    <row r="695" spans="8:29" ht="12.5" hidden="1">
      <c r="H695" s="131"/>
      <c r="J695" s="149"/>
      <c r="K695" s="150">
        <f>MAX(K$422:K694)+1</f>
        <v>274</v>
      </c>
      <c r="L695" s="151">
        <f t="shared" si="103"/>
        <v>1</v>
      </c>
      <c r="M695" s="152"/>
      <c r="N695" s="153"/>
      <c r="O695" s="153"/>
      <c r="P695" s="153"/>
      <c r="Q695" s="153"/>
      <c r="R695" s="153"/>
      <c r="S695" s="154">
        <f t="shared" si="102"/>
        <v>0</v>
      </c>
      <c r="T695" s="155"/>
      <c r="U695" s="154">
        <f t="shared" si="100"/>
        <v>0</v>
      </c>
      <c r="V695" s="156"/>
      <c r="W695" s="157"/>
      <c r="X695" s="157"/>
      <c r="Y695" s="158"/>
      <c r="Z695" s="162"/>
      <c r="AA695" s="159" t="s">
        <v>278</v>
      </c>
      <c r="AB695" s="160"/>
      <c r="AC695" s="158">
        <f t="shared" si="101"/>
        <v>0</v>
      </c>
    </row>
    <row r="696" spans="8:29" ht="12.5" hidden="1">
      <c r="H696" s="131"/>
      <c r="J696" s="149"/>
      <c r="K696" s="150">
        <f>MAX(K$422:K695)+1</f>
        <v>275</v>
      </c>
      <c r="L696" s="151">
        <f t="shared" si="103"/>
        <v>1</v>
      </c>
      <c r="M696" s="152"/>
      <c r="N696" s="153"/>
      <c r="O696" s="153"/>
      <c r="P696" s="153"/>
      <c r="Q696" s="153"/>
      <c r="R696" s="153"/>
      <c r="S696" s="154">
        <f t="shared" si="102"/>
        <v>0</v>
      </c>
      <c r="T696" s="155"/>
      <c r="U696" s="154">
        <f t="shared" si="100"/>
        <v>0</v>
      </c>
      <c r="V696" s="156"/>
      <c r="W696" s="157"/>
      <c r="X696" s="157"/>
      <c r="Y696" s="158"/>
      <c r="Z696" s="162"/>
      <c r="AA696" s="159" t="s">
        <v>278</v>
      </c>
      <c r="AB696" s="160"/>
      <c r="AC696" s="158">
        <f t="shared" si="101"/>
        <v>0</v>
      </c>
    </row>
    <row r="697" spans="8:29" ht="12.5" hidden="1">
      <c r="H697" s="131"/>
      <c r="J697" s="149"/>
      <c r="K697" s="150">
        <f>MAX(K$422:K696)+1</f>
        <v>276</v>
      </c>
      <c r="L697" s="151">
        <f t="shared" si="103"/>
        <v>1</v>
      </c>
      <c r="M697" s="152"/>
      <c r="N697" s="153"/>
      <c r="O697" s="153"/>
      <c r="P697" s="153"/>
      <c r="Q697" s="153"/>
      <c r="R697" s="153"/>
      <c r="S697" s="154">
        <f t="shared" si="102"/>
        <v>0</v>
      </c>
      <c r="T697" s="155"/>
      <c r="U697" s="154">
        <f t="shared" si="100"/>
        <v>0</v>
      </c>
      <c r="V697" s="156"/>
      <c r="W697" s="157"/>
      <c r="X697" s="157"/>
      <c r="Y697" s="158"/>
      <c r="Z697" s="162"/>
      <c r="AA697" s="159" t="s">
        <v>278</v>
      </c>
      <c r="AB697" s="160"/>
      <c r="AC697" s="158">
        <f t="shared" si="101"/>
        <v>0</v>
      </c>
    </row>
    <row r="698" spans="8:29" ht="12.5" hidden="1">
      <c r="H698" s="131"/>
      <c r="J698" s="149"/>
      <c r="K698" s="150">
        <f>MAX(K$422:K697)+1</f>
        <v>277</v>
      </c>
      <c r="L698" s="151">
        <f t="shared" si="103"/>
        <v>1</v>
      </c>
      <c r="M698" s="152"/>
      <c r="N698" s="153"/>
      <c r="O698" s="153"/>
      <c r="P698" s="153"/>
      <c r="Q698" s="153"/>
      <c r="R698" s="153"/>
      <c r="S698" s="154">
        <f t="shared" si="102"/>
        <v>0</v>
      </c>
      <c r="T698" s="155"/>
      <c r="U698" s="154">
        <f t="shared" si="100"/>
        <v>0</v>
      </c>
      <c r="V698" s="156"/>
      <c r="W698" s="157"/>
      <c r="X698" s="157"/>
      <c r="Y698" s="158"/>
      <c r="Z698" s="162"/>
      <c r="AA698" s="159" t="s">
        <v>278</v>
      </c>
      <c r="AB698" s="160"/>
      <c r="AC698" s="158">
        <f t="shared" si="101"/>
        <v>0</v>
      </c>
    </row>
    <row r="699" spans="8:29" ht="12.5" hidden="1">
      <c r="H699" s="131"/>
      <c r="J699" s="149"/>
      <c r="K699" s="150">
        <f>MAX(K$422:K698)+1</f>
        <v>278</v>
      </c>
      <c r="L699" s="151">
        <f t="shared" si="103"/>
        <v>1</v>
      </c>
      <c r="M699" s="152"/>
      <c r="N699" s="153"/>
      <c r="O699" s="153"/>
      <c r="P699" s="153"/>
      <c r="Q699" s="153"/>
      <c r="R699" s="153"/>
      <c r="S699" s="154">
        <f t="shared" si="102"/>
        <v>0</v>
      </c>
      <c r="T699" s="155"/>
      <c r="U699" s="154">
        <f t="shared" si="100"/>
        <v>0</v>
      </c>
      <c r="V699" s="156"/>
      <c r="W699" s="157"/>
      <c r="X699" s="157"/>
      <c r="Y699" s="158"/>
      <c r="Z699" s="162"/>
      <c r="AA699" s="159" t="s">
        <v>278</v>
      </c>
      <c r="AB699" s="160"/>
      <c r="AC699" s="158">
        <f t="shared" si="101"/>
        <v>0</v>
      </c>
    </row>
    <row r="700" spans="8:29" ht="12.5" hidden="1">
      <c r="H700" s="131"/>
      <c r="J700" s="149"/>
      <c r="K700" s="150">
        <f>MAX(K$422:K699)+1</f>
        <v>279</v>
      </c>
      <c r="L700" s="151">
        <f t="shared" si="103"/>
        <v>1</v>
      </c>
      <c r="M700" s="152"/>
      <c r="N700" s="153"/>
      <c r="O700" s="153"/>
      <c r="P700" s="153"/>
      <c r="Q700" s="153"/>
      <c r="R700" s="153"/>
      <c r="S700" s="154">
        <f t="shared" si="102"/>
        <v>0</v>
      </c>
      <c r="T700" s="155"/>
      <c r="U700" s="154">
        <f t="shared" si="100"/>
        <v>0</v>
      </c>
      <c r="V700" s="156"/>
      <c r="W700" s="157"/>
      <c r="X700" s="157"/>
      <c r="Y700" s="158"/>
      <c r="Z700" s="162"/>
      <c r="AA700" s="159" t="s">
        <v>278</v>
      </c>
      <c r="AB700" s="160"/>
      <c r="AC700" s="158">
        <f t="shared" si="101"/>
        <v>0</v>
      </c>
    </row>
    <row r="701" spans="8:29" ht="12.5" hidden="1">
      <c r="H701" s="131"/>
      <c r="J701" s="149"/>
      <c r="K701" s="150">
        <f>MAX(K$422:K700)+1</f>
        <v>280</v>
      </c>
      <c r="L701" s="151">
        <f t="shared" si="103"/>
        <v>1</v>
      </c>
      <c r="M701" s="152"/>
      <c r="N701" s="153"/>
      <c r="O701" s="153"/>
      <c r="P701" s="153"/>
      <c r="Q701" s="153"/>
      <c r="R701" s="153"/>
      <c r="S701" s="154">
        <f t="shared" si="102"/>
        <v>0</v>
      </c>
      <c r="T701" s="155"/>
      <c r="U701" s="154">
        <f t="shared" si="100"/>
        <v>0</v>
      </c>
      <c r="V701" s="156"/>
      <c r="W701" s="157"/>
      <c r="X701" s="157"/>
      <c r="Y701" s="158"/>
      <c r="Z701" s="162"/>
      <c r="AA701" s="159" t="s">
        <v>278</v>
      </c>
      <c r="AB701" s="160"/>
      <c r="AC701" s="158">
        <f t="shared" si="101"/>
        <v>0</v>
      </c>
    </row>
    <row r="702" spans="8:29" ht="12.5" hidden="1">
      <c r="H702" s="131"/>
      <c r="J702" s="149"/>
      <c r="K702" s="150">
        <f>MAX(K$422:K701)+1</f>
        <v>281</v>
      </c>
      <c r="L702" s="151">
        <f t="shared" si="103"/>
        <v>1</v>
      </c>
      <c r="M702" s="152"/>
      <c r="N702" s="153"/>
      <c r="O702" s="153"/>
      <c r="P702" s="153"/>
      <c r="Q702" s="153"/>
      <c r="R702" s="153"/>
      <c r="S702" s="154">
        <f t="shared" si="102"/>
        <v>0</v>
      </c>
      <c r="T702" s="155"/>
      <c r="U702" s="154">
        <f t="shared" si="100"/>
        <v>0</v>
      </c>
      <c r="V702" s="156"/>
      <c r="W702" s="157"/>
      <c r="X702" s="157"/>
      <c r="Y702" s="158"/>
      <c r="Z702" s="162"/>
      <c r="AA702" s="159" t="s">
        <v>278</v>
      </c>
      <c r="AB702" s="160"/>
      <c r="AC702" s="158">
        <f t="shared" si="101"/>
        <v>0</v>
      </c>
    </row>
    <row r="703" spans="8:29" ht="12.5" hidden="1">
      <c r="H703" s="131"/>
      <c r="J703" s="149"/>
      <c r="K703" s="150">
        <f>MAX(K$422:K702)+1</f>
        <v>282</v>
      </c>
      <c r="L703" s="151">
        <f t="shared" si="103"/>
        <v>1</v>
      </c>
      <c r="M703" s="152"/>
      <c r="N703" s="153"/>
      <c r="O703" s="153"/>
      <c r="P703" s="153"/>
      <c r="Q703" s="153"/>
      <c r="R703" s="153"/>
      <c r="S703" s="154">
        <f t="shared" si="102"/>
        <v>0</v>
      </c>
      <c r="T703" s="155"/>
      <c r="U703" s="154">
        <f t="shared" si="100"/>
        <v>0</v>
      </c>
      <c r="V703" s="156"/>
      <c r="W703" s="157"/>
      <c r="X703" s="157"/>
      <c r="Y703" s="158"/>
      <c r="Z703" s="162"/>
      <c r="AA703" s="159" t="s">
        <v>278</v>
      </c>
      <c r="AB703" s="160"/>
      <c r="AC703" s="158">
        <f t="shared" si="101"/>
        <v>0</v>
      </c>
    </row>
    <row r="704" spans="8:29" ht="12.5" hidden="1">
      <c r="H704" s="131"/>
      <c r="J704" s="149"/>
      <c r="K704" s="150">
        <f>MAX(K$422:K703)+1</f>
        <v>283</v>
      </c>
      <c r="L704" s="151">
        <f t="shared" si="103"/>
        <v>1</v>
      </c>
      <c r="M704" s="152"/>
      <c r="N704" s="153"/>
      <c r="O704" s="153"/>
      <c r="P704" s="153"/>
      <c r="Q704" s="153"/>
      <c r="R704" s="153"/>
      <c r="S704" s="154">
        <f t="shared" si="102"/>
        <v>0</v>
      </c>
      <c r="T704" s="155"/>
      <c r="U704" s="154">
        <f t="shared" ref="U704:U767" si="104">S704+T704</f>
        <v>0</v>
      </c>
      <c r="V704" s="156"/>
      <c r="W704" s="157"/>
      <c r="X704" s="157"/>
      <c r="Y704" s="158"/>
      <c r="Z704" s="162"/>
      <c r="AA704" s="159" t="s">
        <v>278</v>
      </c>
      <c r="AB704" s="160"/>
      <c r="AC704" s="158">
        <f t="shared" si="101"/>
        <v>0</v>
      </c>
    </row>
    <row r="705" spans="8:29" ht="12.5" hidden="1">
      <c r="H705" s="131"/>
      <c r="J705" s="149"/>
      <c r="K705" s="150">
        <f>MAX(K$422:K704)+1</f>
        <v>284</v>
      </c>
      <c r="L705" s="151">
        <f t="shared" si="103"/>
        <v>1</v>
      </c>
      <c r="M705" s="152"/>
      <c r="N705" s="153"/>
      <c r="O705" s="153"/>
      <c r="P705" s="153"/>
      <c r="Q705" s="153"/>
      <c r="R705" s="153"/>
      <c r="S705" s="154">
        <f t="shared" si="102"/>
        <v>0</v>
      </c>
      <c r="T705" s="155"/>
      <c r="U705" s="154">
        <f t="shared" si="104"/>
        <v>0</v>
      </c>
      <c r="V705" s="156"/>
      <c r="W705" s="157"/>
      <c r="X705" s="157"/>
      <c r="Y705" s="158"/>
      <c r="Z705" s="162"/>
      <c r="AA705" s="159" t="s">
        <v>278</v>
      </c>
      <c r="AB705" s="160"/>
      <c r="AC705" s="158">
        <f t="shared" si="101"/>
        <v>0</v>
      </c>
    </row>
    <row r="706" spans="8:29" ht="12.5" hidden="1">
      <c r="H706" s="131"/>
      <c r="J706" s="149"/>
      <c r="K706" s="150">
        <f>MAX(K$422:K705)+1</f>
        <v>285</v>
      </c>
      <c r="L706" s="151">
        <f t="shared" si="103"/>
        <v>1</v>
      </c>
      <c r="M706" s="152"/>
      <c r="N706" s="153"/>
      <c r="O706" s="153"/>
      <c r="P706" s="153"/>
      <c r="Q706" s="153"/>
      <c r="R706" s="153"/>
      <c r="S706" s="154">
        <f t="shared" si="102"/>
        <v>0</v>
      </c>
      <c r="T706" s="155"/>
      <c r="U706" s="154">
        <f t="shared" si="104"/>
        <v>0</v>
      </c>
      <c r="V706" s="156"/>
      <c r="W706" s="157"/>
      <c r="X706" s="157"/>
      <c r="Y706" s="158"/>
      <c r="Z706" s="162"/>
      <c r="AA706" s="159" t="s">
        <v>278</v>
      </c>
      <c r="AB706" s="160"/>
      <c r="AC706" s="158">
        <f t="shared" si="101"/>
        <v>0</v>
      </c>
    </row>
    <row r="707" spans="8:29" ht="12.5" hidden="1">
      <c r="H707" s="131"/>
      <c r="J707" s="149"/>
      <c r="K707" s="150">
        <f>MAX(K$422:K706)+1</f>
        <v>286</v>
      </c>
      <c r="L707" s="151">
        <f t="shared" si="103"/>
        <v>1</v>
      </c>
      <c r="M707" s="152"/>
      <c r="N707" s="153"/>
      <c r="O707" s="153"/>
      <c r="P707" s="153"/>
      <c r="Q707" s="153"/>
      <c r="R707" s="153"/>
      <c r="S707" s="154">
        <f t="shared" si="102"/>
        <v>0</v>
      </c>
      <c r="T707" s="155"/>
      <c r="U707" s="154">
        <f t="shared" si="104"/>
        <v>0</v>
      </c>
      <c r="V707" s="156"/>
      <c r="W707" s="157"/>
      <c r="X707" s="157"/>
      <c r="Y707" s="158"/>
      <c r="Z707" s="162"/>
      <c r="AA707" s="159" t="s">
        <v>278</v>
      </c>
      <c r="AB707" s="160"/>
      <c r="AC707" s="158">
        <f t="shared" si="101"/>
        <v>0</v>
      </c>
    </row>
    <row r="708" spans="8:29" ht="12.5" hidden="1">
      <c r="H708" s="131"/>
      <c r="J708" s="149"/>
      <c r="K708" s="150">
        <f>MAX(K$422:K707)+1</f>
        <v>287</v>
      </c>
      <c r="L708" s="151">
        <f t="shared" si="103"/>
        <v>1</v>
      </c>
      <c r="M708" s="152"/>
      <c r="N708" s="153"/>
      <c r="O708" s="153"/>
      <c r="P708" s="153"/>
      <c r="Q708" s="153"/>
      <c r="R708" s="153"/>
      <c r="S708" s="154">
        <f t="shared" si="102"/>
        <v>0</v>
      </c>
      <c r="T708" s="155"/>
      <c r="U708" s="154">
        <f t="shared" si="104"/>
        <v>0</v>
      </c>
      <c r="V708" s="156"/>
      <c r="W708" s="157"/>
      <c r="X708" s="157"/>
      <c r="Y708" s="158"/>
      <c r="Z708" s="162"/>
      <c r="AA708" s="159" t="s">
        <v>278</v>
      </c>
      <c r="AB708" s="160"/>
      <c r="AC708" s="158">
        <f t="shared" si="101"/>
        <v>0</v>
      </c>
    </row>
    <row r="709" spans="8:29" ht="12.5" hidden="1">
      <c r="H709" s="131"/>
      <c r="J709" s="149"/>
      <c r="K709" s="150">
        <f>MAX(K$422:K708)+1</f>
        <v>288</v>
      </c>
      <c r="L709" s="151">
        <f t="shared" si="103"/>
        <v>1</v>
      </c>
      <c r="M709" s="152"/>
      <c r="N709" s="153"/>
      <c r="O709" s="153"/>
      <c r="P709" s="153"/>
      <c r="Q709" s="153"/>
      <c r="R709" s="153"/>
      <c r="S709" s="154">
        <f t="shared" si="102"/>
        <v>0</v>
      </c>
      <c r="T709" s="155"/>
      <c r="U709" s="154">
        <f t="shared" si="104"/>
        <v>0</v>
      </c>
      <c r="V709" s="156"/>
      <c r="W709" s="157"/>
      <c r="X709" s="157"/>
      <c r="Y709" s="158"/>
      <c r="Z709" s="162"/>
      <c r="AA709" s="159" t="s">
        <v>278</v>
      </c>
      <c r="AB709" s="160"/>
      <c r="AC709" s="158">
        <f t="shared" si="101"/>
        <v>0</v>
      </c>
    </row>
    <row r="710" spans="8:29" ht="12.5" hidden="1">
      <c r="H710" s="131"/>
      <c r="J710" s="149"/>
      <c r="K710" s="150">
        <f>MAX(K$422:K709)+1</f>
        <v>289</v>
      </c>
      <c r="L710" s="151">
        <f t="shared" si="103"/>
        <v>1</v>
      </c>
      <c r="M710" s="152"/>
      <c r="N710" s="153"/>
      <c r="O710" s="153"/>
      <c r="P710" s="153"/>
      <c r="Q710" s="153"/>
      <c r="R710" s="153"/>
      <c r="S710" s="154">
        <f t="shared" si="102"/>
        <v>0</v>
      </c>
      <c r="T710" s="155"/>
      <c r="U710" s="154">
        <f t="shared" si="104"/>
        <v>0</v>
      </c>
      <c r="V710" s="156"/>
      <c r="W710" s="157"/>
      <c r="X710" s="157"/>
      <c r="Y710" s="158"/>
      <c r="Z710" s="162"/>
      <c r="AA710" s="159" t="s">
        <v>278</v>
      </c>
      <c r="AB710" s="160"/>
      <c r="AC710" s="158">
        <f t="shared" si="101"/>
        <v>0</v>
      </c>
    </row>
    <row r="711" spans="8:29" ht="12.5" hidden="1">
      <c r="H711" s="131"/>
      <c r="J711" s="149"/>
      <c r="K711" s="150">
        <f>MAX(K$422:K710)+1</f>
        <v>290</v>
      </c>
      <c r="L711" s="151">
        <f t="shared" si="103"/>
        <v>1</v>
      </c>
      <c r="M711" s="152"/>
      <c r="N711" s="153"/>
      <c r="O711" s="153"/>
      <c r="P711" s="153"/>
      <c r="Q711" s="153"/>
      <c r="R711" s="153"/>
      <c r="S711" s="154">
        <f t="shared" si="102"/>
        <v>0</v>
      </c>
      <c r="T711" s="155"/>
      <c r="U711" s="154">
        <f t="shared" si="104"/>
        <v>0</v>
      </c>
      <c r="V711" s="156"/>
      <c r="W711" s="157"/>
      <c r="X711" s="157"/>
      <c r="Y711" s="158"/>
      <c r="Z711" s="162"/>
      <c r="AA711" s="159" t="s">
        <v>278</v>
      </c>
      <c r="AB711" s="160"/>
      <c r="AC711" s="158">
        <f t="shared" si="101"/>
        <v>0</v>
      </c>
    </row>
    <row r="712" spans="8:29" ht="12.5" hidden="1">
      <c r="H712" s="131"/>
      <c r="J712" s="149"/>
      <c r="K712" s="150">
        <f>MAX(K$422:K711)+1</f>
        <v>291</v>
      </c>
      <c r="L712" s="151">
        <f t="shared" si="103"/>
        <v>1</v>
      </c>
      <c r="M712" s="152"/>
      <c r="N712" s="153"/>
      <c r="O712" s="153"/>
      <c r="P712" s="153"/>
      <c r="Q712" s="153"/>
      <c r="R712" s="153"/>
      <c r="S712" s="154">
        <f t="shared" si="102"/>
        <v>0</v>
      </c>
      <c r="T712" s="155"/>
      <c r="U712" s="154">
        <f t="shared" si="104"/>
        <v>0</v>
      </c>
      <c r="V712" s="156"/>
      <c r="W712" s="157"/>
      <c r="X712" s="157"/>
      <c r="Y712" s="158"/>
      <c r="Z712" s="162"/>
      <c r="AA712" s="159" t="s">
        <v>278</v>
      </c>
      <c r="AB712" s="160"/>
      <c r="AC712" s="158">
        <f t="shared" si="101"/>
        <v>0</v>
      </c>
    </row>
    <row r="713" spans="8:29" ht="12.5" hidden="1">
      <c r="H713" s="131"/>
      <c r="J713" s="149"/>
      <c r="K713" s="150">
        <f>MAX(K$422:K712)+1</f>
        <v>292</v>
      </c>
      <c r="L713" s="151">
        <f t="shared" si="103"/>
        <v>1</v>
      </c>
      <c r="M713" s="152"/>
      <c r="N713" s="153"/>
      <c r="O713" s="153"/>
      <c r="P713" s="153"/>
      <c r="Q713" s="153"/>
      <c r="R713" s="153"/>
      <c r="S713" s="154">
        <f t="shared" si="102"/>
        <v>0</v>
      </c>
      <c r="T713" s="155"/>
      <c r="U713" s="154">
        <f t="shared" si="104"/>
        <v>0</v>
      </c>
      <c r="V713" s="156"/>
      <c r="W713" s="157"/>
      <c r="X713" s="157"/>
      <c r="Y713" s="158"/>
      <c r="Z713" s="162"/>
      <c r="AA713" s="159" t="s">
        <v>278</v>
      </c>
      <c r="AB713" s="160"/>
      <c r="AC713" s="158">
        <f t="shared" si="101"/>
        <v>0</v>
      </c>
    </row>
    <row r="714" spans="8:29" ht="12.5" hidden="1">
      <c r="H714" s="131"/>
      <c r="J714" s="149"/>
      <c r="K714" s="150">
        <f>MAX(K$422:K713)+1</f>
        <v>293</v>
      </c>
      <c r="L714" s="151">
        <f t="shared" si="103"/>
        <v>1</v>
      </c>
      <c r="M714" s="152"/>
      <c r="N714" s="153"/>
      <c r="O714" s="153"/>
      <c r="P714" s="153"/>
      <c r="Q714" s="153"/>
      <c r="R714" s="153"/>
      <c r="S714" s="154">
        <f t="shared" si="102"/>
        <v>0</v>
      </c>
      <c r="T714" s="155"/>
      <c r="U714" s="154">
        <f t="shared" si="104"/>
        <v>0</v>
      </c>
      <c r="V714" s="156"/>
      <c r="W714" s="157"/>
      <c r="X714" s="157"/>
      <c r="Y714" s="158"/>
      <c r="Z714" s="162"/>
      <c r="AA714" s="159" t="s">
        <v>278</v>
      </c>
      <c r="AB714" s="160"/>
      <c r="AC714" s="158">
        <f t="shared" si="101"/>
        <v>0</v>
      </c>
    </row>
    <row r="715" spans="8:29" ht="12.5" hidden="1">
      <c r="H715" s="131"/>
      <c r="J715" s="149"/>
      <c r="K715" s="150">
        <f>MAX(K$422:K714)+1</f>
        <v>294</v>
      </c>
      <c r="L715" s="151">
        <f t="shared" si="103"/>
        <v>1</v>
      </c>
      <c r="M715" s="152"/>
      <c r="N715" s="153"/>
      <c r="O715" s="153"/>
      <c r="P715" s="153"/>
      <c r="Q715" s="153"/>
      <c r="R715" s="153"/>
      <c r="S715" s="154">
        <f t="shared" si="102"/>
        <v>0</v>
      </c>
      <c r="T715" s="155"/>
      <c r="U715" s="154">
        <f t="shared" si="104"/>
        <v>0</v>
      </c>
      <c r="V715" s="156"/>
      <c r="W715" s="157"/>
      <c r="X715" s="157"/>
      <c r="Y715" s="158"/>
      <c r="Z715" s="162"/>
      <c r="AA715" s="159" t="s">
        <v>278</v>
      </c>
      <c r="AB715" s="160"/>
      <c r="AC715" s="158">
        <f t="shared" si="101"/>
        <v>0</v>
      </c>
    </row>
    <row r="716" spans="8:29" ht="12.5" hidden="1">
      <c r="H716" s="131"/>
      <c r="J716" s="149"/>
      <c r="K716" s="150">
        <f>MAX(K$422:K715)+1</f>
        <v>295</v>
      </c>
      <c r="L716" s="151">
        <f t="shared" si="103"/>
        <v>1</v>
      </c>
      <c r="M716" s="152"/>
      <c r="N716" s="153"/>
      <c r="O716" s="153"/>
      <c r="P716" s="153"/>
      <c r="Q716" s="153"/>
      <c r="R716" s="153"/>
      <c r="S716" s="154">
        <f t="shared" si="102"/>
        <v>0</v>
      </c>
      <c r="T716" s="155"/>
      <c r="U716" s="154">
        <f t="shared" si="104"/>
        <v>0</v>
      </c>
      <c r="V716" s="156"/>
      <c r="W716" s="157"/>
      <c r="X716" s="157"/>
      <c r="Y716" s="158"/>
      <c r="Z716" s="162"/>
      <c r="AA716" s="159" t="s">
        <v>278</v>
      </c>
      <c r="AB716" s="160"/>
      <c r="AC716" s="158">
        <f t="shared" si="101"/>
        <v>0</v>
      </c>
    </row>
    <row r="717" spans="8:29" ht="12.5" hidden="1">
      <c r="H717" s="131"/>
      <c r="J717" s="149"/>
      <c r="K717" s="150">
        <f>MAX(K$422:K716)+1</f>
        <v>296</v>
      </c>
      <c r="L717" s="151">
        <f t="shared" si="103"/>
        <v>1</v>
      </c>
      <c r="M717" s="152"/>
      <c r="N717" s="153"/>
      <c r="O717" s="153"/>
      <c r="P717" s="153"/>
      <c r="Q717" s="153"/>
      <c r="R717" s="153"/>
      <c r="S717" s="154">
        <f t="shared" si="102"/>
        <v>0</v>
      </c>
      <c r="T717" s="155"/>
      <c r="U717" s="154">
        <f t="shared" si="104"/>
        <v>0</v>
      </c>
      <c r="V717" s="156"/>
      <c r="W717" s="157"/>
      <c r="X717" s="157"/>
      <c r="Y717" s="158"/>
      <c r="Z717" s="162"/>
      <c r="AA717" s="159" t="s">
        <v>278</v>
      </c>
      <c r="AB717" s="160"/>
      <c r="AC717" s="158">
        <f t="shared" si="101"/>
        <v>0</v>
      </c>
    </row>
    <row r="718" spans="8:29" ht="12.5" hidden="1">
      <c r="H718" s="131"/>
      <c r="J718" s="149"/>
      <c r="K718" s="150">
        <f>MAX(K$422:K717)+1</f>
        <v>297</v>
      </c>
      <c r="L718" s="151">
        <f t="shared" si="103"/>
        <v>1</v>
      </c>
      <c r="M718" s="152"/>
      <c r="N718" s="153"/>
      <c r="O718" s="153"/>
      <c r="P718" s="153"/>
      <c r="Q718" s="153"/>
      <c r="R718" s="153"/>
      <c r="S718" s="154">
        <f t="shared" si="102"/>
        <v>0</v>
      </c>
      <c r="T718" s="155"/>
      <c r="U718" s="154">
        <f t="shared" si="104"/>
        <v>0</v>
      </c>
      <c r="V718" s="156"/>
      <c r="W718" s="157"/>
      <c r="X718" s="157"/>
      <c r="Y718" s="158"/>
      <c r="Z718" s="162"/>
      <c r="AA718" s="159" t="s">
        <v>278</v>
      </c>
      <c r="AB718" s="160"/>
      <c r="AC718" s="158">
        <f t="shared" si="101"/>
        <v>0</v>
      </c>
    </row>
    <row r="719" spans="8:29" ht="12.5" hidden="1">
      <c r="H719" s="131"/>
      <c r="J719" s="149"/>
      <c r="K719" s="150">
        <f>MAX(K$422:K718)+1</f>
        <v>298</v>
      </c>
      <c r="L719" s="151">
        <f t="shared" si="103"/>
        <v>1</v>
      </c>
      <c r="M719" s="152"/>
      <c r="N719" s="153"/>
      <c r="O719" s="153"/>
      <c r="P719" s="153"/>
      <c r="Q719" s="153"/>
      <c r="R719" s="153"/>
      <c r="S719" s="154">
        <f t="shared" si="102"/>
        <v>0</v>
      </c>
      <c r="T719" s="155"/>
      <c r="U719" s="154">
        <f t="shared" si="104"/>
        <v>0</v>
      </c>
      <c r="V719" s="156"/>
      <c r="W719" s="157"/>
      <c r="X719" s="157"/>
      <c r="Y719" s="158"/>
      <c r="Z719" s="162"/>
      <c r="AA719" s="159" t="s">
        <v>278</v>
      </c>
      <c r="AB719" s="160"/>
      <c r="AC719" s="158">
        <f t="shared" si="101"/>
        <v>0</v>
      </c>
    </row>
    <row r="720" spans="8:29" ht="12.5" hidden="1">
      <c r="H720" s="131"/>
      <c r="J720" s="149"/>
      <c r="K720" s="150">
        <f>MAX(K$422:K719)+1</f>
        <v>299</v>
      </c>
      <c r="L720" s="151">
        <f t="shared" si="103"/>
        <v>1</v>
      </c>
      <c r="M720" s="152"/>
      <c r="N720" s="153"/>
      <c r="O720" s="153"/>
      <c r="P720" s="153"/>
      <c r="Q720" s="153"/>
      <c r="R720" s="153"/>
      <c r="S720" s="154">
        <f t="shared" si="102"/>
        <v>0</v>
      </c>
      <c r="T720" s="155"/>
      <c r="U720" s="154">
        <f t="shared" si="104"/>
        <v>0</v>
      </c>
      <c r="V720" s="156"/>
      <c r="W720" s="157"/>
      <c r="X720" s="157"/>
      <c r="Y720" s="158"/>
      <c r="Z720" s="162"/>
      <c r="AA720" s="159" t="s">
        <v>278</v>
      </c>
      <c r="AB720" s="160"/>
      <c r="AC720" s="158">
        <f t="shared" si="101"/>
        <v>0</v>
      </c>
    </row>
    <row r="721" spans="8:29" ht="12.5" hidden="1">
      <c r="H721" s="131"/>
      <c r="J721" s="149"/>
      <c r="K721" s="150">
        <f>MAX(K$422:K720)+1</f>
        <v>300</v>
      </c>
      <c r="L721" s="151">
        <f t="shared" si="103"/>
        <v>1</v>
      </c>
      <c r="M721" s="152"/>
      <c r="N721" s="153"/>
      <c r="O721" s="153"/>
      <c r="P721" s="153"/>
      <c r="Q721" s="153"/>
      <c r="R721" s="153"/>
      <c r="S721" s="154">
        <f t="shared" si="102"/>
        <v>0</v>
      </c>
      <c r="T721" s="155"/>
      <c r="U721" s="154">
        <f t="shared" si="104"/>
        <v>0</v>
      </c>
      <c r="V721" s="156"/>
      <c r="W721" s="157"/>
      <c r="X721" s="157"/>
      <c r="Y721" s="158"/>
      <c r="Z721" s="162"/>
      <c r="AA721" s="159" t="s">
        <v>278</v>
      </c>
      <c r="AB721" s="160"/>
      <c r="AC721" s="158">
        <f t="shared" si="101"/>
        <v>0</v>
      </c>
    </row>
    <row r="722" spans="8:29" ht="12.5" hidden="1">
      <c r="H722" s="131"/>
      <c r="J722" s="149"/>
      <c r="K722" s="150">
        <f>MAX(K$422:K721)+1</f>
        <v>301</v>
      </c>
      <c r="L722" s="151">
        <f t="shared" si="103"/>
        <v>1</v>
      </c>
      <c r="M722" s="152"/>
      <c r="N722" s="153"/>
      <c r="O722" s="153"/>
      <c r="P722" s="153"/>
      <c r="Q722" s="153"/>
      <c r="R722" s="153"/>
      <c r="S722" s="154">
        <f t="shared" si="102"/>
        <v>0</v>
      </c>
      <c r="T722" s="155"/>
      <c r="U722" s="154">
        <f t="shared" si="104"/>
        <v>0</v>
      </c>
      <c r="V722" s="156"/>
      <c r="W722" s="157"/>
      <c r="X722" s="157"/>
      <c r="Y722" s="158"/>
      <c r="Z722" s="162"/>
      <c r="AA722" s="159" t="s">
        <v>278</v>
      </c>
      <c r="AB722" s="160"/>
      <c r="AC722" s="158">
        <f t="shared" si="101"/>
        <v>0</v>
      </c>
    </row>
    <row r="723" spans="8:29" ht="12.5" hidden="1">
      <c r="H723" s="131"/>
      <c r="J723" s="149"/>
      <c r="K723" s="150">
        <f>MAX(K$422:K722)+1</f>
        <v>302</v>
      </c>
      <c r="L723" s="151">
        <f t="shared" si="103"/>
        <v>1</v>
      </c>
      <c r="M723" s="152"/>
      <c r="N723" s="153"/>
      <c r="O723" s="153"/>
      <c r="P723" s="153"/>
      <c r="Q723" s="153"/>
      <c r="R723" s="153"/>
      <c r="S723" s="154">
        <f t="shared" si="102"/>
        <v>0</v>
      </c>
      <c r="T723" s="155"/>
      <c r="U723" s="154">
        <f t="shared" si="104"/>
        <v>0</v>
      </c>
      <c r="V723" s="156"/>
      <c r="W723" s="157"/>
      <c r="X723" s="157"/>
      <c r="Y723" s="158"/>
      <c r="Z723" s="162"/>
      <c r="AA723" s="159" t="s">
        <v>278</v>
      </c>
      <c r="AB723" s="160"/>
      <c r="AC723" s="158">
        <f t="shared" si="101"/>
        <v>0</v>
      </c>
    </row>
    <row r="724" spans="8:29" ht="12.5" hidden="1">
      <c r="H724" s="131"/>
      <c r="J724" s="149"/>
      <c r="K724" s="150">
        <f>MAX(K$422:K723)+1</f>
        <v>303</v>
      </c>
      <c r="L724" s="151">
        <f t="shared" si="103"/>
        <v>1</v>
      </c>
      <c r="M724" s="152"/>
      <c r="N724" s="153"/>
      <c r="O724" s="153"/>
      <c r="P724" s="153"/>
      <c r="Q724" s="153"/>
      <c r="R724" s="153"/>
      <c r="S724" s="154">
        <f t="shared" si="102"/>
        <v>0</v>
      </c>
      <c r="T724" s="155"/>
      <c r="U724" s="154">
        <f t="shared" si="104"/>
        <v>0</v>
      </c>
      <c r="V724" s="156"/>
      <c r="W724" s="157"/>
      <c r="X724" s="157"/>
      <c r="Y724" s="158"/>
      <c r="Z724" s="162"/>
      <c r="AA724" s="159" t="s">
        <v>278</v>
      </c>
      <c r="AB724" s="160"/>
      <c r="AC724" s="158">
        <f t="shared" si="101"/>
        <v>0</v>
      </c>
    </row>
    <row r="725" spans="8:29" ht="12.5" hidden="1">
      <c r="H725" s="131"/>
      <c r="J725" s="149"/>
      <c r="K725" s="150">
        <f>MAX(K$422:K724)+1</f>
        <v>304</v>
      </c>
      <c r="L725" s="151">
        <f t="shared" si="103"/>
        <v>1</v>
      </c>
      <c r="M725" s="152"/>
      <c r="N725" s="153"/>
      <c r="O725" s="153"/>
      <c r="P725" s="153"/>
      <c r="Q725" s="153"/>
      <c r="R725" s="153"/>
      <c r="S725" s="154">
        <f t="shared" si="102"/>
        <v>0</v>
      </c>
      <c r="T725" s="155"/>
      <c r="U725" s="154">
        <f t="shared" si="104"/>
        <v>0</v>
      </c>
      <c r="V725" s="156"/>
      <c r="W725" s="157"/>
      <c r="X725" s="157"/>
      <c r="Y725" s="158"/>
      <c r="Z725" s="162"/>
      <c r="AA725" s="159" t="s">
        <v>278</v>
      </c>
      <c r="AB725" s="160"/>
      <c r="AC725" s="158">
        <f t="shared" si="101"/>
        <v>0</v>
      </c>
    </row>
    <row r="726" spans="8:29" ht="12.5" hidden="1">
      <c r="H726" s="131"/>
      <c r="J726" s="149"/>
      <c r="K726" s="150">
        <f>MAX(K$422:K725)+1</f>
        <v>305</v>
      </c>
      <c r="L726" s="151">
        <f t="shared" si="103"/>
        <v>1</v>
      </c>
      <c r="M726" s="152"/>
      <c r="N726" s="153"/>
      <c r="O726" s="153"/>
      <c r="P726" s="153"/>
      <c r="Q726" s="153"/>
      <c r="R726" s="153"/>
      <c r="S726" s="154">
        <f t="shared" si="102"/>
        <v>0</v>
      </c>
      <c r="T726" s="155"/>
      <c r="U726" s="154">
        <f t="shared" si="104"/>
        <v>0</v>
      </c>
      <c r="V726" s="156"/>
      <c r="W726" s="157"/>
      <c r="X726" s="157"/>
      <c r="Y726" s="158"/>
      <c r="Z726" s="162"/>
      <c r="AA726" s="159" t="s">
        <v>278</v>
      </c>
      <c r="AB726" s="160"/>
      <c r="AC726" s="158">
        <f t="shared" si="101"/>
        <v>0</v>
      </c>
    </row>
    <row r="727" spans="8:29" ht="12.5" hidden="1">
      <c r="H727" s="131"/>
      <c r="J727" s="149"/>
      <c r="K727" s="150">
        <f>MAX(K$422:K726)+1</f>
        <v>306</v>
      </c>
      <c r="L727" s="151">
        <f t="shared" si="103"/>
        <v>1</v>
      </c>
      <c r="M727" s="152"/>
      <c r="N727" s="153"/>
      <c r="O727" s="153"/>
      <c r="P727" s="153"/>
      <c r="Q727" s="153"/>
      <c r="R727" s="153"/>
      <c r="S727" s="154">
        <f t="shared" si="102"/>
        <v>0</v>
      </c>
      <c r="T727" s="155"/>
      <c r="U727" s="154">
        <f t="shared" si="104"/>
        <v>0</v>
      </c>
      <c r="V727" s="156"/>
      <c r="W727" s="157"/>
      <c r="X727" s="157"/>
      <c r="Y727" s="158"/>
      <c r="Z727" s="162"/>
      <c r="AA727" s="159" t="s">
        <v>278</v>
      </c>
      <c r="AB727" s="160"/>
      <c r="AC727" s="158">
        <f t="shared" si="101"/>
        <v>0</v>
      </c>
    </row>
    <row r="728" spans="8:29" ht="12.5" hidden="1">
      <c r="H728" s="131"/>
      <c r="J728" s="149"/>
      <c r="K728" s="150">
        <f>MAX(K$422:K727)+1</f>
        <v>307</v>
      </c>
      <c r="L728" s="151">
        <f t="shared" si="103"/>
        <v>1</v>
      </c>
      <c r="M728" s="152"/>
      <c r="N728" s="153"/>
      <c r="O728" s="153"/>
      <c r="P728" s="153"/>
      <c r="Q728" s="153"/>
      <c r="R728" s="153"/>
      <c r="S728" s="154">
        <f t="shared" si="102"/>
        <v>0</v>
      </c>
      <c r="T728" s="155"/>
      <c r="U728" s="154">
        <f t="shared" si="104"/>
        <v>0</v>
      </c>
      <c r="V728" s="156"/>
      <c r="W728" s="157"/>
      <c r="X728" s="157"/>
      <c r="Y728" s="158"/>
      <c r="Z728" s="162"/>
      <c r="AA728" s="159" t="s">
        <v>278</v>
      </c>
      <c r="AB728" s="160"/>
      <c r="AC728" s="158">
        <f t="shared" si="101"/>
        <v>0</v>
      </c>
    </row>
    <row r="729" spans="8:29" ht="12.5" hidden="1">
      <c r="H729" s="131"/>
      <c r="J729" s="149"/>
      <c r="K729" s="150">
        <f>MAX(K$422:K728)+1</f>
        <v>308</v>
      </c>
      <c r="L729" s="151">
        <f t="shared" si="103"/>
        <v>1</v>
      </c>
      <c r="M729" s="152"/>
      <c r="N729" s="153"/>
      <c r="O729" s="153"/>
      <c r="P729" s="153"/>
      <c r="Q729" s="153"/>
      <c r="R729" s="153"/>
      <c r="S729" s="154">
        <f t="shared" si="102"/>
        <v>0</v>
      </c>
      <c r="T729" s="155"/>
      <c r="U729" s="154">
        <f t="shared" si="104"/>
        <v>0</v>
      </c>
      <c r="V729" s="156"/>
      <c r="W729" s="157"/>
      <c r="X729" s="157"/>
      <c r="Y729" s="158"/>
      <c r="Z729" s="162"/>
      <c r="AA729" s="159" t="s">
        <v>278</v>
      </c>
      <c r="AB729" s="160"/>
      <c r="AC729" s="158">
        <f t="shared" si="101"/>
        <v>0</v>
      </c>
    </row>
    <row r="730" spans="8:29" ht="12.5" hidden="1">
      <c r="H730" s="131"/>
      <c r="J730" s="149"/>
      <c r="K730" s="150">
        <f>MAX(K$422:K729)+1</f>
        <v>309</v>
      </c>
      <c r="L730" s="151">
        <f t="shared" si="103"/>
        <v>1</v>
      </c>
      <c r="M730" s="152"/>
      <c r="N730" s="153"/>
      <c r="O730" s="153"/>
      <c r="P730" s="153"/>
      <c r="Q730" s="153"/>
      <c r="R730" s="153"/>
      <c r="S730" s="154">
        <f t="shared" si="102"/>
        <v>0</v>
      </c>
      <c r="T730" s="155"/>
      <c r="U730" s="154">
        <f t="shared" si="104"/>
        <v>0</v>
      </c>
      <c r="V730" s="156"/>
      <c r="W730" s="157"/>
      <c r="X730" s="157"/>
      <c r="Y730" s="158"/>
      <c r="Z730" s="162"/>
      <c r="AA730" s="159" t="s">
        <v>278</v>
      </c>
      <c r="AB730" s="160"/>
      <c r="AC730" s="158">
        <f t="shared" si="101"/>
        <v>0</v>
      </c>
    </row>
    <row r="731" spans="8:29" ht="12.5" hidden="1">
      <c r="H731" s="131"/>
      <c r="J731" s="149"/>
      <c r="K731" s="150">
        <f>MAX(K$422:K730)+1</f>
        <v>310</v>
      </c>
      <c r="L731" s="151">
        <f t="shared" si="103"/>
        <v>1</v>
      </c>
      <c r="M731" s="152"/>
      <c r="N731" s="153"/>
      <c r="O731" s="153"/>
      <c r="P731" s="153"/>
      <c r="Q731" s="153"/>
      <c r="R731" s="153"/>
      <c r="S731" s="154">
        <f t="shared" si="102"/>
        <v>0</v>
      </c>
      <c r="T731" s="155"/>
      <c r="U731" s="154">
        <f t="shared" si="104"/>
        <v>0</v>
      </c>
      <c r="V731" s="156"/>
      <c r="W731" s="157"/>
      <c r="X731" s="157"/>
      <c r="Y731" s="158"/>
      <c r="Z731" s="162"/>
      <c r="AA731" s="159" t="s">
        <v>278</v>
      </c>
      <c r="AB731" s="160"/>
      <c r="AC731" s="158">
        <f t="shared" si="101"/>
        <v>0</v>
      </c>
    </row>
    <row r="732" spans="8:29" ht="12.5" hidden="1">
      <c r="H732" s="131"/>
      <c r="J732" s="149"/>
      <c r="K732" s="150">
        <f>MAX(K$422:K731)+1</f>
        <v>311</v>
      </c>
      <c r="L732" s="151">
        <f t="shared" si="103"/>
        <v>1</v>
      </c>
      <c r="M732" s="152"/>
      <c r="N732" s="153"/>
      <c r="O732" s="153"/>
      <c r="P732" s="153"/>
      <c r="Q732" s="153"/>
      <c r="R732" s="153"/>
      <c r="S732" s="154">
        <f t="shared" si="102"/>
        <v>0</v>
      </c>
      <c r="T732" s="155"/>
      <c r="U732" s="154">
        <f t="shared" si="104"/>
        <v>0</v>
      </c>
      <c r="V732" s="156"/>
      <c r="W732" s="157"/>
      <c r="X732" s="157"/>
      <c r="Y732" s="158"/>
      <c r="Z732" s="162"/>
      <c r="AA732" s="159" t="s">
        <v>278</v>
      </c>
      <c r="AB732" s="160"/>
      <c r="AC732" s="158">
        <f t="shared" si="101"/>
        <v>0</v>
      </c>
    </row>
    <row r="733" spans="8:29" ht="12.5" hidden="1">
      <c r="H733" s="131"/>
      <c r="J733" s="149"/>
      <c r="K733" s="150">
        <f>MAX(K$422:K732)+1</f>
        <v>312</v>
      </c>
      <c r="L733" s="151">
        <f t="shared" si="103"/>
        <v>1</v>
      </c>
      <c r="M733" s="152"/>
      <c r="N733" s="153"/>
      <c r="O733" s="153"/>
      <c r="P733" s="153"/>
      <c r="Q733" s="153"/>
      <c r="R733" s="153"/>
      <c r="S733" s="154">
        <f t="shared" si="102"/>
        <v>0</v>
      </c>
      <c r="T733" s="155"/>
      <c r="U733" s="154">
        <f t="shared" si="104"/>
        <v>0</v>
      </c>
      <c r="V733" s="156"/>
      <c r="W733" s="157"/>
      <c r="X733" s="157"/>
      <c r="Y733" s="158"/>
      <c r="Z733" s="162"/>
      <c r="AA733" s="159" t="s">
        <v>278</v>
      </c>
      <c r="AB733" s="160"/>
      <c r="AC733" s="158">
        <f t="shared" si="101"/>
        <v>0</v>
      </c>
    </row>
    <row r="734" spans="8:29" ht="12.5" hidden="1">
      <c r="H734" s="131"/>
      <c r="J734" s="149"/>
      <c r="K734" s="150">
        <f>MAX(K$422:K733)+1</f>
        <v>313</v>
      </c>
      <c r="L734" s="151">
        <f t="shared" si="103"/>
        <v>1</v>
      </c>
      <c r="M734" s="152"/>
      <c r="N734" s="153"/>
      <c r="O734" s="153"/>
      <c r="P734" s="153"/>
      <c r="Q734" s="153"/>
      <c r="R734" s="153"/>
      <c r="S734" s="154">
        <f t="shared" si="102"/>
        <v>0</v>
      </c>
      <c r="T734" s="155"/>
      <c r="U734" s="154">
        <f t="shared" si="104"/>
        <v>0</v>
      </c>
      <c r="V734" s="156"/>
      <c r="W734" s="157"/>
      <c r="X734" s="157"/>
      <c r="Y734" s="158"/>
      <c r="Z734" s="162"/>
      <c r="AA734" s="159" t="s">
        <v>278</v>
      </c>
      <c r="AB734" s="160"/>
      <c r="AC734" s="158">
        <f t="shared" si="101"/>
        <v>0</v>
      </c>
    </row>
    <row r="735" spans="8:29" ht="12.5" hidden="1">
      <c r="H735" s="131"/>
      <c r="J735" s="149"/>
      <c r="K735" s="150">
        <f>MAX(K$422:K734)+1</f>
        <v>314</v>
      </c>
      <c r="L735" s="151">
        <f t="shared" si="103"/>
        <v>1</v>
      </c>
      <c r="M735" s="152"/>
      <c r="N735" s="153"/>
      <c r="O735" s="153"/>
      <c r="P735" s="153"/>
      <c r="Q735" s="153"/>
      <c r="R735" s="153"/>
      <c r="S735" s="154">
        <f t="shared" si="102"/>
        <v>0</v>
      </c>
      <c r="T735" s="155"/>
      <c r="U735" s="154">
        <f t="shared" si="104"/>
        <v>0</v>
      </c>
      <c r="V735" s="156"/>
      <c r="W735" s="157"/>
      <c r="X735" s="157"/>
      <c r="Y735" s="158"/>
      <c r="Z735" s="162"/>
      <c r="AA735" s="159" t="s">
        <v>278</v>
      </c>
      <c r="AB735" s="160"/>
      <c r="AC735" s="158">
        <f t="shared" si="101"/>
        <v>0</v>
      </c>
    </row>
    <row r="736" spans="8:29" ht="12.5" hidden="1">
      <c r="H736" s="131"/>
      <c r="J736" s="149"/>
      <c r="K736" s="150">
        <f>MAX(K$422:K735)+1</f>
        <v>315</v>
      </c>
      <c r="L736" s="151">
        <f t="shared" si="103"/>
        <v>1</v>
      </c>
      <c r="M736" s="152"/>
      <c r="N736" s="153"/>
      <c r="O736" s="153"/>
      <c r="P736" s="153"/>
      <c r="Q736" s="153"/>
      <c r="R736" s="153"/>
      <c r="S736" s="154">
        <f t="shared" si="102"/>
        <v>0</v>
      </c>
      <c r="T736" s="155"/>
      <c r="U736" s="154">
        <f t="shared" si="104"/>
        <v>0</v>
      </c>
      <c r="V736" s="156"/>
      <c r="W736" s="157"/>
      <c r="X736" s="157"/>
      <c r="Y736" s="158"/>
      <c r="Z736" s="162"/>
      <c r="AA736" s="159" t="s">
        <v>278</v>
      </c>
      <c r="AB736" s="160"/>
      <c r="AC736" s="158">
        <f t="shared" si="101"/>
        <v>0</v>
      </c>
    </row>
    <row r="737" spans="8:29" ht="12.5" hidden="1">
      <c r="H737" s="131"/>
      <c r="J737" s="149"/>
      <c r="K737" s="150">
        <f>MAX(K$422:K736)+1</f>
        <v>316</v>
      </c>
      <c r="L737" s="151">
        <f t="shared" si="103"/>
        <v>1</v>
      </c>
      <c r="M737" s="152"/>
      <c r="N737" s="153"/>
      <c r="O737" s="153"/>
      <c r="P737" s="153"/>
      <c r="Q737" s="153"/>
      <c r="R737" s="153"/>
      <c r="S737" s="154">
        <f t="shared" si="102"/>
        <v>0</v>
      </c>
      <c r="T737" s="155"/>
      <c r="U737" s="154">
        <f t="shared" si="104"/>
        <v>0</v>
      </c>
      <c r="V737" s="156"/>
      <c r="W737" s="157"/>
      <c r="X737" s="157"/>
      <c r="Y737" s="158"/>
      <c r="Z737" s="162"/>
      <c r="AA737" s="159" t="s">
        <v>278</v>
      </c>
      <c r="AB737" s="160"/>
      <c r="AC737" s="158">
        <f t="shared" si="101"/>
        <v>0</v>
      </c>
    </row>
    <row r="738" spans="8:29" ht="12.5" hidden="1">
      <c r="H738" s="131"/>
      <c r="J738" s="149"/>
      <c r="K738" s="150">
        <f>MAX(K$422:K737)+1</f>
        <v>317</v>
      </c>
      <c r="L738" s="151">
        <f t="shared" si="103"/>
        <v>1</v>
      </c>
      <c r="M738" s="152"/>
      <c r="N738" s="153"/>
      <c r="O738" s="153"/>
      <c r="P738" s="153"/>
      <c r="Q738" s="153"/>
      <c r="R738" s="153"/>
      <c r="S738" s="154">
        <f t="shared" si="102"/>
        <v>0</v>
      </c>
      <c r="T738" s="155"/>
      <c r="U738" s="154">
        <f t="shared" si="104"/>
        <v>0</v>
      </c>
      <c r="V738" s="156"/>
      <c r="W738" s="157"/>
      <c r="X738" s="157"/>
      <c r="Y738" s="158"/>
      <c r="Z738" s="162"/>
      <c r="AA738" s="159" t="s">
        <v>278</v>
      </c>
      <c r="AB738" s="160"/>
      <c r="AC738" s="158">
        <f t="shared" si="101"/>
        <v>0</v>
      </c>
    </row>
    <row r="739" spans="8:29" ht="12.5" hidden="1">
      <c r="H739" s="131"/>
      <c r="J739" s="149"/>
      <c r="K739" s="150">
        <f>MAX(K$422:K738)+1</f>
        <v>318</v>
      </c>
      <c r="L739" s="151">
        <f t="shared" si="103"/>
        <v>1</v>
      </c>
      <c r="M739" s="152"/>
      <c r="N739" s="153"/>
      <c r="O739" s="153"/>
      <c r="P739" s="153"/>
      <c r="Q739" s="153"/>
      <c r="R739" s="153"/>
      <c r="S739" s="154">
        <f t="shared" si="102"/>
        <v>0</v>
      </c>
      <c r="T739" s="155"/>
      <c r="U739" s="154">
        <f t="shared" si="104"/>
        <v>0</v>
      </c>
      <c r="V739" s="156"/>
      <c r="W739" s="157"/>
      <c r="X739" s="157"/>
      <c r="Y739" s="158"/>
      <c r="Z739" s="162"/>
      <c r="AA739" s="159" t="s">
        <v>278</v>
      </c>
      <c r="AB739" s="160"/>
      <c r="AC739" s="158">
        <f t="shared" si="101"/>
        <v>0</v>
      </c>
    </row>
    <row r="740" spans="8:29" ht="12.5" hidden="1">
      <c r="H740" s="131"/>
      <c r="J740" s="149"/>
      <c r="K740" s="150">
        <f>MAX(K$422:K739)+1</f>
        <v>319</v>
      </c>
      <c r="L740" s="151">
        <f t="shared" si="103"/>
        <v>1</v>
      </c>
      <c r="M740" s="152"/>
      <c r="N740" s="153"/>
      <c r="O740" s="153"/>
      <c r="P740" s="153"/>
      <c r="Q740" s="153"/>
      <c r="R740" s="153"/>
      <c r="S740" s="154">
        <f t="shared" si="102"/>
        <v>0</v>
      </c>
      <c r="T740" s="155"/>
      <c r="U740" s="154">
        <f t="shared" si="104"/>
        <v>0</v>
      </c>
      <c r="V740" s="156"/>
      <c r="W740" s="157"/>
      <c r="X740" s="157"/>
      <c r="Y740" s="158"/>
      <c r="Z740" s="162"/>
      <c r="AA740" s="159" t="s">
        <v>278</v>
      </c>
      <c r="AB740" s="160"/>
      <c r="AC740" s="158">
        <f t="shared" si="101"/>
        <v>0</v>
      </c>
    </row>
    <row r="741" spans="8:29" ht="12.5" hidden="1">
      <c r="H741" s="131"/>
      <c r="J741" s="149"/>
      <c r="K741" s="150">
        <f>MAX(K$422:K740)+1</f>
        <v>320</v>
      </c>
      <c r="L741" s="151">
        <f t="shared" si="103"/>
        <v>1</v>
      </c>
      <c r="M741" s="152"/>
      <c r="N741" s="153"/>
      <c r="O741" s="153"/>
      <c r="P741" s="153"/>
      <c r="Q741" s="153"/>
      <c r="R741" s="153"/>
      <c r="S741" s="154">
        <f t="shared" si="102"/>
        <v>0</v>
      </c>
      <c r="T741" s="155"/>
      <c r="U741" s="154">
        <f t="shared" si="104"/>
        <v>0</v>
      </c>
      <c r="V741" s="156"/>
      <c r="W741" s="157"/>
      <c r="X741" s="157"/>
      <c r="Y741" s="158"/>
      <c r="Z741" s="162"/>
      <c r="AA741" s="159" t="s">
        <v>278</v>
      </c>
      <c r="AB741" s="160"/>
      <c r="AC741" s="158">
        <f t="shared" si="101"/>
        <v>0</v>
      </c>
    </row>
    <row r="742" spans="8:29" ht="12.5" hidden="1">
      <c r="H742" s="131"/>
      <c r="J742" s="149"/>
      <c r="K742" s="150">
        <f>MAX(K$422:K741)+1</f>
        <v>321</v>
      </c>
      <c r="L742" s="151">
        <f t="shared" si="103"/>
        <v>1</v>
      </c>
      <c r="M742" s="152"/>
      <c r="N742" s="153"/>
      <c r="O742" s="153"/>
      <c r="P742" s="153"/>
      <c r="Q742" s="153"/>
      <c r="R742" s="153"/>
      <c r="S742" s="154">
        <f t="shared" si="102"/>
        <v>0</v>
      </c>
      <c r="T742" s="155"/>
      <c r="U742" s="154">
        <f t="shared" si="104"/>
        <v>0</v>
      </c>
      <c r="V742" s="156"/>
      <c r="W742" s="157"/>
      <c r="X742" s="157"/>
      <c r="Y742" s="158"/>
      <c r="Z742" s="162"/>
      <c r="AA742" s="159" t="s">
        <v>278</v>
      </c>
      <c r="AB742" s="160"/>
      <c r="AC742" s="158">
        <f t="shared" ref="AC742:AC805" si="105">INDEX(Y742:Z742,1,MATCH(_WellBasketSelection,$Y$421:$Z$421,0))*U742</f>
        <v>0</v>
      </c>
    </row>
    <row r="743" spans="8:29" ht="12.5" hidden="1">
      <c r="H743" s="131"/>
      <c r="J743" s="149"/>
      <c r="K743" s="150">
        <f>MAX(K$422:K742)+1</f>
        <v>322</v>
      </c>
      <c r="L743" s="151">
        <f t="shared" si="103"/>
        <v>1</v>
      </c>
      <c r="M743" s="152"/>
      <c r="N743" s="153"/>
      <c r="O743" s="153"/>
      <c r="P743" s="153"/>
      <c r="Q743" s="153"/>
      <c r="R743" s="153"/>
      <c r="S743" s="154">
        <f t="shared" ref="S743:S806" si="106">SUM(N743:R743)</f>
        <v>0</v>
      </c>
      <c r="T743" s="155"/>
      <c r="U743" s="154">
        <f t="shared" si="104"/>
        <v>0</v>
      </c>
      <c r="V743" s="156"/>
      <c r="W743" s="157"/>
      <c r="X743" s="157"/>
      <c r="Y743" s="158"/>
      <c r="Z743" s="162"/>
      <c r="AA743" s="159" t="s">
        <v>278</v>
      </c>
      <c r="AB743" s="160"/>
      <c r="AC743" s="158">
        <f t="shared" si="105"/>
        <v>0</v>
      </c>
    </row>
    <row r="744" spans="8:29" ht="12.5" hidden="1">
      <c r="H744" s="131"/>
      <c r="J744" s="149"/>
      <c r="K744" s="150">
        <f>MAX(K$422:K743)+1</f>
        <v>323</v>
      </c>
      <c r="L744" s="151">
        <f t="shared" si="103"/>
        <v>1</v>
      </c>
      <c r="M744" s="152"/>
      <c r="N744" s="153"/>
      <c r="O744" s="153"/>
      <c r="P744" s="153"/>
      <c r="Q744" s="153"/>
      <c r="R744" s="153"/>
      <c r="S744" s="154">
        <f t="shared" si="106"/>
        <v>0</v>
      </c>
      <c r="T744" s="155"/>
      <c r="U744" s="154">
        <f t="shared" si="104"/>
        <v>0</v>
      </c>
      <c r="V744" s="156"/>
      <c r="W744" s="157"/>
      <c r="X744" s="157"/>
      <c r="Y744" s="158"/>
      <c r="Z744" s="162"/>
      <c r="AA744" s="159" t="s">
        <v>278</v>
      </c>
      <c r="AB744" s="160"/>
      <c r="AC744" s="158">
        <f t="shared" si="105"/>
        <v>0</v>
      </c>
    </row>
    <row r="745" spans="8:29" ht="12.5" hidden="1">
      <c r="H745" s="131"/>
      <c r="J745" s="149"/>
      <c r="K745" s="150">
        <f>MAX(K$422:K744)+1</f>
        <v>324</v>
      </c>
      <c r="L745" s="151">
        <f t="shared" ref="L745:L808" si="107">IF(J744="",L744,L744+1)</f>
        <v>1</v>
      </c>
      <c r="M745" s="152"/>
      <c r="N745" s="153"/>
      <c r="O745" s="153"/>
      <c r="P745" s="153"/>
      <c r="Q745" s="153"/>
      <c r="R745" s="153"/>
      <c r="S745" s="154">
        <f t="shared" si="106"/>
        <v>0</v>
      </c>
      <c r="T745" s="155"/>
      <c r="U745" s="154">
        <f t="shared" si="104"/>
        <v>0</v>
      </c>
      <c r="V745" s="156"/>
      <c r="W745" s="157"/>
      <c r="X745" s="157"/>
      <c r="Y745" s="158"/>
      <c r="Z745" s="162"/>
      <c r="AA745" s="159" t="s">
        <v>278</v>
      </c>
      <c r="AB745" s="160"/>
      <c r="AC745" s="158">
        <f t="shared" si="105"/>
        <v>0</v>
      </c>
    </row>
    <row r="746" spans="8:29" ht="12.5" hidden="1">
      <c r="H746" s="131"/>
      <c r="J746" s="149"/>
      <c r="K746" s="150">
        <f>MAX(K$422:K745)+1</f>
        <v>325</v>
      </c>
      <c r="L746" s="151">
        <f t="shared" si="107"/>
        <v>1</v>
      </c>
      <c r="M746" s="152"/>
      <c r="N746" s="153"/>
      <c r="O746" s="153"/>
      <c r="P746" s="153"/>
      <c r="Q746" s="153"/>
      <c r="R746" s="153"/>
      <c r="S746" s="154">
        <f t="shared" si="106"/>
        <v>0</v>
      </c>
      <c r="T746" s="155"/>
      <c r="U746" s="154">
        <f t="shared" si="104"/>
        <v>0</v>
      </c>
      <c r="V746" s="156"/>
      <c r="W746" s="157"/>
      <c r="X746" s="157"/>
      <c r="Y746" s="158"/>
      <c r="Z746" s="162"/>
      <c r="AA746" s="159" t="s">
        <v>278</v>
      </c>
      <c r="AB746" s="160"/>
      <c r="AC746" s="158">
        <f t="shared" si="105"/>
        <v>0</v>
      </c>
    </row>
    <row r="747" spans="8:29" ht="12.5" hidden="1">
      <c r="H747" s="131"/>
      <c r="J747" s="149"/>
      <c r="K747" s="150">
        <f>MAX(K$422:K746)+1</f>
        <v>326</v>
      </c>
      <c r="L747" s="151">
        <f t="shared" si="107"/>
        <v>1</v>
      </c>
      <c r="M747" s="152"/>
      <c r="N747" s="153"/>
      <c r="O747" s="153"/>
      <c r="P747" s="153"/>
      <c r="Q747" s="153"/>
      <c r="R747" s="153"/>
      <c r="S747" s="154">
        <f t="shared" si="106"/>
        <v>0</v>
      </c>
      <c r="T747" s="155"/>
      <c r="U747" s="154">
        <f t="shared" si="104"/>
        <v>0</v>
      </c>
      <c r="V747" s="156"/>
      <c r="W747" s="157"/>
      <c r="X747" s="157"/>
      <c r="Y747" s="158"/>
      <c r="Z747" s="162"/>
      <c r="AA747" s="159" t="s">
        <v>278</v>
      </c>
      <c r="AB747" s="160"/>
      <c r="AC747" s="158">
        <f t="shared" si="105"/>
        <v>0</v>
      </c>
    </row>
    <row r="748" spans="8:29" ht="12.5" hidden="1">
      <c r="H748" s="131"/>
      <c r="J748" s="149"/>
      <c r="K748" s="150">
        <f>MAX(K$422:K747)+1</f>
        <v>327</v>
      </c>
      <c r="L748" s="151">
        <f t="shared" si="107"/>
        <v>1</v>
      </c>
      <c r="M748" s="152"/>
      <c r="N748" s="153"/>
      <c r="O748" s="153"/>
      <c r="P748" s="153"/>
      <c r="Q748" s="153"/>
      <c r="R748" s="153"/>
      <c r="S748" s="154">
        <f t="shared" si="106"/>
        <v>0</v>
      </c>
      <c r="T748" s="155"/>
      <c r="U748" s="154">
        <f t="shared" si="104"/>
        <v>0</v>
      </c>
      <c r="V748" s="156"/>
      <c r="W748" s="157"/>
      <c r="X748" s="157"/>
      <c r="Y748" s="158"/>
      <c r="Z748" s="162"/>
      <c r="AA748" s="159" t="s">
        <v>278</v>
      </c>
      <c r="AB748" s="160"/>
      <c r="AC748" s="158">
        <f t="shared" si="105"/>
        <v>0</v>
      </c>
    </row>
    <row r="749" spans="8:29" ht="12.5" hidden="1">
      <c r="H749" s="131"/>
      <c r="J749" s="149"/>
      <c r="K749" s="150">
        <f>MAX(K$422:K748)+1</f>
        <v>328</v>
      </c>
      <c r="L749" s="151">
        <f t="shared" si="107"/>
        <v>1</v>
      </c>
      <c r="M749" s="152"/>
      <c r="N749" s="153"/>
      <c r="O749" s="153"/>
      <c r="P749" s="153"/>
      <c r="Q749" s="153"/>
      <c r="R749" s="153"/>
      <c r="S749" s="154">
        <f t="shared" si="106"/>
        <v>0</v>
      </c>
      <c r="T749" s="155"/>
      <c r="U749" s="154">
        <f t="shared" si="104"/>
        <v>0</v>
      </c>
      <c r="V749" s="156"/>
      <c r="W749" s="157"/>
      <c r="X749" s="157"/>
      <c r="Y749" s="158"/>
      <c r="Z749" s="162"/>
      <c r="AA749" s="159" t="s">
        <v>278</v>
      </c>
      <c r="AB749" s="160"/>
      <c r="AC749" s="158">
        <f t="shared" si="105"/>
        <v>0</v>
      </c>
    </row>
    <row r="750" spans="8:29" ht="12.5" hidden="1">
      <c r="H750" s="131"/>
      <c r="J750" s="149"/>
      <c r="K750" s="150">
        <f>MAX(K$422:K749)+1</f>
        <v>329</v>
      </c>
      <c r="L750" s="151">
        <f t="shared" si="107"/>
        <v>1</v>
      </c>
      <c r="M750" s="152"/>
      <c r="N750" s="153"/>
      <c r="O750" s="153"/>
      <c r="P750" s="153"/>
      <c r="Q750" s="153"/>
      <c r="R750" s="153"/>
      <c r="S750" s="154">
        <f t="shared" si="106"/>
        <v>0</v>
      </c>
      <c r="T750" s="155"/>
      <c r="U750" s="154">
        <f t="shared" si="104"/>
        <v>0</v>
      </c>
      <c r="V750" s="156"/>
      <c r="W750" s="157"/>
      <c r="X750" s="157"/>
      <c r="Y750" s="158"/>
      <c r="Z750" s="162"/>
      <c r="AA750" s="159" t="s">
        <v>278</v>
      </c>
      <c r="AB750" s="160"/>
      <c r="AC750" s="158">
        <f t="shared" si="105"/>
        <v>0</v>
      </c>
    </row>
    <row r="751" spans="8:29" ht="12.5" hidden="1">
      <c r="H751" s="131"/>
      <c r="J751" s="149"/>
      <c r="K751" s="150">
        <f>MAX(K$422:K750)+1</f>
        <v>330</v>
      </c>
      <c r="L751" s="151">
        <f t="shared" si="107"/>
        <v>1</v>
      </c>
      <c r="M751" s="152"/>
      <c r="N751" s="153"/>
      <c r="O751" s="153"/>
      <c r="P751" s="153"/>
      <c r="Q751" s="153"/>
      <c r="R751" s="153"/>
      <c r="S751" s="154">
        <f t="shared" si="106"/>
        <v>0</v>
      </c>
      <c r="T751" s="155"/>
      <c r="U751" s="154">
        <f t="shared" si="104"/>
        <v>0</v>
      </c>
      <c r="V751" s="156"/>
      <c r="W751" s="157"/>
      <c r="X751" s="157"/>
      <c r="Y751" s="158"/>
      <c r="Z751" s="162"/>
      <c r="AA751" s="159" t="s">
        <v>278</v>
      </c>
      <c r="AB751" s="160"/>
      <c r="AC751" s="158">
        <f t="shared" si="105"/>
        <v>0</v>
      </c>
    </row>
    <row r="752" spans="8:29" ht="12.5" hidden="1">
      <c r="H752" s="131"/>
      <c r="J752" s="149"/>
      <c r="K752" s="150">
        <f>MAX(K$422:K751)+1</f>
        <v>331</v>
      </c>
      <c r="L752" s="151">
        <f t="shared" si="107"/>
        <v>1</v>
      </c>
      <c r="M752" s="152"/>
      <c r="N752" s="153"/>
      <c r="O752" s="153"/>
      <c r="P752" s="153"/>
      <c r="Q752" s="153"/>
      <c r="R752" s="153"/>
      <c r="S752" s="154">
        <f t="shared" si="106"/>
        <v>0</v>
      </c>
      <c r="T752" s="155"/>
      <c r="U752" s="154">
        <f t="shared" si="104"/>
        <v>0</v>
      </c>
      <c r="V752" s="156"/>
      <c r="W752" s="157"/>
      <c r="X752" s="157"/>
      <c r="Y752" s="158"/>
      <c r="Z752" s="162"/>
      <c r="AA752" s="159" t="s">
        <v>278</v>
      </c>
      <c r="AB752" s="160"/>
      <c r="AC752" s="158">
        <f t="shared" si="105"/>
        <v>0</v>
      </c>
    </row>
    <row r="753" spans="8:29" ht="12.5" hidden="1">
      <c r="H753" s="131"/>
      <c r="J753" s="149"/>
      <c r="K753" s="150">
        <f>MAX(K$422:K752)+1</f>
        <v>332</v>
      </c>
      <c r="L753" s="151">
        <f t="shared" si="107"/>
        <v>1</v>
      </c>
      <c r="M753" s="152"/>
      <c r="N753" s="153"/>
      <c r="O753" s="153"/>
      <c r="P753" s="153"/>
      <c r="Q753" s="153"/>
      <c r="R753" s="153"/>
      <c r="S753" s="154">
        <f t="shared" si="106"/>
        <v>0</v>
      </c>
      <c r="T753" s="155"/>
      <c r="U753" s="154">
        <f t="shared" si="104"/>
        <v>0</v>
      </c>
      <c r="V753" s="156"/>
      <c r="W753" s="157"/>
      <c r="X753" s="157"/>
      <c r="Y753" s="158"/>
      <c r="Z753" s="162"/>
      <c r="AA753" s="159" t="s">
        <v>278</v>
      </c>
      <c r="AB753" s="160"/>
      <c r="AC753" s="158">
        <f t="shared" si="105"/>
        <v>0</v>
      </c>
    </row>
    <row r="754" spans="8:29" ht="12.5" hidden="1">
      <c r="H754" s="131"/>
      <c r="J754" s="149"/>
      <c r="K754" s="150">
        <f>MAX(K$422:K753)+1</f>
        <v>333</v>
      </c>
      <c r="L754" s="151">
        <f t="shared" si="107"/>
        <v>1</v>
      </c>
      <c r="M754" s="152"/>
      <c r="N754" s="153"/>
      <c r="O754" s="153"/>
      <c r="P754" s="153"/>
      <c r="Q754" s="153"/>
      <c r="R754" s="153"/>
      <c r="S754" s="154">
        <f t="shared" si="106"/>
        <v>0</v>
      </c>
      <c r="T754" s="155"/>
      <c r="U754" s="154">
        <f t="shared" si="104"/>
        <v>0</v>
      </c>
      <c r="V754" s="156"/>
      <c r="W754" s="157"/>
      <c r="X754" s="157"/>
      <c r="Y754" s="158"/>
      <c r="Z754" s="162"/>
      <c r="AA754" s="159" t="s">
        <v>278</v>
      </c>
      <c r="AB754" s="160"/>
      <c r="AC754" s="158">
        <f t="shared" si="105"/>
        <v>0</v>
      </c>
    </row>
    <row r="755" spans="8:29" ht="12.5" hidden="1">
      <c r="H755" s="131"/>
      <c r="J755" s="149"/>
      <c r="K755" s="150">
        <f>MAX(K$422:K754)+1</f>
        <v>334</v>
      </c>
      <c r="L755" s="151">
        <f t="shared" si="107"/>
        <v>1</v>
      </c>
      <c r="M755" s="152"/>
      <c r="N755" s="153"/>
      <c r="O755" s="153"/>
      <c r="P755" s="153"/>
      <c r="Q755" s="153"/>
      <c r="R755" s="153"/>
      <c r="S755" s="154">
        <f t="shared" si="106"/>
        <v>0</v>
      </c>
      <c r="T755" s="155"/>
      <c r="U755" s="154">
        <f t="shared" si="104"/>
        <v>0</v>
      </c>
      <c r="V755" s="156"/>
      <c r="W755" s="157"/>
      <c r="X755" s="157"/>
      <c r="Y755" s="158"/>
      <c r="Z755" s="162"/>
      <c r="AA755" s="159" t="s">
        <v>278</v>
      </c>
      <c r="AB755" s="160"/>
      <c r="AC755" s="158">
        <f t="shared" si="105"/>
        <v>0</v>
      </c>
    </row>
    <row r="756" spans="8:29" ht="12.5" hidden="1">
      <c r="H756" s="131"/>
      <c r="J756" s="149"/>
      <c r="K756" s="150">
        <f>MAX(K$422:K755)+1</f>
        <v>335</v>
      </c>
      <c r="L756" s="151">
        <f t="shared" si="107"/>
        <v>1</v>
      </c>
      <c r="M756" s="152"/>
      <c r="N756" s="153"/>
      <c r="O756" s="153"/>
      <c r="P756" s="153"/>
      <c r="Q756" s="153"/>
      <c r="R756" s="153"/>
      <c r="S756" s="154">
        <f t="shared" si="106"/>
        <v>0</v>
      </c>
      <c r="T756" s="155"/>
      <c r="U756" s="154">
        <f t="shared" si="104"/>
        <v>0</v>
      </c>
      <c r="V756" s="156"/>
      <c r="W756" s="157"/>
      <c r="X756" s="157"/>
      <c r="Y756" s="158"/>
      <c r="Z756" s="162"/>
      <c r="AA756" s="159" t="s">
        <v>278</v>
      </c>
      <c r="AB756" s="160"/>
      <c r="AC756" s="158">
        <f t="shared" si="105"/>
        <v>0</v>
      </c>
    </row>
    <row r="757" spans="8:29" ht="12.5" hidden="1">
      <c r="H757" s="131"/>
      <c r="J757" s="149"/>
      <c r="K757" s="150">
        <f>MAX(K$422:K756)+1</f>
        <v>336</v>
      </c>
      <c r="L757" s="151">
        <f t="shared" si="107"/>
        <v>1</v>
      </c>
      <c r="M757" s="152"/>
      <c r="N757" s="153"/>
      <c r="O757" s="153"/>
      <c r="P757" s="153"/>
      <c r="Q757" s="153"/>
      <c r="R757" s="153"/>
      <c r="S757" s="154">
        <f t="shared" si="106"/>
        <v>0</v>
      </c>
      <c r="T757" s="155"/>
      <c r="U757" s="154">
        <f t="shared" si="104"/>
        <v>0</v>
      </c>
      <c r="V757" s="156"/>
      <c r="W757" s="157"/>
      <c r="X757" s="157"/>
      <c r="Y757" s="158"/>
      <c r="Z757" s="162"/>
      <c r="AA757" s="159" t="s">
        <v>278</v>
      </c>
      <c r="AB757" s="160"/>
      <c r="AC757" s="158">
        <f t="shared" si="105"/>
        <v>0</v>
      </c>
    </row>
    <row r="758" spans="8:29" ht="12.5" hidden="1">
      <c r="H758" s="131"/>
      <c r="J758" s="149"/>
      <c r="K758" s="150">
        <f>MAX(K$422:K757)+1</f>
        <v>337</v>
      </c>
      <c r="L758" s="151">
        <f t="shared" si="107"/>
        <v>1</v>
      </c>
      <c r="M758" s="152"/>
      <c r="N758" s="153"/>
      <c r="O758" s="153"/>
      <c r="P758" s="153"/>
      <c r="Q758" s="153"/>
      <c r="R758" s="153"/>
      <c r="S758" s="154">
        <f t="shared" si="106"/>
        <v>0</v>
      </c>
      <c r="T758" s="155"/>
      <c r="U758" s="154">
        <f t="shared" si="104"/>
        <v>0</v>
      </c>
      <c r="V758" s="156"/>
      <c r="W758" s="157"/>
      <c r="X758" s="157"/>
      <c r="Y758" s="158"/>
      <c r="Z758" s="162"/>
      <c r="AA758" s="159" t="s">
        <v>278</v>
      </c>
      <c r="AB758" s="160"/>
      <c r="AC758" s="158">
        <f t="shared" si="105"/>
        <v>0</v>
      </c>
    </row>
    <row r="759" spans="8:29" ht="12.5" hidden="1">
      <c r="H759" s="131"/>
      <c r="J759" s="149"/>
      <c r="K759" s="150">
        <f>MAX(K$422:K758)+1</f>
        <v>338</v>
      </c>
      <c r="L759" s="151">
        <f t="shared" si="107"/>
        <v>1</v>
      </c>
      <c r="M759" s="152"/>
      <c r="N759" s="153"/>
      <c r="O759" s="153"/>
      <c r="P759" s="153"/>
      <c r="Q759" s="153"/>
      <c r="R759" s="153"/>
      <c r="S759" s="154">
        <f t="shared" si="106"/>
        <v>0</v>
      </c>
      <c r="T759" s="155"/>
      <c r="U759" s="154">
        <f t="shared" si="104"/>
        <v>0</v>
      </c>
      <c r="V759" s="156"/>
      <c r="W759" s="157"/>
      <c r="X759" s="157"/>
      <c r="Y759" s="158"/>
      <c r="Z759" s="162"/>
      <c r="AA759" s="159" t="s">
        <v>278</v>
      </c>
      <c r="AB759" s="160"/>
      <c r="AC759" s="158">
        <f t="shared" si="105"/>
        <v>0</v>
      </c>
    </row>
    <row r="760" spans="8:29" ht="12.5" hidden="1">
      <c r="H760" s="131"/>
      <c r="J760" s="149"/>
      <c r="K760" s="150">
        <f>MAX(K$422:K759)+1</f>
        <v>339</v>
      </c>
      <c r="L760" s="151">
        <f t="shared" si="107"/>
        <v>1</v>
      </c>
      <c r="M760" s="152"/>
      <c r="N760" s="153"/>
      <c r="O760" s="153"/>
      <c r="P760" s="153"/>
      <c r="Q760" s="153"/>
      <c r="R760" s="153"/>
      <c r="S760" s="154">
        <f t="shared" si="106"/>
        <v>0</v>
      </c>
      <c r="T760" s="155"/>
      <c r="U760" s="154">
        <f t="shared" si="104"/>
        <v>0</v>
      </c>
      <c r="V760" s="156"/>
      <c r="W760" s="157"/>
      <c r="X760" s="157"/>
      <c r="Y760" s="158"/>
      <c r="Z760" s="162"/>
      <c r="AA760" s="159" t="s">
        <v>278</v>
      </c>
      <c r="AB760" s="160"/>
      <c r="AC760" s="158">
        <f t="shared" si="105"/>
        <v>0</v>
      </c>
    </row>
    <row r="761" spans="8:29" ht="12.5" hidden="1">
      <c r="H761" s="131"/>
      <c r="J761" s="149"/>
      <c r="K761" s="150">
        <f>MAX(K$422:K760)+1</f>
        <v>340</v>
      </c>
      <c r="L761" s="151">
        <f t="shared" si="107"/>
        <v>1</v>
      </c>
      <c r="M761" s="152"/>
      <c r="N761" s="153"/>
      <c r="O761" s="153"/>
      <c r="P761" s="153"/>
      <c r="Q761" s="153"/>
      <c r="R761" s="153"/>
      <c r="S761" s="154">
        <f t="shared" si="106"/>
        <v>0</v>
      </c>
      <c r="T761" s="155"/>
      <c r="U761" s="154">
        <f t="shared" si="104"/>
        <v>0</v>
      </c>
      <c r="V761" s="156"/>
      <c r="W761" s="157"/>
      <c r="X761" s="157"/>
      <c r="Y761" s="158"/>
      <c r="Z761" s="162"/>
      <c r="AA761" s="159" t="s">
        <v>278</v>
      </c>
      <c r="AB761" s="160"/>
      <c r="AC761" s="158">
        <f t="shared" si="105"/>
        <v>0</v>
      </c>
    </row>
    <row r="762" spans="8:29" ht="12.5" hidden="1">
      <c r="H762" s="131"/>
      <c r="J762" s="149"/>
      <c r="K762" s="150">
        <f>MAX(K$422:K761)+1</f>
        <v>341</v>
      </c>
      <c r="L762" s="151">
        <f t="shared" si="107"/>
        <v>1</v>
      </c>
      <c r="M762" s="152"/>
      <c r="N762" s="153"/>
      <c r="O762" s="153"/>
      <c r="P762" s="153"/>
      <c r="Q762" s="153"/>
      <c r="R762" s="153"/>
      <c r="S762" s="154">
        <f t="shared" si="106"/>
        <v>0</v>
      </c>
      <c r="T762" s="155"/>
      <c r="U762" s="154">
        <f t="shared" si="104"/>
        <v>0</v>
      </c>
      <c r="V762" s="156"/>
      <c r="W762" s="157"/>
      <c r="X762" s="157"/>
      <c r="Y762" s="158"/>
      <c r="Z762" s="162"/>
      <c r="AA762" s="159" t="s">
        <v>278</v>
      </c>
      <c r="AB762" s="160"/>
      <c r="AC762" s="158">
        <f t="shared" si="105"/>
        <v>0</v>
      </c>
    </row>
    <row r="763" spans="8:29" ht="12.5" hidden="1">
      <c r="H763" s="131"/>
      <c r="J763" s="149"/>
      <c r="K763" s="150">
        <f>MAX(K$422:K762)+1</f>
        <v>342</v>
      </c>
      <c r="L763" s="151">
        <f t="shared" si="107"/>
        <v>1</v>
      </c>
      <c r="M763" s="152"/>
      <c r="N763" s="153"/>
      <c r="O763" s="153"/>
      <c r="P763" s="153"/>
      <c r="Q763" s="153"/>
      <c r="R763" s="153"/>
      <c r="S763" s="154">
        <f t="shared" si="106"/>
        <v>0</v>
      </c>
      <c r="T763" s="155"/>
      <c r="U763" s="154">
        <f t="shared" si="104"/>
        <v>0</v>
      </c>
      <c r="V763" s="156"/>
      <c r="W763" s="157"/>
      <c r="X763" s="157"/>
      <c r="Y763" s="158"/>
      <c r="Z763" s="162"/>
      <c r="AA763" s="159" t="s">
        <v>278</v>
      </c>
      <c r="AB763" s="160"/>
      <c r="AC763" s="158">
        <f t="shared" si="105"/>
        <v>0</v>
      </c>
    </row>
    <row r="764" spans="8:29" ht="12.5" hidden="1">
      <c r="H764" s="131"/>
      <c r="J764" s="149"/>
      <c r="K764" s="150">
        <f>MAX(K$422:K763)+1</f>
        <v>343</v>
      </c>
      <c r="L764" s="151">
        <f t="shared" si="107"/>
        <v>1</v>
      </c>
      <c r="M764" s="152"/>
      <c r="N764" s="153"/>
      <c r="O764" s="153"/>
      <c r="P764" s="153"/>
      <c r="Q764" s="153"/>
      <c r="R764" s="153"/>
      <c r="S764" s="154">
        <f t="shared" si="106"/>
        <v>0</v>
      </c>
      <c r="T764" s="155"/>
      <c r="U764" s="154">
        <f t="shared" si="104"/>
        <v>0</v>
      </c>
      <c r="V764" s="156"/>
      <c r="W764" s="157"/>
      <c r="X764" s="157"/>
      <c r="Y764" s="158"/>
      <c r="Z764" s="162"/>
      <c r="AA764" s="159" t="s">
        <v>278</v>
      </c>
      <c r="AB764" s="160"/>
      <c r="AC764" s="158">
        <f t="shared" si="105"/>
        <v>0</v>
      </c>
    </row>
    <row r="765" spans="8:29" ht="12.5" hidden="1">
      <c r="H765" s="131"/>
      <c r="J765" s="149"/>
      <c r="K765" s="150">
        <f>MAX(K$422:K764)+1</f>
        <v>344</v>
      </c>
      <c r="L765" s="151">
        <f t="shared" si="107"/>
        <v>1</v>
      </c>
      <c r="M765" s="152"/>
      <c r="N765" s="153"/>
      <c r="O765" s="153"/>
      <c r="P765" s="153"/>
      <c r="Q765" s="153"/>
      <c r="R765" s="153"/>
      <c r="S765" s="154">
        <f t="shared" si="106"/>
        <v>0</v>
      </c>
      <c r="T765" s="155"/>
      <c r="U765" s="154">
        <f t="shared" si="104"/>
        <v>0</v>
      </c>
      <c r="V765" s="156"/>
      <c r="W765" s="157"/>
      <c r="X765" s="157"/>
      <c r="Y765" s="158"/>
      <c r="Z765" s="162"/>
      <c r="AA765" s="159" t="s">
        <v>278</v>
      </c>
      <c r="AB765" s="160"/>
      <c r="AC765" s="158">
        <f t="shared" si="105"/>
        <v>0</v>
      </c>
    </row>
    <row r="766" spans="8:29" ht="12.5" hidden="1">
      <c r="H766" s="131"/>
      <c r="J766" s="149"/>
      <c r="K766" s="150">
        <f>MAX(K$422:K765)+1</f>
        <v>345</v>
      </c>
      <c r="L766" s="151">
        <f t="shared" si="107"/>
        <v>1</v>
      </c>
      <c r="M766" s="152"/>
      <c r="N766" s="153"/>
      <c r="O766" s="153"/>
      <c r="P766" s="153"/>
      <c r="Q766" s="153"/>
      <c r="R766" s="153"/>
      <c r="S766" s="154">
        <f t="shared" si="106"/>
        <v>0</v>
      </c>
      <c r="T766" s="155"/>
      <c r="U766" s="154">
        <f t="shared" si="104"/>
        <v>0</v>
      </c>
      <c r="V766" s="156"/>
      <c r="W766" s="157"/>
      <c r="X766" s="157"/>
      <c r="Y766" s="158"/>
      <c r="Z766" s="162"/>
      <c r="AA766" s="159" t="s">
        <v>278</v>
      </c>
      <c r="AB766" s="160"/>
      <c r="AC766" s="158">
        <f t="shared" si="105"/>
        <v>0</v>
      </c>
    </row>
    <row r="767" spans="8:29" ht="12.5" hidden="1">
      <c r="H767" s="131"/>
      <c r="J767" s="149"/>
      <c r="K767" s="150">
        <f>MAX(K$422:K766)+1</f>
        <v>346</v>
      </c>
      <c r="L767" s="151">
        <f t="shared" si="107"/>
        <v>1</v>
      </c>
      <c r="M767" s="152"/>
      <c r="N767" s="153"/>
      <c r="O767" s="153"/>
      <c r="P767" s="153"/>
      <c r="Q767" s="153"/>
      <c r="R767" s="153"/>
      <c r="S767" s="154">
        <f t="shared" si="106"/>
        <v>0</v>
      </c>
      <c r="T767" s="155"/>
      <c r="U767" s="154">
        <f t="shared" si="104"/>
        <v>0</v>
      </c>
      <c r="V767" s="156"/>
      <c r="W767" s="157"/>
      <c r="X767" s="157"/>
      <c r="Y767" s="158"/>
      <c r="Z767" s="162"/>
      <c r="AA767" s="159" t="s">
        <v>278</v>
      </c>
      <c r="AB767" s="160"/>
      <c r="AC767" s="158">
        <f t="shared" si="105"/>
        <v>0</v>
      </c>
    </row>
    <row r="768" spans="8:29" ht="12.5" hidden="1">
      <c r="H768" s="131"/>
      <c r="J768" s="149"/>
      <c r="K768" s="150">
        <f>MAX(K$422:K767)+1</f>
        <v>347</v>
      </c>
      <c r="L768" s="151">
        <f t="shared" si="107"/>
        <v>1</v>
      </c>
      <c r="M768" s="152"/>
      <c r="N768" s="153"/>
      <c r="O768" s="153"/>
      <c r="P768" s="153"/>
      <c r="Q768" s="153"/>
      <c r="R768" s="153"/>
      <c r="S768" s="154">
        <f t="shared" si="106"/>
        <v>0</v>
      </c>
      <c r="T768" s="155"/>
      <c r="U768" s="154">
        <f t="shared" ref="U768:U831" si="108">S768+T768</f>
        <v>0</v>
      </c>
      <c r="V768" s="156"/>
      <c r="W768" s="157"/>
      <c r="X768" s="157"/>
      <c r="Y768" s="158"/>
      <c r="Z768" s="162"/>
      <c r="AA768" s="159" t="s">
        <v>278</v>
      </c>
      <c r="AB768" s="160"/>
      <c r="AC768" s="158">
        <f t="shared" si="105"/>
        <v>0</v>
      </c>
    </row>
    <row r="769" spans="8:29" ht="12.5" hidden="1">
      <c r="H769" s="131"/>
      <c r="J769" s="149"/>
      <c r="K769" s="150">
        <f>MAX(K$422:K768)+1</f>
        <v>348</v>
      </c>
      <c r="L769" s="151">
        <f t="shared" si="107"/>
        <v>1</v>
      </c>
      <c r="M769" s="152"/>
      <c r="N769" s="153"/>
      <c r="O769" s="153"/>
      <c r="P769" s="153"/>
      <c r="Q769" s="153"/>
      <c r="R769" s="153"/>
      <c r="S769" s="154">
        <f t="shared" si="106"/>
        <v>0</v>
      </c>
      <c r="T769" s="155"/>
      <c r="U769" s="154">
        <f t="shared" si="108"/>
        <v>0</v>
      </c>
      <c r="V769" s="156"/>
      <c r="W769" s="157"/>
      <c r="X769" s="157"/>
      <c r="Y769" s="158"/>
      <c r="Z769" s="162"/>
      <c r="AA769" s="159" t="s">
        <v>278</v>
      </c>
      <c r="AB769" s="160"/>
      <c r="AC769" s="158">
        <f t="shared" si="105"/>
        <v>0</v>
      </c>
    </row>
    <row r="770" spans="8:29" ht="12.5" hidden="1">
      <c r="H770" s="131"/>
      <c r="J770" s="149"/>
      <c r="K770" s="150">
        <f>MAX(K$422:K769)+1</f>
        <v>349</v>
      </c>
      <c r="L770" s="151">
        <f t="shared" si="107"/>
        <v>1</v>
      </c>
      <c r="M770" s="152"/>
      <c r="N770" s="153"/>
      <c r="O770" s="153"/>
      <c r="P770" s="153"/>
      <c r="Q770" s="153"/>
      <c r="R770" s="153"/>
      <c r="S770" s="154">
        <f t="shared" si="106"/>
        <v>0</v>
      </c>
      <c r="T770" s="155"/>
      <c r="U770" s="154">
        <f t="shared" si="108"/>
        <v>0</v>
      </c>
      <c r="V770" s="156"/>
      <c r="W770" s="157"/>
      <c r="X770" s="157"/>
      <c r="Y770" s="158"/>
      <c r="Z770" s="162"/>
      <c r="AA770" s="159" t="s">
        <v>278</v>
      </c>
      <c r="AB770" s="160"/>
      <c r="AC770" s="158">
        <f t="shared" si="105"/>
        <v>0</v>
      </c>
    </row>
    <row r="771" spans="8:29" ht="12.5" hidden="1">
      <c r="H771" s="131"/>
      <c r="J771" s="149"/>
      <c r="K771" s="150">
        <f>MAX(K$422:K770)+1</f>
        <v>350</v>
      </c>
      <c r="L771" s="151">
        <f t="shared" si="107"/>
        <v>1</v>
      </c>
      <c r="M771" s="152"/>
      <c r="N771" s="153"/>
      <c r="O771" s="153"/>
      <c r="P771" s="153"/>
      <c r="Q771" s="153"/>
      <c r="R771" s="153"/>
      <c r="S771" s="154">
        <f t="shared" si="106"/>
        <v>0</v>
      </c>
      <c r="T771" s="155"/>
      <c r="U771" s="154">
        <f t="shared" si="108"/>
        <v>0</v>
      </c>
      <c r="V771" s="156"/>
      <c r="W771" s="157"/>
      <c r="X771" s="157"/>
      <c r="Y771" s="158"/>
      <c r="Z771" s="162"/>
      <c r="AA771" s="159" t="s">
        <v>278</v>
      </c>
      <c r="AB771" s="160"/>
      <c r="AC771" s="158">
        <f t="shared" si="105"/>
        <v>0</v>
      </c>
    </row>
    <row r="772" spans="8:29" ht="12.5" hidden="1">
      <c r="H772" s="131"/>
      <c r="J772" s="149"/>
      <c r="K772" s="150">
        <f>MAX(K$422:K771)+1</f>
        <v>351</v>
      </c>
      <c r="L772" s="151">
        <f t="shared" si="107"/>
        <v>1</v>
      </c>
      <c r="M772" s="152"/>
      <c r="N772" s="153"/>
      <c r="O772" s="153"/>
      <c r="P772" s="153"/>
      <c r="Q772" s="153"/>
      <c r="R772" s="153"/>
      <c r="S772" s="154">
        <f t="shared" si="106"/>
        <v>0</v>
      </c>
      <c r="T772" s="155"/>
      <c r="U772" s="154">
        <f t="shared" si="108"/>
        <v>0</v>
      </c>
      <c r="V772" s="156"/>
      <c r="W772" s="157"/>
      <c r="X772" s="157"/>
      <c r="Y772" s="158"/>
      <c r="Z772" s="162"/>
      <c r="AA772" s="159" t="s">
        <v>278</v>
      </c>
      <c r="AB772" s="160"/>
      <c r="AC772" s="158">
        <f t="shared" si="105"/>
        <v>0</v>
      </c>
    </row>
    <row r="773" spans="8:29" ht="12.5" hidden="1">
      <c r="H773" s="131"/>
      <c r="J773" s="149"/>
      <c r="K773" s="150">
        <f>MAX(K$422:K772)+1</f>
        <v>352</v>
      </c>
      <c r="L773" s="151">
        <f t="shared" si="107"/>
        <v>1</v>
      </c>
      <c r="M773" s="152"/>
      <c r="N773" s="153"/>
      <c r="O773" s="153"/>
      <c r="P773" s="153"/>
      <c r="Q773" s="153"/>
      <c r="R773" s="153"/>
      <c r="S773" s="154">
        <f t="shared" si="106"/>
        <v>0</v>
      </c>
      <c r="T773" s="155"/>
      <c r="U773" s="154">
        <f t="shared" si="108"/>
        <v>0</v>
      </c>
      <c r="V773" s="156"/>
      <c r="W773" s="157"/>
      <c r="X773" s="157"/>
      <c r="Y773" s="158"/>
      <c r="Z773" s="162"/>
      <c r="AA773" s="159" t="s">
        <v>278</v>
      </c>
      <c r="AB773" s="160"/>
      <c r="AC773" s="158">
        <f t="shared" si="105"/>
        <v>0</v>
      </c>
    </row>
    <row r="774" spans="8:29" ht="12.5" hidden="1">
      <c r="H774" s="131"/>
      <c r="J774" s="149"/>
      <c r="K774" s="150">
        <f>MAX(K$422:K773)+1</f>
        <v>353</v>
      </c>
      <c r="L774" s="151">
        <f t="shared" si="107"/>
        <v>1</v>
      </c>
      <c r="M774" s="152"/>
      <c r="N774" s="153"/>
      <c r="O774" s="153"/>
      <c r="P774" s="153"/>
      <c r="Q774" s="153"/>
      <c r="R774" s="153"/>
      <c r="S774" s="154">
        <f t="shared" si="106"/>
        <v>0</v>
      </c>
      <c r="T774" s="155"/>
      <c r="U774" s="154">
        <f t="shared" si="108"/>
        <v>0</v>
      </c>
      <c r="V774" s="156"/>
      <c r="W774" s="157"/>
      <c r="X774" s="157"/>
      <c r="Y774" s="158"/>
      <c r="Z774" s="162"/>
      <c r="AA774" s="159" t="s">
        <v>278</v>
      </c>
      <c r="AB774" s="160"/>
      <c r="AC774" s="158">
        <f t="shared" si="105"/>
        <v>0</v>
      </c>
    </row>
    <row r="775" spans="8:29" ht="12.5" hidden="1">
      <c r="H775" s="131"/>
      <c r="J775" s="149"/>
      <c r="K775" s="150">
        <f>MAX(K$422:K774)+1</f>
        <v>354</v>
      </c>
      <c r="L775" s="151">
        <f t="shared" si="107"/>
        <v>1</v>
      </c>
      <c r="M775" s="152"/>
      <c r="N775" s="153"/>
      <c r="O775" s="153"/>
      <c r="P775" s="153"/>
      <c r="Q775" s="153"/>
      <c r="R775" s="153"/>
      <c r="S775" s="154">
        <f t="shared" si="106"/>
        <v>0</v>
      </c>
      <c r="T775" s="155"/>
      <c r="U775" s="154">
        <f t="shared" si="108"/>
        <v>0</v>
      </c>
      <c r="V775" s="156"/>
      <c r="W775" s="157"/>
      <c r="X775" s="157"/>
      <c r="Y775" s="158"/>
      <c r="Z775" s="162"/>
      <c r="AA775" s="159" t="s">
        <v>278</v>
      </c>
      <c r="AB775" s="160"/>
      <c r="AC775" s="158">
        <f t="shared" si="105"/>
        <v>0</v>
      </c>
    </row>
    <row r="776" spans="8:29" ht="12.5" hidden="1">
      <c r="H776" s="131"/>
      <c r="J776" s="149"/>
      <c r="K776" s="150">
        <f>MAX(K$422:K775)+1</f>
        <v>355</v>
      </c>
      <c r="L776" s="151">
        <f t="shared" si="107"/>
        <v>1</v>
      </c>
      <c r="M776" s="152"/>
      <c r="N776" s="153"/>
      <c r="O776" s="153"/>
      <c r="P776" s="153"/>
      <c r="Q776" s="153"/>
      <c r="R776" s="153"/>
      <c r="S776" s="154">
        <f t="shared" si="106"/>
        <v>0</v>
      </c>
      <c r="T776" s="155"/>
      <c r="U776" s="154">
        <f t="shared" si="108"/>
        <v>0</v>
      </c>
      <c r="V776" s="156"/>
      <c r="W776" s="157"/>
      <c r="X776" s="157"/>
      <c r="Y776" s="158"/>
      <c r="Z776" s="162"/>
      <c r="AA776" s="159" t="s">
        <v>278</v>
      </c>
      <c r="AB776" s="160"/>
      <c r="AC776" s="158">
        <f t="shared" si="105"/>
        <v>0</v>
      </c>
    </row>
    <row r="777" spans="8:29" ht="12.5" hidden="1">
      <c r="H777" s="131"/>
      <c r="J777" s="149"/>
      <c r="K777" s="150">
        <f>MAX(K$422:K776)+1</f>
        <v>356</v>
      </c>
      <c r="L777" s="151">
        <f t="shared" si="107"/>
        <v>1</v>
      </c>
      <c r="M777" s="152"/>
      <c r="N777" s="153"/>
      <c r="O777" s="153"/>
      <c r="P777" s="153"/>
      <c r="Q777" s="153"/>
      <c r="R777" s="153"/>
      <c r="S777" s="154">
        <f t="shared" si="106"/>
        <v>0</v>
      </c>
      <c r="T777" s="155"/>
      <c r="U777" s="154">
        <f t="shared" si="108"/>
        <v>0</v>
      </c>
      <c r="V777" s="156"/>
      <c r="W777" s="157"/>
      <c r="X777" s="157"/>
      <c r="Y777" s="158"/>
      <c r="Z777" s="162"/>
      <c r="AA777" s="159" t="s">
        <v>278</v>
      </c>
      <c r="AB777" s="160"/>
      <c r="AC777" s="158">
        <f t="shared" si="105"/>
        <v>0</v>
      </c>
    </row>
    <row r="778" spans="8:29" ht="12.5" hidden="1">
      <c r="H778" s="131"/>
      <c r="J778" s="149"/>
      <c r="K778" s="150">
        <f>MAX(K$422:K777)+1</f>
        <v>357</v>
      </c>
      <c r="L778" s="151">
        <f t="shared" si="107"/>
        <v>1</v>
      </c>
      <c r="M778" s="152"/>
      <c r="N778" s="153"/>
      <c r="O778" s="153"/>
      <c r="P778" s="153"/>
      <c r="Q778" s="153"/>
      <c r="R778" s="153"/>
      <c r="S778" s="154">
        <f t="shared" si="106"/>
        <v>0</v>
      </c>
      <c r="T778" s="155"/>
      <c r="U778" s="154">
        <f t="shared" si="108"/>
        <v>0</v>
      </c>
      <c r="V778" s="156"/>
      <c r="W778" s="157"/>
      <c r="X778" s="157"/>
      <c r="Y778" s="158"/>
      <c r="Z778" s="162"/>
      <c r="AA778" s="159" t="s">
        <v>278</v>
      </c>
      <c r="AB778" s="160"/>
      <c r="AC778" s="158">
        <f t="shared" si="105"/>
        <v>0</v>
      </c>
    </row>
    <row r="779" spans="8:29" ht="12.5" hidden="1">
      <c r="H779" s="131"/>
      <c r="J779" s="149"/>
      <c r="K779" s="150">
        <f>MAX(K$422:K778)+1</f>
        <v>358</v>
      </c>
      <c r="L779" s="151">
        <f t="shared" si="107"/>
        <v>1</v>
      </c>
      <c r="M779" s="152"/>
      <c r="N779" s="153"/>
      <c r="O779" s="153"/>
      <c r="P779" s="153"/>
      <c r="Q779" s="153"/>
      <c r="R779" s="153"/>
      <c r="S779" s="154">
        <f t="shared" si="106"/>
        <v>0</v>
      </c>
      <c r="T779" s="155"/>
      <c r="U779" s="154">
        <f t="shared" si="108"/>
        <v>0</v>
      </c>
      <c r="V779" s="156"/>
      <c r="W779" s="157"/>
      <c r="X779" s="157"/>
      <c r="Y779" s="158"/>
      <c r="Z779" s="162"/>
      <c r="AA779" s="159" t="s">
        <v>278</v>
      </c>
      <c r="AB779" s="160"/>
      <c r="AC779" s="158">
        <f t="shared" si="105"/>
        <v>0</v>
      </c>
    </row>
    <row r="780" spans="8:29" ht="12.5" hidden="1">
      <c r="H780" s="131"/>
      <c r="J780" s="149"/>
      <c r="K780" s="150">
        <f>MAX(K$422:K779)+1</f>
        <v>359</v>
      </c>
      <c r="L780" s="151">
        <f t="shared" si="107"/>
        <v>1</v>
      </c>
      <c r="M780" s="152"/>
      <c r="N780" s="153"/>
      <c r="O780" s="153"/>
      <c r="P780" s="153"/>
      <c r="Q780" s="153"/>
      <c r="R780" s="153"/>
      <c r="S780" s="154">
        <f t="shared" si="106"/>
        <v>0</v>
      </c>
      <c r="T780" s="155"/>
      <c r="U780" s="154">
        <f t="shared" si="108"/>
        <v>0</v>
      </c>
      <c r="V780" s="156"/>
      <c r="W780" s="157"/>
      <c r="X780" s="157"/>
      <c r="Y780" s="158"/>
      <c r="Z780" s="162"/>
      <c r="AA780" s="159" t="s">
        <v>278</v>
      </c>
      <c r="AB780" s="160"/>
      <c r="AC780" s="158">
        <f t="shared" si="105"/>
        <v>0</v>
      </c>
    </row>
    <row r="781" spans="8:29" ht="12.5" hidden="1">
      <c r="H781" s="131"/>
      <c r="J781" s="149"/>
      <c r="K781" s="150">
        <f>MAX(K$422:K780)+1</f>
        <v>360</v>
      </c>
      <c r="L781" s="151">
        <f t="shared" si="107"/>
        <v>1</v>
      </c>
      <c r="M781" s="152"/>
      <c r="N781" s="153"/>
      <c r="O781" s="153"/>
      <c r="P781" s="153"/>
      <c r="Q781" s="153"/>
      <c r="R781" s="153"/>
      <c r="S781" s="154">
        <f t="shared" si="106"/>
        <v>0</v>
      </c>
      <c r="T781" s="155"/>
      <c r="U781" s="154">
        <f t="shared" si="108"/>
        <v>0</v>
      </c>
      <c r="V781" s="156"/>
      <c r="W781" s="157"/>
      <c r="X781" s="157"/>
      <c r="Y781" s="158"/>
      <c r="Z781" s="162"/>
      <c r="AA781" s="159" t="s">
        <v>278</v>
      </c>
      <c r="AB781" s="160"/>
      <c r="AC781" s="158">
        <f t="shared" si="105"/>
        <v>0</v>
      </c>
    </row>
    <row r="782" spans="8:29" ht="12.5" hidden="1">
      <c r="H782" s="131"/>
      <c r="J782" s="149"/>
      <c r="K782" s="150">
        <f>MAX(K$422:K781)+1</f>
        <v>361</v>
      </c>
      <c r="L782" s="151">
        <f t="shared" si="107"/>
        <v>1</v>
      </c>
      <c r="M782" s="152"/>
      <c r="N782" s="153"/>
      <c r="O782" s="153"/>
      <c r="P782" s="153"/>
      <c r="Q782" s="153"/>
      <c r="R782" s="153"/>
      <c r="S782" s="154">
        <f t="shared" si="106"/>
        <v>0</v>
      </c>
      <c r="T782" s="155"/>
      <c r="U782" s="154">
        <f t="shared" si="108"/>
        <v>0</v>
      </c>
      <c r="V782" s="156"/>
      <c r="W782" s="157"/>
      <c r="X782" s="157"/>
      <c r="Y782" s="158"/>
      <c r="Z782" s="162"/>
      <c r="AA782" s="159" t="s">
        <v>278</v>
      </c>
      <c r="AB782" s="160"/>
      <c r="AC782" s="158">
        <f t="shared" si="105"/>
        <v>0</v>
      </c>
    </row>
    <row r="783" spans="8:29" ht="12.5" hidden="1">
      <c r="H783" s="131"/>
      <c r="J783" s="149"/>
      <c r="K783" s="150">
        <f>MAX(K$422:K782)+1</f>
        <v>362</v>
      </c>
      <c r="L783" s="151">
        <f t="shared" si="107"/>
        <v>1</v>
      </c>
      <c r="M783" s="152"/>
      <c r="N783" s="153"/>
      <c r="O783" s="153"/>
      <c r="P783" s="153"/>
      <c r="Q783" s="153"/>
      <c r="R783" s="153"/>
      <c r="S783" s="154">
        <f t="shared" si="106"/>
        <v>0</v>
      </c>
      <c r="T783" s="155"/>
      <c r="U783" s="154">
        <f t="shared" si="108"/>
        <v>0</v>
      </c>
      <c r="V783" s="156"/>
      <c r="W783" s="157"/>
      <c r="X783" s="157"/>
      <c r="Y783" s="158"/>
      <c r="Z783" s="162"/>
      <c r="AA783" s="159" t="s">
        <v>278</v>
      </c>
      <c r="AB783" s="160"/>
      <c r="AC783" s="158">
        <f t="shared" si="105"/>
        <v>0</v>
      </c>
    </row>
    <row r="784" spans="8:29" ht="12.5" hidden="1">
      <c r="H784" s="131"/>
      <c r="J784" s="149"/>
      <c r="K784" s="150">
        <f>MAX(K$422:K783)+1</f>
        <v>363</v>
      </c>
      <c r="L784" s="151">
        <f t="shared" si="107"/>
        <v>1</v>
      </c>
      <c r="M784" s="152"/>
      <c r="N784" s="153"/>
      <c r="O784" s="153"/>
      <c r="P784" s="153"/>
      <c r="Q784" s="153"/>
      <c r="R784" s="153"/>
      <c r="S784" s="154">
        <f t="shared" si="106"/>
        <v>0</v>
      </c>
      <c r="T784" s="155"/>
      <c r="U784" s="154">
        <f t="shared" si="108"/>
        <v>0</v>
      </c>
      <c r="V784" s="156"/>
      <c r="W784" s="157"/>
      <c r="X784" s="157"/>
      <c r="Y784" s="158"/>
      <c r="Z784" s="162"/>
      <c r="AA784" s="159" t="s">
        <v>278</v>
      </c>
      <c r="AB784" s="160"/>
      <c r="AC784" s="158">
        <f t="shared" si="105"/>
        <v>0</v>
      </c>
    </row>
    <row r="785" spans="8:29" ht="12.5" hidden="1">
      <c r="H785" s="131"/>
      <c r="J785" s="149"/>
      <c r="K785" s="150">
        <f>MAX(K$422:K784)+1</f>
        <v>364</v>
      </c>
      <c r="L785" s="151">
        <f t="shared" si="107"/>
        <v>1</v>
      </c>
      <c r="M785" s="152"/>
      <c r="N785" s="153"/>
      <c r="O785" s="153"/>
      <c r="P785" s="153"/>
      <c r="Q785" s="153"/>
      <c r="R785" s="153"/>
      <c r="S785" s="154">
        <f t="shared" si="106"/>
        <v>0</v>
      </c>
      <c r="T785" s="155"/>
      <c r="U785" s="154">
        <f t="shared" si="108"/>
        <v>0</v>
      </c>
      <c r="V785" s="156"/>
      <c r="W785" s="157"/>
      <c r="X785" s="157"/>
      <c r="Y785" s="158"/>
      <c r="Z785" s="162"/>
      <c r="AA785" s="159" t="s">
        <v>278</v>
      </c>
      <c r="AB785" s="160"/>
      <c r="AC785" s="158">
        <f t="shared" si="105"/>
        <v>0</v>
      </c>
    </row>
    <row r="786" spans="8:29" ht="12.5" hidden="1">
      <c r="H786" s="131"/>
      <c r="J786" s="149"/>
      <c r="K786" s="150">
        <f>MAX(K$422:K785)+1</f>
        <v>365</v>
      </c>
      <c r="L786" s="151">
        <f t="shared" si="107"/>
        <v>1</v>
      </c>
      <c r="M786" s="152"/>
      <c r="N786" s="153"/>
      <c r="O786" s="153"/>
      <c r="P786" s="153"/>
      <c r="Q786" s="153"/>
      <c r="R786" s="153"/>
      <c r="S786" s="154">
        <f t="shared" si="106"/>
        <v>0</v>
      </c>
      <c r="T786" s="155"/>
      <c r="U786" s="154">
        <f t="shared" si="108"/>
        <v>0</v>
      </c>
      <c r="V786" s="156"/>
      <c r="W786" s="157"/>
      <c r="X786" s="157"/>
      <c r="Y786" s="158"/>
      <c r="Z786" s="162"/>
      <c r="AA786" s="159" t="s">
        <v>278</v>
      </c>
      <c r="AB786" s="160"/>
      <c r="AC786" s="158">
        <f t="shared" si="105"/>
        <v>0</v>
      </c>
    </row>
    <row r="787" spans="8:29" ht="12.5" hidden="1">
      <c r="H787" s="131"/>
      <c r="J787" s="149"/>
      <c r="K787" s="150">
        <f>MAX(K$422:K786)+1</f>
        <v>366</v>
      </c>
      <c r="L787" s="151">
        <f t="shared" si="107"/>
        <v>1</v>
      </c>
      <c r="M787" s="152"/>
      <c r="N787" s="153"/>
      <c r="O787" s="153"/>
      <c r="P787" s="153"/>
      <c r="Q787" s="153"/>
      <c r="R787" s="153"/>
      <c r="S787" s="154">
        <f t="shared" si="106"/>
        <v>0</v>
      </c>
      <c r="T787" s="155"/>
      <c r="U787" s="154">
        <f t="shared" si="108"/>
        <v>0</v>
      </c>
      <c r="V787" s="156"/>
      <c r="W787" s="157"/>
      <c r="X787" s="157"/>
      <c r="Y787" s="158"/>
      <c r="Z787" s="162"/>
      <c r="AA787" s="159" t="s">
        <v>278</v>
      </c>
      <c r="AB787" s="160"/>
      <c r="AC787" s="158">
        <f t="shared" si="105"/>
        <v>0</v>
      </c>
    </row>
    <row r="788" spans="8:29" ht="12.5" hidden="1">
      <c r="H788" s="131"/>
      <c r="J788" s="149"/>
      <c r="K788" s="150">
        <f>MAX(K$422:K787)+1</f>
        <v>367</v>
      </c>
      <c r="L788" s="151">
        <f t="shared" si="107"/>
        <v>1</v>
      </c>
      <c r="M788" s="152"/>
      <c r="N788" s="153"/>
      <c r="O788" s="153"/>
      <c r="P788" s="153"/>
      <c r="Q788" s="153"/>
      <c r="R788" s="153"/>
      <c r="S788" s="154">
        <f t="shared" si="106"/>
        <v>0</v>
      </c>
      <c r="T788" s="155"/>
      <c r="U788" s="154">
        <f t="shared" si="108"/>
        <v>0</v>
      </c>
      <c r="V788" s="156"/>
      <c r="W788" s="157"/>
      <c r="X788" s="157"/>
      <c r="Y788" s="158"/>
      <c r="Z788" s="162"/>
      <c r="AA788" s="159" t="s">
        <v>278</v>
      </c>
      <c r="AB788" s="160"/>
      <c r="AC788" s="158">
        <f t="shared" si="105"/>
        <v>0</v>
      </c>
    </row>
    <row r="789" spans="8:29" ht="12.5" hidden="1">
      <c r="H789" s="131"/>
      <c r="J789" s="149"/>
      <c r="K789" s="150">
        <f>MAX(K$422:K788)+1</f>
        <v>368</v>
      </c>
      <c r="L789" s="151">
        <f t="shared" si="107"/>
        <v>1</v>
      </c>
      <c r="M789" s="152"/>
      <c r="N789" s="153"/>
      <c r="O789" s="153"/>
      <c r="P789" s="153"/>
      <c r="Q789" s="153"/>
      <c r="R789" s="153"/>
      <c r="S789" s="154">
        <f t="shared" si="106"/>
        <v>0</v>
      </c>
      <c r="T789" s="155"/>
      <c r="U789" s="154">
        <f t="shared" si="108"/>
        <v>0</v>
      </c>
      <c r="V789" s="156"/>
      <c r="W789" s="157"/>
      <c r="X789" s="157"/>
      <c r="Y789" s="158"/>
      <c r="Z789" s="162"/>
      <c r="AA789" s="159" t="s">
        <v>278</v>
      </c>
      <c r="AB789" s="160"/>
      <c r="AC789" s="158">
        <f t="shared" si="105"/>
        <v>0</v>
      </c>
    </row>
    <row r="790" spans="8:29" ht="12.5" hidden="1">
      <c r="H790" s="131"/>
      <c r="J790" s="149"/>
      <c r="K790" s="150">
        <f>MAX(K$422:K789)+1</f>
        <v>369</v>
      </c>
      <c r="L790" s="151">
        <f t="shared" si="107"/>
        <v>1</v>
      </c>
      <c r="M790" s="152"/>
      <c r="N790" s="153"/>
      <c r="O790" s="153"/>
      <c r="P790" s="153"/>
      <c r="Q790" s="153"/>
      <c r="R790" s="153"/>
      <c r="S790" s="154">
        <f t="shared" si="106"/>
        <v>0</v>
      </c>
      <c r="T790" s="155"/>
      <c r="U790" s="154">
        <f t="shared" si="108"/>
        <v>0</v>
      </c>
      <c r="V790" s="156"/>
      <c r="W790" s="157"/>
      <c r="X790" s="157"/>
      <c r="Y790" s="158"/>
      <c r="Z790" s="162"/>
      <c r="AA790" s="159" t="s">
        <v>278</v>
      </c>
      <c r="AB790" s="160"/>
      <c r="AC790" s="158">
        <f t="shared" si="105"/>
        <v>0</v>
      </c>
    </row>
    <row r="791" spans="8:29" ht="12.5" hidden="1">
      <c r="H791" s="131"/>
      <c r="J791" s="149"/>
      <c r="K791" s="150">
        <f>MAX(K$422:K790)+1</f>
        <v>370</v>
      </c>
      <c r="L791" s="151">
        <f t="shared" si="107"/>
        <v>1</v>
      </c>
      <c r="M791" s="152"/>
      <c r="N791" s="153"/>
      <c r="O791" s="153"/>
      <c r="P791" s="153"/>
      <c r="Q791" s="153"/>
      <c r="R791" s="153"/>
      <c r="S791" s="154">
        <f t="shared" si="106"/>
        <v>0</v>
      </c>
      <c r="T791" s="155"/>
      <c r="U791" s="154">
        <f t="shared" si="108"/>
        <v>0</v>
      </c>
      <c r="V791" s="156"/>
      <c r="W791" s="157"/>
      <c r="X791" s="157"/>
      <c r="Y791" s="158"/>
      <c r="Z791" s="162"/>
      <c r="AA791" s="159" t="s">
        <v>278</v>
      </c>
      <c r="AB791" s="160"/>
      <c r="AC791" s="158">
        <f t="shared" si="105"/>
        <v>0</v>
      </c>
    </row>
    <row r="792" spans="8:29" ht="12.5" hidden="1">
      <c r="H792" s="131"/>
      <c r="J792" s="149"/>
      <c r="K792" s="150">
        <f>MAX(K$422:K791)+1</f>
        <v>371</v>
      </c>
      <c r="L792" s="151">
        <f t="shared" si="107"/>
        <v>1</v>
      </c>
      <c r="M792" s="152"/>
      <c r="N792" s="153"/>
      <c r="O792" s="153"/>
      <c r="P792" s="153"/>
      <c r="Q792" s="153"/>
      <c r="R792" s="153"/>
      <c r="S792" s="154">
        <f t="shared" si="106"/>
        <v>0</v>
      </c>
      <c r="T792" s="155"/>
      <c r="U792" s="154">
        <f t="shared" si="108"/>
        <v>0</v>
      </c>
      <c r="V792" s="156"/>
      <c r="W792" s="157"/>
      <c r="X792" s="157"/>
      <c r="Y792" s="158"/>
      <c r="Z792" s="162"/>
      <c r="AA792" s="159" t="s">
        <v>278</v>
      </c>
      <c r="AB792" s="160"/>
      <c r="AC792" s="158">
        <f t="shared" si="105"/>
        <v>0</v>
      </c>
    </row>
    <row r="793" spans="8:29" ht="12.5" hidden="1">
      <c r="H793" s="131"/>
      <c r="J793" s="149"/>
      <c r="K793" s="150">
        <f>MAX(K$422:K792)+1</f>
        <v>372</v>
      </c>
      <c r="L793" s="151">
        <f t="shared" si="107"/>
        <v>1</v>
      </c>
      <c r="M793" s="152"/>
      <c r="N793" s="153"/>
      <c r="O793" s="153"/>
      <c r="P793" s="153"/>
      <c r="Q793" s="153"/>
      <c r="R793" s="153"/>
      <c r="S793" s="154">
        <f t="shared" si="106"/>
        <v>0</v>
      </c>
      <c r="T793" s="155"/>
      <c r="U793" s="154">
        <f t="shared" si="108"/>
        <v>0</v>
      </c>
      <c r="V793" s="156"/>
      <c r="W793" s="157"/>
      <c r="X793" s="157"/>
      <c r="Y793" s="158"/>
      <c r="Z793" s="162"/>
      <c r="AA793" s="159" t="s">
        <v>278</v>
      </c>
      <c r="AB793" s="160"/>
      <c r="AC793" s="158">
        <f t="shared" si="105"/>
        <v>0</v>
      </c>
    </row>
    <row r="794" spans="8:29" ht="12.5" hidden="1">
      <c r="H794" s="131"/>
      <c r="J794" s="149"/>
      <c r="K794" s="150">
        <f>MAX(K$422:K793)+1</f>
        <v>373</v>
      </c>
      <c r="L794" s="151">
        <f t="shared" si="107"/>
        <v>1</v>
      </c>
      <c r="M794" s="152"/>
      <c r="N794" s="153"/>
      <c r="O794" s="153"/>
      <c r="P794" s="153"/>
      <c r="Q794" s="153"/>
      <c r="R794" s="153"/>
      <c r="S794" s="154">
        <f t="shared" si="106"/>
        <v>0</v>
      </c>
      <c r="T794" s="155"/>
      <c r="U794" s="154">
        <f t="shared" si="108"/>
        <v>0</v>
      </c>
      <c r="V794" s="156"/>
      <c r="W794" s="157"/>
      <c r="X794" s="157"/>
      <c r="Y794" s="158"/>
      <c r="Z794" s="162"/>
      <c r="AA794" s="159" t="s">
        <v>278</v>
      </c>
      <c r="AB794" s="160"/>
      <c r="AC794" s="158">
        <f t="shared" si="105"/>
        <v>0</v>
      </c>
    </row>
    <row r="795" spans="8:29" ht="12.5" hidden="1">
      <c r="H795" s="131"/>
      <c r="J795" s="149"/>
      <c r="K795" s="150">
        <f>MAX(K$422:K794)+1</f>
        <v>374</v>
      </c>
      <c r="L795" s="151">
        <f t="shared" si="107"/>
        <v>1</v>
      </c>
      <c r="M795" s="152"/>
      <c r="N795" s="153"/>
      <c r="O795" s="153"/>
      <c r="P795" s="153"/>
      <c r="Q795" s="153"/>
      <c r="R795" s="153"/>
      <c r="S795" s="154">
        <f t="shared" si="106"/>
        <v>0</v>
      </c>
      <c r="T795" s="155"/>
      <c r="U795" s="154">
        <f t="shared" si="108"/>
        <v>0</v>
      </c>
      <c r="V795" s="156"/>
      <c r="W795" s="157"/>
      <c r="X795" s="157"/>
      <c r="Y795" s="158"/>
      <c r="Z795" s="162"/>
      <c r="AA795" s="159" t="s">
        <v>278</v>
      </c>
      <c r="AB795" s="160"/>
      <c r="AC795" s="158">
        <f t="shared" si="105"/>
        <v>0</v>
      </c>
    </row>
    <row r="796" spans="8:29" ht="12.5" hidden="1">
      <c r="H796" s="131"/>
      <c r="J796" s="149"/>
      <c r="K796" s="150">
        <f>MAX(K$422:K795)+1</f>
        <v>375</v>
      </c>
      <c r="L796" s="151">
        <f t="shared" si="107"/>
        <v>1</v>
      </c>
      <c r="M796" s="152"/>
      <c r="N796" s="153"/>
      <c r="O796" s="153"/>
      <c r="P796" s="153"/>
      <c r="Q796" s="153"/>
      <c r="R796" s="153"/>
      <c r="S796" s="154">
        <f t="shared" si="106"/>
        <v>0</v>
      </c>
      <c r="T796" s="155"/>
      <c r="U796" s="154">
        <f t="shared" si="108"/>
        <v>0</v>
      </c>
      <c r="V796" s="156"/>
      <c r="W796" s="157"/>
      <c r="X796" s="157"/>
      <c r="Y796" s="158"/>
      <c r="Z796" s="162"/>
      <c r="AA796" s="159" t="s">
        <v>278</v>
      </c>
      <c r="AB796" s="160"/>
      <c r="AC796" s="158">
        <f t="shared" si="105"/>
        <v>0</v>
      </c>
    </row>
    <row r="797" spans="8:29" ht="12.5" hidden="1">
      <c r="H797" s="131"/>
      <c r="J797" s="149"/>
      <c r="K797" s="150">
        <f>MAX(K$422:K796)+1</f>
        <v>376</v>
      </c>
      <c r="L797" s="151">
        <f t="shared" si="107"/>
        <v>1</v>
      </c>
      <c r="M797" s="152"/>
      <c r="N797" s="153"/>
      <c r="O797" s="153"/>
      <c r="P797" s="153"/>
      <c r="Q797" s="153"/>
      <c r="R797" s="153"/>
      <c r="S797" s="154">
        <f t="shared" si="106"/>
        <v>0</v>
      </c>
      <c r="T797" s="155"/>
      <c r="U797" s="154">
        <f t="shared" si="108"/>
        <v>0</v>
      </c>
      <c r="V797" s="156"/>
      <c r="W797" s="157"/>
      <c r="X797" s="157"/>
      <c r="Y797" s="158"/>
      <c r="Z797" s="162"/>
      <c r="AA797" s="159" t="s">
        <v>278</v>
      </c>
      <c r="AB797" s="160"/>
      <c r="AC797" s="158">
        <f t="shared" si="105"/>
        <v>0</v>
      </c>
    </row>
    <row r="798" spans="8:29" ht="12.5" hidden="1">
      <c r="H798" s="131"/>
      <c r="J798" s="149"/>
      <c r="K798" s="150">
        <f>MAX(K$422:K797)+1</f>
        <v>377</v>
      </c>
      <c r="L798" s="151">
        <f t="shared" si="107"/>
        <v>1</v>
      </c>
      <c r="M798" s="152"/>
      <c r="N798" s="153"/>
      <c r="O798" s="153"/>
      <c r="P798" s="153"/>
      <c r="Q798" s="153"/>
      <c r="R798" s="153"/>
      <c r="S798" s="154">
        <f t="shared" si="106"/>
        <v>0</v>
      </c>
      <c r="T798" s="155"/>
      <c r="U798" s="154">
        <f t="shared" si="108"/>
        <v>0</v>
      </c>
      <c r="V798" s="156"/>
      <c r="W798" s="157"/>
      <c r="X798" s="157"/>
      <c r="Y798" s="158"/>
      <c r="Z798" s="162"/>
      <c r="AA798" s="159" t="s">
        <v>278</v>
      </c>
      <c r="AB798" s="160"/>
      <c r="AC798" s="158">
        <f t="shared" si="105"/>
        <v>0</v>
      </c>
    </row>
    <row r="799" spans="8:29" ht="12.5" hidden="1">
      <c r="H799" s="131"/>
      <c r="J799" s="149"/>
      <c r="K799" s="150">
        <f>MAX(K$422:K798)+1</f>
        <v>378</v>
      </c>
      <c r="L799" s="151">
        <f t="shared" si="107"/>
        <v>1</v>
      </c>
      <c r="M799" s="152"/>
      <c r="N799" s="153"/>
      <c r="O799" s="153"/>
      <c r="P799" s="153"/>
      <c r="Q799" s="153"/>
      <c r="R799" s="153"/>
      <c r="S799" s="154">
        <f t="shared" si="106"/>
        <v>0</v>
      </c>
      <c r="T799" s="155"/>
      <c r="U799" s="154">
        <f t="shared" si="108"/>
        <v>0</v>
      </c>
      <c r="V799" s="156"/>
      <c r="W799" s="157"/>
      <c r="X799" s="157"/>
      <c r="Y799" s="158"/>
      <c r="Z799" s="162"/>
      <c r="AA799" s="159" t="s">
        <v>278</v>
      </c>
      <c r="AB799" s="160"/>
      <c r="AC799" s="158">
        <f t="shared" si="105"/>
        <v>0</v>
      </c>
    </row>
    <row r="800" spans="8:29" ht="12.5" hidden="1">
      <c r="H800" s="131"/>
      <c r="J800" s="149"/>
      <c r="K800" s="150">
        <f>MAX(K$422:K799)+1</f>
        <v>379</v>
      </c>
      <c r="L800" s="151">
        <f t="shared" si="107"/>
        <v>1</v>
      </c>
      <c r="M800" s="152"/>
      <c r="N800" s="153"/>
      <c r="O800" s="153"/>
      <c r="P800" s="153"/>
      <c r="Q800" s="153"/>
      <c r="R800" s="153"/>
      <c r="S800" s="154">
        <f t="shared" si="106"/>
        <v>0</v>
      </c>
      <c r="T800" s="155"/>
      <c r="U800" s="154">
        <f t="shared" si="108"/>
        <v>0</v>
      </c>
      <c r="V800" s="156"/>
      <c r="W800" s="157"/>
      <c r="X800" s="157"/>
      <c r="Y800" s="158"/>
      <c r="Z800" s="162"/>
      <c r="AA800" s="159" t="s">
        <v>278</v>
      </c>
      <c r="AB800" s="160"/>
      <c r="AC800" s="158">
        <f t="shared" si="105"/>
        <v>0</v>
      </c>
    </row>
    <row r="801" spans="8:29" ht="12.5" hidden="1">
      <c r="H801" s="131"/>
      <c r="J801" s="149"/>
      <c r="K801" s="150">
        <f>MAX(K$422:K800)+1</f>
        <v>380</v>
      </c>
      <c r="L801" s="151">
        <f t="shared" si="107"/>
        <v>1</v>
      </c>
      <c r="M801" s="152"/>
      <c r="N801" s="153"/>
      <c r="O801" s="153"/>
      <c r="P801" s="153"/>
      <c r="Q801" s="153"/>
      <c r="R801" s="153"/>
      <c r="S801" s="154">
        <f t="shared" si="106"/>
        <v>0</v>
      </c>
      <c r="T801" s="155"/>
      <c r="U801" s="154">
        <f t="shared" si="108"/>
        <v>0</v>
      </c>
      <c r="V801" s="156"/>
      <c r="W801" s="157"/>
      <c r="X801" s="157"/>
      <c r="Y801" s="158"/>
      <c r="Z801" s="162"/>
      <c r="AA801" s="159" t="s">
        <v>278</v>
      </c>
      <c r="AB801" s="160"/>
      <c r="AC801" s="158">
        <f t="shared" si="105"/>
        <v>0</v>
      </c>
    </row>
    <row r="802" spans="8:29" ht="12.5" hidden="1">
      <c r="H802" s="131"/>
      <c r="J802" s="149"/>
      <c r="K802" s="150">
        <f>MAX(K$422:K801)+1</f>
        <v>381</v>
      </c>
      <c r="L802" s="151">
        <f t="shared" si="107"/>
        <v>1</v>
      </c>
      <c r="M802" s="152"/>
      <c r="N802" s="153"/>
      <c r="O802" s="153"/>
      <c r="P802" s="153"/>
      <c r="Q802" s="153"/>
      <c r="R802" s="153"/>
      <c r="S802" s="154">
        <f t="shared" si="106"/>
        <v>0</v>
      </c>
      <c r="T802" s="155"/>
      <c r="U802" s="154">
        <f t="shared" si="108"/>
        <v>0</v>
      </c>
      <c r="V802" s="156"/>
      <c r="W802" s="157"/>
      <c r="X802" s="157"/>
      <c r="Y802" s="158"/>
      <c r="Z802" s="162"/>
      <c r="AA802" s="159" t="s">
        <v>278</v>
      </c>
      <c r="AB802" s="160"/>
      <c r="AC802" s="158">
        <f t="shared" si="105"/>
        <v>0</v>
      </c>
    </row>
    <row r="803" spans="8:29" ht="12.5" hidden="1">
      <c r="H803" s="131"/>
      <c r="J803" s="149"/>
      <c r="K803" s="150">
        <f>MAX(K$422:K802)+1</f>
        <v>382</v>
      </c>
      <c r="L803" s="151">
        <f t="shared" si="107"/>
        <v>1</v>
      </c>
      <c r="M803" s="152"/>
      <c r="N803" s="153"/>
      <c r="O803" s="153"/>
      <c r="P803" s="153"/>
      <c r="Q803" s="153"/>
      <c r="R803" s="153"/>
      <c r="S803" s="154">
        <f t="shared" si="106"/>
        <v>0</v>
      </c>
      <c r="T803" s="155"/>
      <c r="U803" s="154">
        <f t="shared" si="108"/>
        <v>0</v>
      </c>
      <c r="V803" s="156"/>
      <c r="W803" s="157"/>
      <c r="X803" s="157"/>
      <c r="Y803" s="158"/>
      <c r="Z803" s="162"/>
      <c r="AA803" s="159" t="s">
        <v>278</v>
      </c>
      <c r="AB803" s="160"/>
      <c r="AC803" s="158">
        <f t="shared" si="105"/>
        <v>0</v>
      </c>
    </row>
    <row r="804" spans="8:29" ht="12.5" hidden="1">
      <c r="H804" s="131"/>
      <c r="J804" s="149"/>
      <c r="K804" s="150">
        <f>MAX(K$422:K803)+1</f>
        <v>383</v>
      </c>
      <c r="L804" s="151">
        <f t="shared" si="107"/>
        <v>1</v>
      </c>
      <c r="M804" s="152"/>
      <c r="N804" s="153"/>
      <c r="O804" s="153"/>
      <c r="P804" s="153"/>
      <c r="Q804" s="153"/>
      <c r="R804" s="153"/>
      <c r="S804" s="154">
        <f t="shared" si="106"/>
        <v>0</v>
      </c>
      <c r="T804" s="155"/>
      <c r="U804" s="154">
        <f t="shared" si="108"/>
        <v>0</v>
      </c>
      <c r="V804" s="156"/>
      <c r="W804" s="157"/>
      <c r="X804" s="157"/>
      <c r="Y804" s="158"/>
      <c r="Z804" s="162"/>
      <c r="AA804" s="159" t="s">
        <v>278</v>
      </c>
      <c r="AB804" s="160"/>
      <c r="AC804" s="158">
        <f t="shared" si="105"/>
        <v>0</v>
      </c>
    </row>
    <row r="805" spans="8:29" ht="12.5" hidden="1">
      <c r="H805" s="131"/>
      <c r="J805" s="149"/>
      <c r="K805" s="150">
        <f>MAX(K$422:K804)+1</f>
        <v>384</v>
      </c>
      <c r="L805" s="151">
        <f t="shared" si="107"/>
        <v>1</v>
      </c>
      <c r="M805" s="152"/>
      <c r="N805" s="153"/>
      <c r="O805" s="153"/>
      <c r="P805" s="153"/>
      <c r="Q805" s="153"/>
      <c r="R805" s="153"/>
      <c r="S805" s="154">
        <f t="shared" si="106"/>
        <v>0</v>
      </c>
      <c r="T805" s="155"/>
      <c r="U805" s="154">
        <f t="shared" si="108"/>
        <v>0</v>
      </c>
      <c r="V805" s="156"/>
      <c r="W805" s="157"/>
      <c r="X805" s="157"/>
      <c r="Y805" s="158"/>
      <c r="Z805" s="162"/>
      <c r="AA805" s="159" t="s">
        <v>278</v>
      </c>
      <c r="AB805" s="160"/>
      <c r="AC805" s="158">
        <f t="shared" si="105"/>
        <v>0</v>
      </c>
    </row>
    <row r="806" spans="8:29" ht="12.5" hidden="1">
      <c r="H806" s="131"/>
      <c r="J806" s="149"/>
      <c r="K806" s="150">
        <f>MAX(K$422:K805)+1</f>
        <v>385</v>
      </c>
      <c r="L806" s="151">
        <f t="shared" si="107"/>
        <v>1</v>
      </c>
      <c r="M806" s="152"/>
      <c r="N806" s="153"/>
      <c r="O806" s="153"/>
      <c r="P806" s="153"/>
      <c r="Q806" s="153"/>
      <c r="R806" s="153"/>
      <c r="S806" s="154">
        <f t="shared" si="106"/>
        <v>0</v>
      </c>
      <c r="T806" s="155"/>
      <c r="U806" s="154">
        <f t="shared" si="108"/>
        <v>0</v>
      </c>
      <c r="V806" s="156"/>
      <c r="W806" s="157"/>
      <c r="X806" s="157"/>
      <c r="Y806" s="158"/>
      <c r="Z806" s="162"/>
      <c r="AA806" s="159" t="s">
        <v>278</v>
      </c>
      <c r="AB806" s="160"/>
      <c r="AC806" s="158">
        <f t="shared" ref="AC806:AC820" si="109">INDEX(Y806:Z806,1,MATCH(_WellBasketSelection,$Y$421:$Z$421,0))*U806</f>
        <v>0</v>
      </c>
    </row>
    <row r="807" spans="8:29" ht="12.5" hidden="1">
      <c r="H807" s="131"/>
      <c r="J807" s="149"/>
      <c r="K807" s="150">
        <f>MAX(K$422:K806)+1</f>
        <v>386</v>
      </c>
      <c r="L807" s="151">
        <f t="shared" si="107"/>
        <v>1</v>
      </c>
      <c r="M807" s="152"/>
      <c r="N807" s="153"/>
      <c r="O807" s="153"/>
      <c r="P807" s="153"/>
      <c r="Q807" s="153"/>
      <c r="R807" s="153"/>
      <c r="S807" s="154">
        <f t="shared" ref="S807:S820" si="110">SUM(N807:R807)</f>
        <v>0</v>
      </c>
      <c r="T807" s="155"/>
      <c r="U807" s="154">
        <f t="shared" si="108"/>
        <v>0</v>
      </c>
      <c r="V807" s="156"/>
      <c r="W807" s="157"/>
      <c r="X807" s="157"/>
      <c r="Y807" s="158"/>
      <c r="Z807" s="162"/>
      <c r="AA807" s="159" t="s">
        <v>278</v>
      </c>
      <c r="AB807" s="160"/>
      <c r="AC807" s="158">
        <f t="shared" si="109"/>
        <v>0</v>
      </c>
    </row>
    <row r="808" spans="8:29" ht="12.5" hidden="1">
      <c r="H808" s="131"/>
      <c r="J808" s="149"/>
      <c r="K808" s="150">
        <f>MAX(K$422:K807)+1</f>
        <v>387</v>
      </c>
      <c r="L808" s="151">
        <f t="shared" si="107"/>
        <v>1</v>
      </c>
      <c r="M808" s="152"/>
      <c r="N808" s="153"/>
      <c r="O808" s="153"/>
      <c r="P808" s="153"/>
      <c r="Q808" s="153"/>
      <c r="R808" s="153"/>
      <c r="S808" s="154">
        <f t="shared" si="110"/>
        <v>0</v>
      </c>
      <c r="T808" s="155"/>
      <c r="U808" s="154">
        <f t="shared" si="108"/>
        <v>0</v>
      </c>
      <c r="V808" s="156"/>
      <c r="W808" s="157"/>
      <c r="X808" s="157"/>
      <c r="Y808" s="158"/>
      <c r="Z808" s="162"/>
      <c r="AA808" s="159" t="s">
        <v>278</v>
      </c>
      <c r="AB808" s="160"/>
      <c r="AC808" s="158">
        <f t="shared" si="109"/>
        <v>0</v>
      </c>
    </row>
    <row r="809" spans="8:29" ht="12.5" hidden="1">
      <c r="H809" s="131"/>
      <c r="J809" s="149"/>
      <c r="K809" s="150">
        <f>MAX(K$422:K808)+1</f>
        <v>388</v>
      </c>
      <c r="L809" s="151">
        <f t="shared" ref="L809:L821" si="111">IF(J808="",L808,L808+1)</f>
        <v>1</v>
      </c>
      <c r="M809" s="152"/>
      <c r="N809" s="153"/>
      <c r="O809" s="153"/>
      <c r="P809" s="153"/>
      <c r="Q809" s="153"/>
      <c r="R809" s="153"/>
      <c r="S809" s="154">
        <f t="shared" si="110"/>
        <v>0</v>
      </c>
      <c r="T809" s="155"/>
      <c r="U809" s="154">
        <f t="shared" si="108"/>
        <v>0</v>
      </c>
      <c r="V809" s="156"/>
      <c r="W809" s="157"/>
      <c r="X809" s="157"/>
      <c r="Y809" s="158"/>
      <c r="Z809" s="162"/>
      <c r="AA809" s="159" t="s">
        <v>278</v>
      </c>
      <c r="AB809" s="160"/>
      <c r="AC809" s="158">
        <f t="shared" si="109"/>
        <v>0</v>
      </c>
    </row>
    <row r="810" spans="8:29" ht="12.5" hidden="1">
      <c r="H810" s="131"/>
      <c r="J810" s="149"/>
      <c r="K810" s="150">
        <f>MAX(K$422:K809)+1</f>
        <v>389</v>
      </c>
      <c r="L810" s="151">
        <f t="shared" si="111"/>
        <v>1</v>
      </c>
      <c r="M810" s="152"/>
      <c r="N810" s="153"/>
      <c r="O810" s="153"/>
      <c r="P810" s="153"/>
      <c r="Q810" s="153"/>
      <c r="R810" s="153"/>
      <c r="S810" s="154">
        <f t="shared" si="110"/>
        <v>0</v>
      </c>
      <c r="T810" s="155"/>
      <c r="U810" s="154">
        <f t="shared" si="108"/>
        <v>0</v>
      </c>
      <c r="V810" s="156"/>
      <c r="W810" s="157"/>
      <c r="X810" s="157"/>
      <c r="Y810" s="158"/>
      <c r="Z810" s="162"/>
      <c r="AA810" s="159" t="s">
        <v>278</v>
      </c>
      <c r="AB810" s="160"/>
      <c r="AC810" s="158">
        <f t="shared" si="109"/>
        <v>0</v>
      </c>
    </row>
    <row r="811" spans="8:29" ht="12.5" hidden="1">
      <c r="H811" s="131"/>
      <c r="J811" s="149"/>
      <c r="K811" s="150">
        <f>MAX(K$422:K810)+1</f>
        <v>390</v>
      </c>
      <c r="L811" s="151">
        <f t="shared" si="111"/>
        <v>1</v>
      </c>
      <c r="M811" s="152"/>
      <c r="N811" s="153"/>
      <c r="O811" s="153"/>
      <c r="P811" s="153"/>
      <c r="Q811" s="153"/>
      <c r="R811" s="153"/>
      <c r="S811" s="154">
        <f t="shared" si="110"/>
        <v>0</v>
      </c>
      <c r="T811" s="155"/>
      <c r="U811" s="154">
        <f t="shared" si="108"/>
        <v>0</v>
      </c>
      <c r="V811" s="156"/>
      <c r="W811" s="157"/>
      <c r="X811" s="157"/>
      <c r="Y811" s="158"/>
      <c r="Z811" s="162"/>
      <c r="AA811" s="159" t="s">
        <v>278</v>
      </c>
      <c r="AB811" s="160"/>
      <c r="AC811" s="158">
        <f t="shared" si="109"/>
        <v>0</v>
      </c>
    </row>
    <row r="812" spans="8:29" ht="12.5" hidden="1">
      <c r="H812" s="131"/>
      <c r="J812" s="149"/>
      <c r="K812" s="150">
        <f>MAX(K$422:K811)+1</f>
        <v>391</v>
      </c>
      <c r="L812" s="151">
        <f t="shared" si="111"/>
        <v>1</v>
      </c>
      <c r="M812" s="152"/>
      <c r="N812" s="153"/>
      <c r="O812" s="153"/>
      <c r="P812" s="153"/>
      <c r="Q812" s="153"/>
      <c r="R812" s="153"/>
      <c r="S812" s="154">
        <f t="shared" si="110"/>
        <v>0</v>
      </c>
      <c r="T812" s="155"/>
      <c r="U812" s="154">
        <f t="shared" si="108"/>
        <v>0</v>
      </c>
      <c r="V812" s="156"/>
      <c r="W812" s="157"/>
      <c r="X812" s="157"/>
      <c r="Y812" s="158"/>
      <c r="Z812" s="162"/>
      <c r="AA812" s="159" t="s">
        <v>278</v>
      </c>
      <c r="AB812" s="160"/>
      <c r="AC812" s="158">
        <f t="shared" si="109"/>
        <v>0</v>
      </c>
    </row>
    <row r="813" spans="8:29" ht="12.5" hidden="1">
      <c r="H813" s="131"/>
      <c r="J813" s="149"/>
      <c r="K813" s="150">
        <f>MAX(K$422:K812)+1</f>
        <v>392</v>
      </c>
      <c r="L813" s="151">
        <f t="shared" si="111"/>
        <v>1</v>
      </c>
      <c r="M813" s="152"/>
      <c r="N813" s="153"/>
      <c r="O813" s="153"/>
      <c r="P813" s="153"/>
      <c r="Q813" s="153"/>
      <c r="R813" s="153"/>
      <c r="S813" s="154">
        <f t="shared" si="110"/>
        <v>0</v>
      </c>
      <c r="T813" s="155"/>
      <c r="U813" s="154">
        <f t="shared" si="108"/>
        <v>0</v>
      </c>
      <c r="V813" s="156"/>
      <c r="W813" s="157"/>
      <c r="X813" s="157"/>
      <c r="Y813" s="158"/>
      <c r="Z813" s="162"/>
      <c r="AA813" s="159" t="s">
        <v>278</v>
      </c>
      <c r="AB813" s="160"/>
      <c r="AC813" s="158">
        <f t="shared" si="109"/>
        <v>0</v>
      </c>
    </row>
    <row r="814" spans="8:29" ht="12.5" hidden="1">
      <c r="H814" s="131"/>
      <c r="J814" s="149"/>
      <c r="K814" s="150">
        <f>MAX(K$422:K813)+1</f>
        <v>393</v>
      </c>
      <c r="L814" s="151">
        <f t="shared" si="111"/>
        <v>1</v>
      </c>
      <c r="M814" s="152"/>
      <c r="N814" s="153"/>
      <c r="O814" s="153"/>
      <c r="P814" s="153"/>
      <c r="Q814" s="153"/>
      <c r="R814" s="153"/>
      <c r="S814" s="154">
        <f t="shared" si="110"/>
        <v>0</v>
      </c>
      <c r="T814" s="155"/>
      <c r="U814" s="154">
        <f t="shared" si="108"/>
        <v>0</v>
      </c>
      <c r="V814" s="156"/>
      <c r="W814" s="157"/>
      <c r="X814" s="157"/>
      <c r="Y814" s="158"/>
      <c r="Z814" s="162"/>
      <c r="AA814" s="159" t="s">
        <v>278</v>
      </c>
      <c r="AB814" s="160"/>
      <c r="AC814" s="158">
        <f t="shared" si="109"/>
        <v>0</v>
      </c>
    </row>
    <row r="815" spans="8:29" ht="12.5" hidden="1">
      <c r="H815" s="131"/>
      <c r="J815" s="149"/>
      <c r="K815" s="150">
        <f>MAX(K$422:K814)+1</f>
        <v>394</v>
      </c>
      <c r="L815" s="151">
        <f t="shared" si="111"/>
        <v>1</v>
      </c>
      <c r="M815" s="152"/>
      <c r="N815" s="153"/>
      <c r="O815" s="153"/>
      <c r="P815" s="153"/>
      <c r="Q815" s="153"/>
      <c r="R815" s="153"/>
      <c r="S815" s="154">
        <f t="shared" si="110"/>
        <v>0</v>
      </c>
      <c r="T815" s="155"/>
      <c r="U815" s="154">
        <f t="shared" si="108"/>
        <v>0</v>
      </c>
      <c r="V815" s="156"/>
      <c r="W815" s="157"/>
      <c r="X815" s="157"/>
      <c r="Y815" s="158"/>
      <c r="Z815" s="162"/>
      <c r="AA815" s="159" t="s">
        <v>278</v>
      </c>
      <c r="AB815" s="160"/>
      <c r="AC815" s="158">
        <f t="shared" si="109"/>
        <v>0</v>
      </c>
    </row>
    <row r="816" spans="8:29" ht="12.5" hidden="1">
      <c r="H816" s="131"/>
      <c r="J816" s="149"/>
      <c r="K816" s="150">
        <f>MAX(K$422:K815)+1</f>
        <v>395</v>
      </c>
      <c r="L816" s="151">
        <f t="shared" si="111"/>
        <v>1</v>
      </c>
      <c r="M816" s="152"/>
      <c r="N816" s="153"/>
      <c r="O816" s="153"/>
      <c r="P816" s="153"/>
      <c r="Q816" s="153"/>
      <c r="R816" s="153"/>
      <c r="S816" s="154">
        <f t="shared" si="110"/>
        <v>0</v>
      </c>
      <c r="T816" s="155"/>
      <c r="U816" s="154">
        <f t="shared" si="108"/>
        <v>0</v>
      </c>
      <c r="V816" s="156"/>
      <c r="W816" s="157"/>
      <c r="X816" s="157"/>
      <c r="Y816" s="158"/>
      <c r="Z816" s="162"/>
      <c r="AA816" s="159" t="s">
        <v>278</v>
      </c>
      <c r="AB816" s="160"/>
      <c r="AC816" s="158">
        <f t="shared" si="109"/>
        <v>0</v>
      </c>
    </row>
    <row r="817" spans="8:29" ht="12.5" hidden="1">
      <c r="H817" s="131"/>
      <c r="J817" s="149"/>
      <c r="K817" s="150">
        <f>MAX(K$422:K816)+1</f>
        <v>396</v>
      </c>
      <c r="L817" s="151">
        <f t="shared" si="111"/>
        <v>1</v>
      </c>
      <c r="M817" s="152"/>
      <c r="N817" s="153"/>
      <c r="O817" s="153"/>
      <c r="P817" s="153"/>
      <c r="Q817" s="153"/>
      <c r="R817" s="153"/>
      <c r="S817" s="154">
        <f t="shared" si="110"/>
        <v>0</v>
      </c>
      <c r="T817" s="155"/>
      <c r="U817" s="154">
        <f t="shared" si="108"/>
        <v>0</v>
      </c>
      <c r="V817" s="156"/>
      <c r="W817" s="157"/>
      <c r="X817" s="157"/>
      <c r="Y817" s="158"/>
      <c r="Z817" s="162"/>
      <c r="AA817" s="159" t="s">
        <v>278</v>
      </c>
      <c r="AB817" s="160"/>
      <c r="AC817" s="158">
        <f t="shared" si="109"/>
        <v>0</v>
      </c>
    </row>
    <row r="818" spans="8:29" ht="12.5" hidden="1">
      <c r="H818" s="131"/>
      <c r="J818" s="149"/>
      <c r="K818" s="150">
        <f>MAX(K$422:K817)+1</f>
        <v>397</v>
      </c>
      <c r="L818" s="151">
        <f t="shared" si="111"/>
        <v>1</v>
      </c>
      <c r="M818" s="152"/>
      <c r="N818" s="153"/>
      <c r="O818" s="153"/>
      <c r="P818" s="153"/>
      <c r="Q818" s="153"/>
      <c r="R818" s="153"/>
      <c r="S818" s="154">
        <f t="shared" si="110"/>
        <v>0</v>
      </c>
      <c r="T818" s="155"/>
      <c r="U818" s="154">
        <f t="shared" si="108"/>
        <v>0</v>
      </c>
      <c r="V818" s="156"/>
      <c r="W818" s="157"/>
      <c r="X818" s="157"/>
      <c r="Y818" s="158"/>
      <c r="Z818" s="162"/>
      <c r="AA818" s="159" t="s">
        <v>278</v>
      </c>
      <c r="AB818" s="160"/>
      <c r="AC818" s="158">
        <f t="shared" si="109"/>
        <v>0</v>
      </c>
    </row>
    <row r="819" spans="8:29" ht="12.5" hidden="1">
      <c r="H819" s="131"/>
      <c r="J819" s="149"/>
      <c r="K819" s="150">
        <f>MAX(K$422:K818)+1</f>
        <v>398</v>
      </c>
      <c r="L819" s="151">
        <f t="shared" si="111"/>
        <v>1</v>
      </c>
      <c r="M819" s="152"/>
      <c r="N819" s="153"/>
      <c r="O819" s="153"/>
      <c r="P819" s="153"/>
      <c r="Q819" s="153"/>
      <c r="R819" s="153"/>
      <c r="S819" s="154">
        <f t="shared" si="110"/>
        <v>0</v>
      </c>
      <c r="T819" s="155"/>
      <c r="U819" s="154">
        <f t="shared" si="108"/>
        <v>0</v>
      </c>
      <c r="V819" s="156"/>
      <c r="W819" s="157"/>
      <c r="X819" s="157"/>
      <c r="Y819" s="158"/>
      <c r="Z819" s="162"/>
      <c r="AA819" s="159" t="s">
        <v>278</v>
      </c>
      <c r="AB819" s="160"/>
      <c r="AC819" s="158">
        <f t="shared" si="109"/>
        <v>0</v>
      </c>
    </row>
    <row r="820" spans="8:29" ht="12.5" hidden="1">
      <c r="H820" s="131"/>
      <c r="J820" s="149"/>
      <c r="K820" s="150">
        <f>MAX(K$422:K819)+1</f>
        <v>399</v>
      </c>
      <c r="L820" s="151">
        <f t="shared" si="111"/>
        <v>1</v>
      </c>
      <c r="M820" s="152"/>
      <c r="N820" s="153"/>
      <c r="O820" s="153"/>
      <c r="P820" s="153"/>
      <c r="Q820" s="153"/>
      <c r="R820" s="153"/>
      <c r="S820" s="154">
        <f t="shared" si="110"/>
        <v>0</v>
      </c>
      <c r="T820" s="155"/>
      <c r="U820" s="154">
        <f t="shared" si="108"/>
        <v>0</v>
      </c>
      <c r="V820" s="156"/>
      <c r="W820" s="157"/>
      <c r="X820" s="157"/>
      <c r="Y820" s="158"/>
      <c r="Z820" s="162"/>
      <c r="AA820" s="159" t="s">
        <v>278</v>
      </c>
      <c r="AB820" s="160"/>
      <c r="AC820" s="158">
        <f t="shared" si="109"/>
        <v>0</v>
      </c>
    </row>
    <row r="821" spans="8:29" ht="12.5" hidden="1">
      <c r="J821" s="149"/>
      <c r="K821" s="150">
        <f>MAX(K$422:K820)+1</f>
        <v>400</v>
      </c>
      <c r="L821" s="151">
        <f t="shared" si="111"/>
        <v>1</v>
      </c>
      <c r="M821" s="152"/>
      <c r="N821" s="153"/>
      <c r="O821" s="153"/>
      <c r="P821" s="153"/>
      <c r="Q821" s="153"/>
      <c r="R821" s="153"/>
      <c r="S821" s="154">
        <f>SUM(N821:R821)</f>
        <v>0</v>
      </c>
      <c r="T821" s="155"/>
      <c r="U821" s="154">
        <f>S821+T821</f>
        <v>0</v>
      </c>
      <c r="V821" s="156"/>
      <c r="W821" s="157"/>
      <c r="X821" s="157"/>
      <c r="Y821" s="158"/>
      <c r="Z821" s="162"/>
      <c r="AA821" s="159" t="s">
        <v>278</v>
      </c>
      <c r="AB821" s="160"/>
      <c r="AC821" s="158">
        <f t="shared" ref="AC821" si="112">INDEX(Y821:Z821,1,MATCH(_WellBasketSelection,$Y$421:$Z$421,0))*U821</f>
        <v>0</v>
      </c>
    </row>
    <row r="822" spans="8:29" ht="12.5">
      <c r="K822" s="132" t="s">
        <v>267</v>
      </c>
      <c r="L822" s="132"/>
      <c r="M822" s="133"/>
      <c r="N822" s="134"/>
      <c r="O822" s="135"/>
      <c r="P822" s="135"/>
      <c r="Q822" s="135"/>
      <c r="R822" s="135"/>
      <c r="S822" s="135"/>
      <c r="T822" s="135"/>
      <c r="U822" s="136"/>
      <c r="V822" s="71"/>
      <c r="W822" s="137"/>
      <c r="X822" s="137"/>
      <c r="Y822" s="137"/>
      <c r="Z822" s="137"/>
      <c r="AA822" s="137"/>
      <c r="AB822" s="138"/>
      <c r="AC822" s="163">
        <f>SUM(AC422:AC821)-AC488-AC479-AC449-AC440-AC431-AC461-AC422-AC470-AC497</f>
        <v>1258.6868138256764</v>
      </c>
    </row>
    <row r="823" spans="8:29" ht="12.5"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</row>
    <row r="824" spans="8:29" ht="12.5"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</row>
    <row r="825" spans="8:29" ht="12.5">
      <c r="K825" s="139" t="s">
        <v>323</v>
      </c>
      <c r="L825" s="139"/>
      <c r="M825" s="140" t="s">
        <v>324</v>
      </c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</row>
    <row r="826" spans="8:29" ht="12.5">
      <c r="K826" s="142" t="s">
        <v>249</v>
      </c>
      <c r="L826" s="143" t="s">
        <v>250</v>
      </c>
      <c r="M826" s="164" t="s">
        <v>251</v>
      </c>
      <c r="N826" s="165" t="s">
        <v>252</v>
      </c>
      <c r="O826" s="166" t="s">
        <v>253</v>
      </c>
      <c r="P826" s="166" t="s">
        <v>254</v>
      </c>
      <c r="Q826" s="166" t="s">
        <v>255</v>
      </c>
      <c r="R826" s="166" t="s">
        <v>256</v>
      </c>
      <c r="S826" s="164" t="s">
        <v>257</v>
      </c>
      <c r="T826" s="166" t="s">
        <v>105</v>
      </c>
      <c r="U826" s="167" t="s">
        <v>275</v>
      </c>
      <c r="V826" s="71"/>
      <c r="W826" s="168" t="s">
        <v>259</v>
      </c>
      <c r="X826" s="168" t="s">
        <v>260</v>
      </c>
      <c r="Y826" s="168" t="s">
        <v>241</v>
      </c>
      <c r="Z826" s="168" t="s">
        <v>242</v>
      </c>
      <c r="AA826" s="168" t="s">
        <v>263</v>
      </c>
      <c r="AB826" s="71"/>
      <c r="AC826" s="168" t="s">
        <v>276</v>
      </c>
    </row>
    <row r="827" spans="8:29" ht="12.5">
      <c r="J827" s="149"/>
      <c r="K827" s="150">
        <v>1</v>
      </c>
      <c r="L827" s="151">
        <v>1</v>
      </c>
      <c r="M827" s="152" t="s">
        <v>277</v>
      </c>
      <c r="N827" s="153"/>
      <c r="O827" s="153"/>
      <c r="P827" s="153"/>
      <c r="Q827" s="153"/>
      <c r="R827" s="153"/>
      <c r="S827" s="154">
        <f>SUM(N827:R827)</f>
        <v>0</v>
      </c>
      <c r="T827" s="153"/>
      <c r="U827" s="169">
        <f>'[1]Pricing Schedule'!F2</f>
        <v>24.327449566768507</v>
      </c>
      <c r="V827" s="156"/>
      <c r="W827" s="158"/>
      <c r="X827" s="158"/>
      <c r="Y827" s="158">
        <f>'[1]Pricing Schedule'!J2*'[1]Pricing Schedule'!$G2</f>
        <v>9</v>
      </c>
      <c r="Z827" s="158">
        <f>'[1]Pricing Schedule'!K2*'[1]Pricing Schedule'!$G2</f>
        <v>9</v>
      </c>
      <c r="AA827" s="159" t="s">
        <v>278</v>
      </c>
      <c r="AB827" s="160"/>
      <c r="AC827" s="157">
        <f t="shared" ref="AC827:AC844" si="113">INDEX(Y827:Z827,1,MATCH(_WellBasketSelection,$Y$826:$Z$826,0))*U827</f>
        <v>218.94704610091657</v>
      </c>
    </row>
    <row r="828" spans="8:29" ht="12.5">
      <c r="J828" s="149"/>
      <c r="K828" s="150">
        <v>2</v>
      </c>
      <c r="L828" s="151">
        <f t="shared" ref="L828:L891" si="114">IF(J827="",L827,L827+1)</f>
        <v>1</v>
      </c>
      <c r="M828" s="152" t="s">
        <v>279</v>
      </c>
      <c r="N828" s="153"/>
      <c r="O828" s="153"/>
      <c r="P828" s="153"/>
      <c r="Q828" s="153"/>
      <c r="R828" s="153"/>
      <c r="S828" s="154">
        <f t="shared" ref="S828:S891" si="115">SUM(N828:R828)</f>
        <v>0</v>
      </c>
      <c r="T828" s="153"/>
      <c r="U828" s="169">
        <f>'[1]Pricing Schedule'!F3</f>
        <v>0</v>
      </c>
      <c r="V828" s="156"/>
      <c r="W828" s="158"/>
      <c r="X828" s="158"/>
      <c r="Y828" s="158">
        <f>'[1]Pricing Schedule'!J3*'[1]Pricing Schedule'!$G3</f>
        <v>495</v>
      </c>
      <c r="Z828" s="158">
        <f>'[1]Pricing Schedule'!K3*'[1]Pricing Schedule'!$G3</f>
        <v>495</v>
      </c>
      <c r="AA828" s="159" t="s">
        <v>278</v>
      </c>
      <c r="AB828" s="170"/>
      <c r="AC828" s="157">
        <f t="shared" si="113"/>
        <v>0</v>
      </c>
    </row>
    <row r="829" spans="8:29" ht="12.5">
      <c r="J829" s="149"/>
      <c r="K829" s="171">
        <f>MAX(K$827:K828)+1</f>
        <v>3</v>
      </c>
      <c r="L829" s="172">
        <f t="shared" si="114"/>
        <v>1</v>
      </c>
      <c r="M829" s="152" t="s">
        <v>280</v>
      </c>
      <c r="N829" s="153"/>
      <c r="O829" s="153"/>
      <c r="P829" s="153"/>
      <c r="Q829" s="153"/>
      <c r="R829" s="153"/>
      <c r="S829" s="154">
        <f t="shared" si="115"/>
        <v>0</v>
      </c>
      <c r="T829" s="153"/>
      <c r="U829" s="169">
        <f>'[1]Pricing Schedule'!F4</f>
        <v>6.2483566890144072E-3</v>
      </c>
      <c r="V829" s="156"/>
      <c r="W829" s="158"/>
      <c r="X829" s="158"/>
      <c r="Y829" s="158">
        <f>'[1]Pricing Schedule'!J4*'[1]Pricing Schedule'!$G4</f>
        <v>6075</v>
      </c>
      <c r="Z829" s="158">
        <f>'[1]Pricing Schedule'!K4*'[1]Pricing Schedule'!$G4</f>
        <v>6075</v>
      </c>
      <c r="AA829" s="159" t="s">
        <v>278</v>
      </c>
      <c r="AB829" s="160"/>
      <c r="AC829" s="157">
        <f t="shared" si="113"/>
        <v>37.958766885762522</v>
      </c>
    </row>
    <row r="830" spans="8:29" ht="12.5">
      <c r="J830" s="149"/>
      <c r="K830" s="171">
        <f>MAX(K$827:K829)+1</f>
        <v>4</v>
      </c>
      <c r="L830" s="172">
        <f t="shared" si="114"/>
        <v>1</v>
      </c>
      <c r="M830" s="152" t="s">
        <v>281</v>
      </c>
      <c r="N830" s="153"/>
      <c r="O830" s="153"/>
      <c r="P830" s="153"/>
      <c r="Q830" s="153"/>
      <c r="R830" s="153"/>
      <c r="S830" s="154">
        <f t="shared" si="115"/>
        <v>0</v>
      </c>
      <c r="T830" s="153"/>
      <c r="U830" s="169">
        <f>'[1]Pricing Schedule'!F5</f>
        <v>9.5929223721516552E-3</v>
      </c>
      <c r="V830" s="156"/>
      <c r="W830" s="158"/>
      <c r="X830" s="158"/>
      <c r="Y830" s="158">
        <f>'[1]Pricing Schedule'!J5*'[1]Pricing Schedule'!$G5</f>
        <v>10890</v>
      </c>
      <c r="Z830" s="158">
        <f>'[1]Pricing Schedule'!K5*'[1]Pricing Schedule'!$G5</f>
        <v>10890</v>
      </c>
      <c r="AA830" s="159" t="s">
        <v>278</v>
      </c>
      <c r="AB830" s="160"/>
      <c r="AC830" s="157">
        <f t="shared" si="113"/>
        <v>104.46692463273152</v>
      </c>
    </row>
    <row r="831" spans="8:29" ht="12.5">
      <c r="J831" s="149"/>
      <c r="K831" s="171">
        <f>MAX(K$827:K830)+1</f>
        <v>5</v>
      </c>
      <c r="L831" s="172">
        <f t="shared" si="114"/>
        <v>1</v>
      </c>
      <c r="M831" s="152" t="s">
        <v>282</v>
      </c>
      <c r="N831" s="153"/>
      <c r="O831" s="153"/>
      <c r="P831" s="153"/>
      <c r="Q831" s="153"/>
      <c r="R831" s="153"/>
      <c r="S831" s="154">
        <f t="shared" si="115"/>
        <v>0</v>
      </c>
      <c r="T831" s="153"/>
      <c r="U831" s="169">
        <f>'[1]Pricing Schedule'!F6</f>
        <v>1.4948838391444964E-2</v>
      </c>
      <c r="V831" s="156"/>
      <c r="W831" s="158"/>
      <c r="X831" s="158"/>
      <c r="Y831" s="158">
        <f>'[1]Pricing Schedule'!J6*'[1]Pricing Schedule'!$G6</f>
        <v>4860</v>
      </c>
      <c r="Z831" s="158">
        <f>'[1]Pricing Schedule'!K6*'[1]Pricing Schedule'!$G6</f>
        <v>4860</v>
      </c>
      <c r="AA831" s="159" t="s">
        <v>278</v>
      </c>
      <c r="AB831" s="160"/>
      <c r="AC831" s="157">
        <f t="shared" si="113"/>
        <v>72.651354582422528</v>
      </c>
    </row>
    <row r="832" spans="8:29" ht="12.5">
      <c r="J832" s="149"/>
      <c r="K832" s="171">
        <f>MAX(K$827:K831)+1</f>
        <v>6</v>
      </c>
      <c r="L832" s="172">
        <f t="shared" si="114"/>
        <v>1</v>
      </c>
      <c r="M832" s="152" t="s">
        <v>283</v>
      </c>
      <c r="N832" s="153"/>
      <c r="O832" s="153"/>
      <c r="P832" s="153"/>
      <c r="Q832" s="153"/>
      <c r="R832" s="153"/>
      <c r="S832" s="154">
        <f t="shared" si="115"/>
        <v>0</v>
      </c>
      <c r="T832" s="153"/>
      <c r="U832" s="169">
        <f>'[1]Pricing Schedule'!F7</f>
        <v>0</v>
      </c>
      <c r="V832" s="156"/>
      <c r="W832" s="158"/>
      <c r="X832" s="158"/>
      <c r="Y832" s="158">
        <f>'[1]Pricing Schedule'!J7*'[1]Pricing Schedule'!$G7</f>
        <v>0</v>
      </c>
      <c r="Z832" s="158">
        <f>'[1]Pricing Schedule'!K7*'[1]Pricing Schedule'!$G7</f>
        <v>0</v>
      </c>
      <c r="AA832" s="159" t="s">
        <v>278</v>
      </c>
      <c r="AB832" s="160"/>
      <c r="AC832" s="157">
        <f t="shared" si="113"/>
        <v>0</v>
      </c>
    </row>
    <row r="833" spans="10:29" ht="12.5">
      <c r="J833" s="149"/>
      <c r="K833" s="171">
        <f>MAX(K$827:K832)+1</f>
        <v>7</v>
      </c>
      <c r="L833" s="172">
        <f t="shared" si="114"/>
        <v>1</v>
      </c>
      <c r="M833" s="152" t="s">
        <v>284</v>
      </c>
      <c r="N833" s="153"/>
      <c r="O833" s="153"/>
      <c r="P833" s="153"/>
      <c r="Q833" s="153"/>
      <c r="R833" s="153"/>
      <c r="S833" s="154">
        <f t="shared" si="115"/>
        <v>0</v>
      </c>
      <c r="T833" s="153"/>
      <c r="U833" s="169">
        <f>'[1]Pricing Schedule'!F8</f>
        <v>0.43</v>
      </c>
      <c r="V833" s="156"/>
      <c r="W833" s="158"/>
      <c r="X833" s="158"/>
      <c r="Y833" s="158">
        <f>'[1]Pricing Schedule'!J8*'[1]Pricing Schedule'!$G8</f>
        <v>9</v>
      </c>
      <c r="Z833" s="158">
        <f>'[1]Pricing Schedule'!K8*'[1]Pricing Schedule'!$G8</f>
        <v>9</v>
      </c>
      <c r="AA833" s="159" t="s">
        <v>278</v>
      </c>
      <c r="AB833" s="160"/>
      <c r="AC833" s="157">
        <f t="shared" si="113"/>
        <v>3.87</v>
      </c>
    </row>
    <row r="834" spans="10:29" ht="12.5">
      <c r="J834" s="149"/>
      <c r="K834" s="171">
        <f>MAX(K$827:K833)+1</f>
        <v>8</v>
      </c>
      <c r="L834" s="172">
        <f t="shared" si="114"/>
        <v>1</v>
      </c>
      <c r="M834" s="152" t="s">
        <v>285</v>
      </c>
      <c r="N834" s="153"/>
      <c r="O834" s="153"/>
      <c r="P834" s="153"/>
      <c r="Q834" s="153"/>
      <c r="R834" s="153"/>
      <c r="S834" s="154">
        <f t="shared" si="115"/>
        <v>0</v>
      </c>
      <c r="T834" s="153"/>
      <c r="U834" s="169">
        <f>'[1]Pricing Schedule'!F9</f>
        <v>3.1479999999999997</v>
      </c>
      <c r="V834" s="156"/>
      <c r="W834" s="158"/>
      <c r="X834" s="158"/>
      <c r="Y834" s="158">
        <f>'[1]Pricing Schedule'!J9*'[1]Pricing Schedule'!$G9</f>
        <v>0</v>
      </c>
      <c r="Z834" s="158">
        <f>'[1]Pricing Schedule'!K9*'[1]Pricing Schedule'!$G9</f>
        <v>0</v>
      </c>
      <c r="AA834" s="159" t="s">
        <v>278</v>
      </c>
      <c r="AB834" s="160"/>
      <c r="AC834" s="157">
        <f t="shared" si="113"/>
        <v>0</v>
      </c>
    </row>
    <row r="835" spans="10:29" ht="12.5">
      <c r="J835" s="173"/>
      <c r="K835" s="171">
        <f>MAX(K$827:K834)+1</f>
        <v>9</v>
      </c>
      <c r="L835" s="172">
        <f t="shared" si="114"/>
        <v>1</v>
      </c>
      <c r="M835" s="152" t="s">
        <v>286</v>
      </c>
      <c r="N835" s="153"/>
      <c r="O835" s="153"/>
      <c r="P835" s="153"/>
      <c r="Q835" s="153"/>
      <c r="R835" s="153"/>
      <c r="S835" s="154">
        <f t="shared" si="115"/>
        <v>0</v>
      </c>
      <c r="T835" s="153"/>
      <c r="U835" s="169">
        <f>'[1]Pricing Schedule'!F10</f>
        <v>0</v>
      </c>
      <c r="V835" s="156"/>
      <c r="W835" s="158"/>
      <c r="X835" s="158"/>
      <c r="Y835" s="158">
        <f>'[1]Pricing Schedule'!J10*'[1]Pricing Schedule'!$G10</f>
        <v>9</v>
      </c>
      <c r="Z835" s="158">
        <f>'[1]Pricing Schedule'!K10*'[1]Pricing Schedule'!$G10</f>
        <v>9</v>
      </c>
      <c r="AA835" s="159" t="s">
        <v>278</v>
      </c>
      <c r="AB835" s="160"/>
      <c r="AC835" s="174">
        <f t="shared" si="113"/>
        <v>0</v>
      </c>
    </row>
    <row r="836" spans="10:29" ht="12.5">
      <c r="J836" s="149"/>
      <c r="K836" s="171">
        <f>MAX(K$827:K835)+1</f>
        <v>10</v>
      </c>
      <c r="L836" s="172">
        <f t="shared" si="114"/>
        <v>1</v>
      </c>
      <c r="M836" s="152" t="s">
        <v>287</v>
      </c>
      <c r="N836" s="153"/>
      <c r="O836" s="153"/>
      <c r="P836" s="153"/>
      <c r="Q836" s="153"/>
      <c r="R836" s="153"/>
      <c r="S836" s="154">
        <f t="shared" si="115"/>
        <v>0</v>
      </c>
      <c r="T836" s="153"/>
      <c r="U836" s="169">
        <f>'[1]Pricing Schedule'!F11</f>
        <v>26.84695048549122</v>
      </c>
      <c r="V836" s="156"/>
      <c r="W836" s="158"/>
      <c r="X836" s="158"/>
      <c r="Y836" s="158">
        <f>'[1]Pricing Schedule'!J11*'[1]Pricing Schedule'!$G11</f>
        <v>13</v>
      </c>
      <c r="Z836" s="158">
        <f>'[1]Pricing Schedule'!K11*'[1]Pricing Schedule'!$G11</f>
        <v>13</v>
      </c>
      <c r="AA836" s="159" t="s">
        <v>278</v>
      </c>
      <c r="AB836" s="160"/>
      <c r="AC836" s="174">
        <f t="shared" si="113"/>
        <v>349.01035631138586</v>
      </c>
    </row>
    <row r="837" spans="10:29" ht="12.5">
      <c r="J837" s="149"/>
      <c r="K837" s="171">
        <f>MAX(K$827:K836)+1</f>
        <v>11</v>
      </c>
      <c r="L837" s="172">
        <f t="shared" si="114"/>
        <v>1</v>
      </c>
      <c r="M837" s="152" t="s">
        <v>288</v>
      </c>
      <c r="N837" s="153"/>
      <c r="O837" s="153"/>
      <c r="P837" s="153"/>
      <c r="Q837" s="153"/>
      <c r="R837" s="153"/>
      <c r="S837" s="154">
        <f t="shared" si="115"/>
        <v>0</v>
      </c>
      <c r="T837" s="153"/>
      <c r="U837" s="169">
        <f>'[1]Pricing Schedule'!F12</f>
        <v>0</v>
      </c>
      <c r="V837" s="156"/>
      <c r="W837" s="158"/>
      <c r="X837" s="158"/>
      <c r="Y837" s="158">
        <f>'[1]Pricing Schedule'!J12*'[1]Pricing Schedule'!$G12</f>
        <v>715</v>
      </c>
      <c r="Z837" s="158">
        <f>'[1]Pricing Schedule'!K12*'[1]Pricing Schedule'!$G12</f>
        <v>715</v>
      </c>
      <c r="AA837" s="159" t="s">
        <v>278</v>
      </c>
      <c r="AB837" s="160"/>
      <c r="AC837" s="174">
        <f t="shared" si="113"/>
        <v>0</v>
      </c>
    </row>
    <row r="838" spans="10:29" ht="12.5">
      <c r="J838" s="149"/>
      <c r="K838" s="171">
        <f>MAX(K$827:K837)+1</f>
        <v>12</v>
      </c>
      <c r="L838" s="172">
        <f t="shared" si="114"/>
        <v>1</v>
      </c>
      <c r="M838" s="152" t="s">
        <v>289</v>
      </c>
      <c r="N838" s="153"/>
      <c r="O838" s="153"/>
      <c r="P838" s="153"/>
      <c r="Q838" s="153"/>
      <c r="R838" s="153"/>
      <c r="S838" s="154">
        <f t="shared" si="115"/>
        <v>0</v>
      </c>
      <c r="T838" s="153"/>
      <c r="U838" s="169">
        <f>'[1]Pricing Schedule'!F13</f>
        <v>6.2483566890144072E-3</v>
      </c>
      <c r="V838" s="156"/>
      <c r="W838" s="158"/>
      <c r="X838" s="158"/>
      <c r="Y838" s="158">
        <f>'[1]Pricing Schedule'!J13*'[1]Pricing Schedule'!$G13</f>
        <v>8775</v>
      </c>
      <c r="Z838" s="158">
        <f>'[1]Pricing Schedule'!K13*'[1]Pricing Schedule'!$G13</f>
        <v>8775</v>
      </c>
      <c r="AA838" s="159" t="s">
        <v>278</v>
      </c>
      <c r="AB838" s="160"/>
      <c r="AC838" s="174">
        <f t="shared" si="113"/>
        <v>54.829329946101424</v>
      </c>
    </row>
    <row r="839" spans="10:29" ht="12.5">
      <c r="J839" s="149"/>
      <c r="K839" s="171">
        <f>MAX(K$827:K838)+1</f>
        <v>13</v>
      </c>
      <c r="L839" s="172">
        <f t="shared" si="114"/>
        <v>1</v>
      </c>
      <c r="M839" s="152" t="s">
        <v>290</v>
      </c>
      <c r="N839" s="153"/>
      <c r="O839" s="153"/>
      <c r="P839" s="153"/>
      <c r="Q839" s="153"/>
      <c r="R839" s="153"/>
      <c r="S839" s="154">
        <f t="shared" si="115"/>
        <v>0</v>
      </c>
      <c r="T839" s="153"/>
      <c r="U839" s="169">
        <f>'[1]Pricing Schedule'!F14</f>
        <v>1.008338889557926E-2</v>
      </c>
      <c r="V839" s="156"/>
      <c r="W839" s="158"/>
      <c r="X839" s="158"/>
      <c r="Y839" s="158">
        <f>'[1]Pricing Schedule'!J14*'[1]Pricing Schedule'!$G14</f>
        <v>17160</v>
      </c>
      <c r="Z839" s="158">
        <f>'[1]Pricing Schedule'!K14*'[1]Pricing Schedule'!$G14</f>
        <v>17160</v>
      </c>
      <c r="AA839" s="159" t="s">
        <v>278</v>
      </c>
      <c r="AB839" s="160"/>
      <c r="AC839" s="174">
        <f t="shared" si="113"/>
        <v>173.03095344814011</v>
      </c>
    </row>
    <row r="840" spans="10:29" ht="12.5">
      <c r="J840" s="149"/>
      <c r="K840" s="171">
        <f>MAX(K$827:K839)+1</f>
        <v>14</v>
      </c>
      <c r="L840" s="172">
        <f t="shared" si="114"/>
        <v>1</v>
      </c>
      <c r="M840" s="152" t="s">
        <v>291</v>
      </c>
      <c r="N840" s="153"/>
      <c r="O840" s="153"/>
      <c r="P840" s="153"/>
      <c r="Q840" s="153"/>
      <c r="R840" s="153"/>
      <c r="S840" s="154">
        <f t="shared" si="115"/>
        <v>0</v>
      </c>
      <c r="T840" s="153"/>
      <c r="U840" s="169">
        <f>'[1]Pricing Schedule'!F15</f>
        <v>1.3675748274218264E-2</v>
      </c>
      <c r="V840" s="156"/>
      <c r="W840" s="158"/>
      <c r="X840" s="158"/>
      <c r="Y840" s="158">
        <f>'[1]Pricing Schedule'!J15*'[1]Pricing Schedule'!$G15</f>
        <v>8450</v>
      </c>
      <c r="Z840" s="158">
        <f>'[1]Pricing Schedule'!K15*'[1]Pricing Schedule'!$G15</f>
        <v>8450</v>
      </c>
      <c r="AA840" s="159" t="s">
        <v>278</v>
      </c>
      <c r="AB840" s="160"/>
      <c r="AC840" s="174">
        <f t="shared" si="113"/>
        <v>115.56007291714434</v>
      </c>
    </row>
    <row r="841" spans="10:29" ht="12.5">
      <c r="J841" s="149"/>
      <c r="K841" s="171">
        <f>MAX(K$827:K840)+1</f>
        <v>15</v>
      </c>
      <c r="L841" s="172">
        <f t="shared" si="114"/>
        <v>1</v>
      </c>
      <c r="M841" s="152" t="s">
        <v>292</v>
      </c>
      <c r="N841" s="153"/>
      <c r="O841" s="153"/>
      <c r="P841" s="153"/>
      <c r="Q841" s="153"/>
      <c r="R841" s="153"/>
      <c r="S841" s="154">
        <f t="shared" si="115"/>
        <v>0</v>
      </c>
      <c r="T841" s="153"/>
      <c r="U841" s="169">
        <f>'[1]Pricing Schedule'!F16</f>
        <v>0</v>
      </c>
      <c r="V841" s="156"/>
      <c r="W841" s="158"/>
      <c r="X841" s="158"/>
      <c r="Y841" s="158">
        <f>'[1]Pricing Schedule'!J16*'[1]Pricing Schedule'!$G16</f>
        <v>0</v>
      </c>
      <c r="Z841" s="158">
        <f>'[1]Pricing Schedule'!K16*'[1]Pricing Schedule'!$G16</f>
        <v>0</v>
      </c>
      <c r="AA841" s="159" t="s">
        <v>278</v>
      </c>
      <c r="AB841" s="160"/>
      <c r="AC841" s="174">
        <f t="shared" si="113"/>
        <v>0</v>
      </c>
    </row>
    <row r="842" spans="10:29" ht="12.5">
      <c r="J842" s="149"/>
      <c r="K842" s="171">
        <f>MAX(K$827:K841)+1</f>
        <v>16</v>
      </c>
      <c r="L842" s="172">
        <f t="shared" si="114"/>
        <v>1</v>
      </c>
      <c r="M842" s="152" t="s">
        <v>293</v>
      </c>
      <c r="N842" s="153"/>
      <c r="O842" s="153"/>
      <c r="P842" s="153"/>
      <c r="Q842" s="153"/>
      <c r="R842" s="153"/>
      <c r="S842" s="154">
        <f t="shared" si="115"/>
        <v>0</v>
      </c>
      <c r="T842" s="153"/>
      <c r="U842" s="169">
        <f>'[1]Pricing Schedule'!F17</f>
        <v>0.43</v>
      </c>
      <c r="V842" s="156"/>
      <c r="W842" s="158"/>
      <c r="X842" s="158"/>
      <c r="Y842" s="158">
        <f>'[1]Pricing Schedule'!J17*'[1]Pricing Schedule'!$G17</f>
        <v>13</v>
      </c>
      <c r="Z842" s="158">
        <f>'[1]Pricing Schedule'!K17*'[1]Pricing Schedule'!$G17</f>
        <v>13</v>
      </c>
      <c r="AA842" s="159" t="s">
        <v>278</v>
      </c>
      <c r="AB842" s="160"/>
      <c r="AC842" s="174">
        <f t="shared" si="113"/>
        <v>5.59</v>
      </c>
    </row>
    <row r="843" spans="10:29" ht="12.5">
      <c r="J843" s="149"/>
      <c r="K843" s="171">
        <f>MAX(K$827:K842)+1</f>
        <v>17</v>
      </c>
      <c r="L843" s="172">
        <f t="shared" si="114"/>
        <v>1</v>
      </c>
      <c r="M843" s="152" t="s">
        <v>294</v>
      </c>
      <c r="N843" s="153"/>
      <c r="O843" s="153"/>
      <c r="P843" s="153"/>
      <c r="Q843" s="153"/>
      <c r="R843" s="153"/>
      <c r="S843" s="154">
        <f t="shared" si="115"/>
        <v>0</v>
      </c>
      <c r="T843" s="153"/>
      <c r="U843" s="169">
        <f>'[1]Pricing Schedule'!F18</f>
        <v>3.2439999999999998</v>
      </c>
      <c r="V843" s="156"/>
      <c r="W843" s="158"/>
      <c r="X843" s="158"/>
      <c r="Y843" s="158">
        <f>'[1]Pricing Schedule'!J18*'[1]Pricing Schedule'!$G18</f>
        <v>0</v>
      </c>
      <c r="Z843" s="158">
        <f>'[1]Pricing Schedule'!K18*'[1]Pricing Schedule'!$G18</f>
        <v>0</v>
      </c>
      <c r="AA843" s="159" t="s">
        <v>278</v>
      </c>
      <c r="AB843" s="160"/>
      <c r="AC843" s="174">
        <f t="shared" si="113"/>
        <v>0</v>
      </c>
    </row>
    <row r="844" spans="10:29" ht="12.5">
      <c r="J844" s="149"/>
      <c r="K844" s="171">
        <f>MAX(K$827:K843)+1</f>
        <v>18</v>
      </c>
      <c r="L844" s="172">
        <f t="shared" si="114"/>
        <v>1</v>
      </c>
      <c r="M844" s="152" t="s">
        <v>295</v>
      </c>
      <c r="N844" s="153"/>
      <c r="O844" s="153"/>
      <c r="P844" s="153"/>
      <c r="Q844" s="153"/>
      <c r="R844" s="153"/>
      <c r="S844" s="154">
        <f t="shared" si="115"/>
        <v>0</v>
      </c>
      <c r="T844" s="153"/>
      <c r="U844" s="169">
        <f>'[1]Pricing Schedule'!F19</f>
        <v>0</v>
      </c>
      <c r="V844" s="156"/>
      <c r="W844" s="158"/>
      <c r="X844" s="158"/>
      <c r="Y844" s="158">
        <f>'[1]Pricing Schedule'!J19*'[1]Pricing Schedule'!$G19</f>
        <v>13</v>
      </c>
      <c r="Z844" s="158">
        <f>'[1]Pricing Schedule'!K19*'[1]Pricing Schedule'!$G19</f>
        <v>13</v>
      </c>
      <c r="AA844" s="159" t="s">
        <v>278</v>
      </c>
      <c r="AB844" s="160"/>
      <c r="AC844" s="174">
        <f t="shared" si="113"/>
        <v>0</v>
      </c>
    </row>
    <row r="845" spans="10:29" ht="12.5">
      <c r="J845" s="149"/>
      <c r="K845" s="171">
        <f>MAX(K$827:K844)+1</f>
        <v>19</v>
      </c>
      <c r="L845" s="172">
        <f t="shared" si="114"/>
        <v>1</v>
      </c>
      <c r="M845" s="152"/>
      <c r="N845" s="153"/>
      <c r="O845" s="153"/>
      <c r="P845" s="153"/>
      <c r="Q845" s="153"/>
      <c r="R845" s="153"/>
      <c r="S845" s="154"/>
      <c r="T845" s="153"/>
      <c r="U845" s="169"/>
      <c r="V845" s="156"/>
      <c r="W845" s="158"/>
      <c r="X845" s="158"/>
      <c r="Y845" s="158"/>
      <c r="Z845" s="158"/>
      <c r="AA845" s="159"/>
      <c r="AB845" s="160"/>
      <c r="AC845" s="174"/>
    </row>
    <row r="846" spans="10:29" ht="12.5">
      <c r="J846" s="149"/>
      <c r="K846" s="171">
        <f>MAX(K$827:K845)+1</f>
        <v>20</v>
      </c>
      <c r="L846" s="172">
        <f t="shared" si="114"/>
        <v>1</v>
      </c>
      <c r="M846" s="152"/>
      <c r="N846" s="153"/>
      <c r="O846" s="153"/>
      <c r="P846" s="153"/>
      <c r="Q846" s="153"/>
      <c r="R846" s="153"/>
      <c r="S846" s="154"/>
      <c r="T846" s="153"/>
      <c r="U846" s="169"/>
      <c r="V846" s="156"/>
      <c r="W846" s="158"/>
      <c r="X846" s="158"/>
      <c r="Y846" s="158"/>
      <c r="Z846" s="158"/>
      <c r="AA846" s="159"/>
      <c r="AB846" s="160"/>
      <c r="AC846" s="174"/>
    </row>
    <row r="847" spans="10:29" ht="12.5">
      <c r="J847" s="149"/>
      <c r="K847" s="171">
        <f>MAX(K$827:K846)+1</f>
        <v>21</v>
      </c>
      <c r="L847" s="172">
        <f t="shared" si="114"/>
        <v>1</v>
      </c>
      <c r="M847" s="152"/>
      <c r="N847" s="153"/>
      <c r="O847" s="153"/>
      <c r="P847" s="153"/>
      <c r="Q847" s="153"/>
      <c r="R847" s="153"/>
      <c r="S847" s="154"/>
      <c r="T847" s="153"/>
      <c r="U847" s="169"/>
      <c r="V847" s="156"/>
      <c r="W847" s="158"/>
      <c r="X847" s="158"/>
      <c r="Y847" s="158"/>
      <c r="Z847" s="158"/>
      <c r="AA847" s="159"/>
      <c r="AB847" s="160"/>
      <c r="AC847" s="174"/>
    </row>
    <row r="848" spans="10:29" ht="12.5">
      <c r="J848" s="149"/>
      <c r="K848" s="171">
        <f>MAX(K$827:K847)+1</f>
        <v>22</v>
      </c>
      <c r="L848" s="172">
        <f t="shared" si="114"/>
        <v>1</v>
      </c>
      <c r="M848" s="152"/>
      <c r="N848" s="153"/>
      <c r="O848" s="153"/>
      <c r="P848" s="153"/>
      <c r="Q848" s="153"/>
      <c r="R848" s="153"/>
      <c r="S848" s="154"/>
      <c r="T848" s="153"/>
      <c r="U848" s="169"/>
      <c r="V848" s="156"/>
      <c r="W848" s="158"/>
      <c r="X848" s="158"/>
      <c r="Y848" s="158"/>
      <c r="Z848" s="158"/>
      <c r="AA848" s="159"/>
      <c r="AB848" s="160"/>
      <c r="AC848" s="174"/>
    </row>
    <row r="849" spans="10:30" ht="12.5">
      <c r="J849" s="149"/>
      <c r="K849" s="171">
        <f>MAX(K$827:K848)+1</f>
        <v>23</v>
      </c>
      <c r="L849" s="172">
        <f t="shared" si="114"/>
        <v>1</v>
      </c>
      <c r="M849" s="152"/>
      <c r="N849" s="153"/>
      <c r="O849" s="153"/>
      <c r="P849" s="153"/>
      <c r="Q849" s="153"/>
      <c r="R849" s="153"/>
      <c r="S849" s="154"/>
      <c r="T849" s="153"/>
      <c r="U849" s="169"/>
      <c r="V849" s="156"/>
      <c r="W849" s="158"/>
      <c r="X849" s="158"/>
      <c r="Y849" s="158"/>
      <c r="Z849" s="158"/>
      <c r="AA849" s="159"/>
      <c r="AB849" s="160"/>
      <c r="AC849" s="174"/>
    </row>
    <row r="850" spans="10:30" ht="12.5">
      <c r="J850" s="149"/>
      <c r="K850" s="171">
        <f>MAX(K$827:K849)+1</f>
        <v>24</v>
      </c>
      <c r="L850" s="172">
        <f t="shared" si="114"/>
        <v>1</v>
      </c>
      <c r="M850" s="152"/>
      <c r="N850" s="153"/>
      <c r="O850" s="153"/>
      <c r="P850" s="153"/>
      <c r="Q850" s="153"/>
      <c r="R850" s="153"/>
      <c r="S850" s="154"/>
      <c r="T850" s="153"/>
      <c r="U850" s="169"/>
      <c r="V850" s="156"/>
      <c r="W850" s="158"/>
      <c r="X850" s="158"/>
      <c r="Y850" s="158"/>
      <c r="Z850" s="158"/>
      <c r="AA850" s="159"/>
      <c r="AB850" s="160"/>
      <c r="AC850" s="174"/>
    </row>
    <row r="851" spans="10:30" ht="12.5">
      <c r="J851" s="149"/>
      <c r="K851" s="171">
        <f>MAX(K$827:K850)+1</f>
        <v>25</v>
      </c>
      <c r="L851" s="172">
        <f t="shared" si="114"/>
        <v>1</v>
      </c>
      <c r="M851" s="152"/>
      <c r="N851" s="153"/>
      <c r="O851" s="153"/>
      <c r="P851" s="153"/>
      <c r="Q851" s="153"/>
      <c r="R851" s="153"/>
      <c r="S851" s="154"/>
      <c r="T851" s="153"/>
      <c r="U851" s="169"/>
      <c r="V851" s="156"/>
      <c r="W851" s="158"/>
      <c r="X851" s="158"/>
      <c r="Y851" s="158"/>
      <c r="Z851" s="158"/>
      <c r="AA851" s="159"/>
      <c r="AB851" s="160"/>
      <c r="AC851" s="174"/>
    </row>
    <row r="852" spans="10:30" ht="12.5">
      <c r="J852" s="149"/>
      <c r="K852" s="171">
        <f>MAX(K$827:K851)+1</f>
        <v>26</v>
      </c>
      <c r="L852" s="172">
        <f t="shared" si="114"/>
        <v>1</v>
      </c>
      <c r="M852" s="152"/>
      <c r="N852" s="153"/>
      <c r="O852" s="153"/>
      <c r="P852" s="153"/>
      <c r="Q852" s="153"/>
      <c r="R852" s="153"/>
      <c r="S852" s="154"/>
      <c r="T852" s="153"/>
      <c r="U852" s="169"/>
      <c r="V852" s="156"/>
      <c r="W852" s="158"/>
      <c r="X852" s="158"/>
      <c r="Y852" s="158"/>
      <c r="Z852" s="158"/>
      <c r="AA852" s="159"/>
      <c r="AB852" s="160"/>
      <c r="AC852" s="174"/>
    </row>
    <row r="853" spans="10:30" ht="12.5">
      <c r="J853" s="149"/>
      <c r="K853" s="171">
        <f>MAX(K$827:K852)+1</f>
        <v>27</v>
      </c>
      <c r="L853" s="172">
        <f t="shared" si="114"/>
        <v>1</v>
      </c>
      <c r="M853" s="152"/>
      <c r="N853" s="153"/>
      <c r="O853" s="153"/>
      <c r="P853" s="153"/>
      <c r="Q853" s="153"/>
      <c r="R853" s="153"/>
      <c r="S853" s="154"/>
      <c r="T853" s="153"/>
      <c r="U853" s="169"/>
      <c r="V853" s="156"/>
      <c r="W853" s="158"/>
      <c r="X853" s="158"/>
      <c r="Y853" s="158"/>
      <c r="Z853" s="158"/>
      <c r="AA853" s="159"/>
      <c r="AB853" s="160"/>
      <c r="AC853" s="174"/>
    </row>
    <row r="854" spans="10:30" ht="12.5">
      <c r="J854" s="149"/>
      <c r="K854" s="171">
        <f>MAX(K$827:K853)+1</f>
        <v>28</v>
      </c>
      <c r="L854" s="172">
        <f t="shared" si="114"/>
        <v>1</v>
      </c>
      <c r="M854" s="152"/>
      <c r="N854" s="153"/>
      <c r="O854" s="153"/>
      <c r="P854" s="153"/>
      <c r="Q854" s="153"/>
      <c r="R854" s="153"/>
      <c r="S854" s="154"/>
      <c r="T854" s="153"/>
      <c r="U854" s="169"/>
      <c r="V854" s="156"/>
      <c r="W854" s="158"/>
      <c r="X854" s="158"/>
      <c r="Y854" s="158"/>
      <c r="Z854" s="158"/>
      <c r="AA854" s="159"/>
      <c r="AB854" s="160"/>
      <c r="AC854" s="174"/>
      <c r="AD854" s="131"/>
    </row>
    <row r="855" spans="10:30" ht="12.5">
      <c r="J855" s="149"/>
      <c r="K855" s="171">
        <f>MAX(K$827:K854)+1</f>
        <v>29</v>
      </c>
      <c r="L855" s="172">
        <f t="shared" si="114"/>
        <v>1</v>
      </c>
      <c r="M855" s="152"/>
      <c r="N855" s="153"/>
      <c r="O855" s="153"/>
      <c r="P855" s="153"/>
      <c r="Q855" s="153"/>
      <c r="R855" s="153"/>
      <c r="S855" s="154"/>
      <c r="T855" s="153"/>
      <c r="U855" s="169"/>
      <c r="V855" s="156"/>
      <c r="W855" s="158"/>
      <c r="X855" s="158"/>
      <c r="Y855" s="158"/>
      <c r="Z855" s="158"/>
      <c r="AA855" s="159"/>
      <c r="AB855" s="160"/>
      <c r="AC855" s="174"/>
    </row>
    <row r="856" spans="10:30" ht="12.5">
      <c r="J856" s="149"/>
      <c r="K856" s="171">
        <f>MAX(K$827:K855)+1</f>
        <v>30</v>
      </c>
      <c r="L856" s="172">
        <f t="shared" si="114"/>
        <v>1</v>
      </c>
      <c r="M856" s="152"/>
      <c r="N856" s="153"/>
      <c r="O856" s="153"/>
      <c r="P856" s="153"/>
      <c r="Q856" s="153"/>
      <c r="R856" s="153"/>
      <c r="S856" s="154"/>
      <c r="T856" s="153"/>
      <c r="U856" s="169"/>
      <c r="V856" s="156"/>
      <c r="W856" s="158"/>
      <c r="X856" s="158"/>
      <c r="Y856" s="158"/>
      <c r="Z856" s="158"/>
      <c r="AA856" s="159"/>
      <c r="AB856" s="160"/>
      <c r="AC856" s="174"/>
    </row>
    <row r="857" spans="10:30" ht="12.5">
      <c r="J857" s="149"/>
      <c r="K857" s="171">
        <f>MAX(K$827:K856)+1</f>
        <v>31</v>
      </c>
      <c r="L857" s="172">
        <f t="shared" si="114"/>
        <v>1</v>
      </c>
      <c r="M857" s="152"/>
      <c r="N857" s="153"/>
      <c r="O857" s="153"/>
      <c r="P857" s="153"/>
      <c r="Q857" s="153"/>
      <c r="R857" s="153"/>
      <c r="S857" s="154"/>
      <c r="T857" s="153"/>
      <c r="U857" s="169"/>
      <c r="V857" s="156"/>
      <c r="W857" s="158"/>
      <c r="X857" s="158"/>
      <c r="Y857" s="158"/>
      <c r="Z857" s="158"/>
      <c r="AA857" s="159"/>
      <c r="AB857" s="160"/>
      <c r="AC857" s="174"/>
    </row>
    <row r="858" spans="10:30" ht="12.5">
      <c r="J858" s="149"/>
      <c r="K858" s="171">
        <f>MAX(K$827:K857)+1</f>
        <v>32</v>
      </c>
      <c r="L858" s="172">
        <f t="shared" si="114"/>
        <v>1</v>
      </c>
      <c r="M858" s="152"/>
      <c r="N858" s="153"/>
      <c r="O858" s="153"/>
      <c r="P858" s="153"/>
      <c r="Q858" s="153"/>
      <c r="R858" s="153"/>
      <c r="S858" s="154"/>
      <c r="T858" s="153"/>
      <c r="U858" s="169"/>
      <c r="V858" s="156"/>
      <c r="W858" s="158"/>
      <c r="X858" s="158"/>
      <c r="Y858" s="158"/>
      <c r="Z858" s="158"/>
      <c r="AA858" s="159"/>
      <c r="AB858" s="160"/>
      <c r="AC858" s="174"/>
    </row>
    <row r="859" spans="10:30" ht="12.5">
      <c r="J859" s="149"/>
      <c r="K859" s="171">
        <f>MAX(K$827:K858)+1</f>
        <v>33</v>
      </c>
      <c r="L859" s="172">
        <f t="shared" si="114"/>
        <v>1</v>
      </c>
      <c r="M859" s="152"/>
      <c r="N859" s="153"/>
      <c r="O859" s="153"/>
      <c r="P859" s="153"/>
      <c r="Q859" s="153"/>
      <c r="R859" s="153"/>
      <c r="S859" s="154"/>
      <c r="T859" s="153"/>
      <c r="U859" s="169"/>
      <c r="V859" s="156"/>
      <c r="W859" s="158"/>
      <c r="X859" s="158"/>
      <c r="Y859" s="158"/>
      <c r="Z859" s="158"/>
      <c r="AA859" s="159"/>
      <c r="AB859" s="160"/>
      <c r="AC859" s="174"/>
    </row>
    <row r="860" spans="10:30" ht="12.5">
      <c r="J860" s="149"/>
      <c r="K860" s="171">
        <f>MAX(K$827:K859)+1</f>
        <v>34</v>
      </c>
      <c r="L860" s="172">
        <f t="shared" si="114"/>
        <v>1</v>
      </c>
      <c r="M860" s="152"/>
      <c r="N860" s="153"/>
      <c r="O860" s="153"/>
      <c r="P860" s="153"/>
      <c r="Q860" s="153"/>
      <c r="R860" s="153"/>
      <c r="S860" s="154"/>
      <c r="T860" s="153"/>
      <c r="U860" s="169"/>
      <c r="V860" s="156"/>
      <c r="W860" s="158"/>
      <c r="X860" s="158"/>
      <c r="Y860" s="158"/>
      <c r="Z860" s="158"/>
      <c r="AA860" s="159"/>
      <c r="AB860" s="160"/>
      <c r="AC860" s="174"/>
    </row>
    <row r="861" spans="10:30" ht="12.5">
      <c r="J861" s="149"/>
      <c r="K861" s="171">
        <f>MAX(K$827:K860)+1</f>
        <v>35</v>
      </c>
      <c r="L861" s="172">
        <f t="shared" si="114"/>
        <v>1</v>
      </c>
      <c r="M861" s="152"/>
      <c r="N861" s="153"/>
      <c r="O861" s="153"/>
      <c r="P861" s="153"/>
      <c r="Q861" s="153"/>
      <c r="R861" s="153"/>
      <c r="S861" s="154"/>
      <c r="T861" s="153"/>
      <c r="U861" s="169"/>
      <c r="V861" s="156"/>
      <c r="W861" s="158"/>
      <c r="X861" s="158"/>
      <c r="Y861" s="158"/>
      <c r="Z861" s="158"/>
      <c r="AA861" s="159"/>
      <c r="AB861" s="160"/>
      <c r="AC861" s="174"/>
    </row>
    <row r="862" spans="10:30" ht="12.5">
      <c r="J862" s="149"/>
      <c r="K862" s="171">
        <f>MAX(K$827:K861)+1</f>
        <v>36</v>
      </c>
      <c r="L862" s="172">
        <f t="shared" si="114"/>
        <v>1</v>
      </c>
      <c r="M862" s="152"/>
      <c r="N862" s="153"/>
      <c r="O862" s="153"/>
      <c r="P862" s="153"/>
      <c r="Q862" s="153"/>
      <c r="R862" s="153"/>
      <c r="S862" s="154"/>
      <c r="T862" s="153"/>
      <c r="U862" s="169"/>
      <c r="V862" s="156"/>
      <c r="W862" s="158"/>
      <c r="X862" s="158"/>
      <c r="Y862" s="158"/>
      <c r="Z862" s="158"/>
      <c r="AA862" s="159"/>
      <c r="AB862" s="160"/>
      <c r="AC862" s="174"/>
    </row>
    <row r="863" spans="10:30" ht="12.5">
      <c r="J863" s="149"/>
      <c r="K863" s="171">
        <f>MAX(K$827:K862)+1</f>
        <v>37</v>
      </c>
      <c r="L863" s="172">
        <f t="shared" si="114"/>
        <v>1</v>
      </c>
      <c r="M863" s="152"/>
      <c r="N863" s="153"/>
      <c r="O863" s="153"/>
      <c r="P863" s="153"/>
      <c r="Q863" s="153"/>
      <c r="R863" s="153"/>
      <c r="S863" s="154"/>
      <c r="T863" s="153"/>
      <c r="U863" s="169"/>
      <c r="V863" s="156"/>
      <c r="W863" s="158"/>
      <c r="X863" s="158"/>
      <c r="Y863" s="158"/>
      <c r="Z863" s="158"/>
      <c r="AA863" s="159"/>
      <c r="AB863" s="160"/>
      <c r="AC863" s="174"/>
    </row>
    <row r="864" spans="10:30" ht="12.5">
      <c r="J864" s="149"/>
      <c r="K864" s="171">
        <f>MAX(K$827:K863)+1</f>
        <v>38</v>
      </c>
      <c r="L864" s="172">
        <f t="shared" si="114"/>
        <v>1</v>
      </c>
      <c r="M864" s="152"/>
      <c r="N864" s="153"/>
      <c r="O864" s="153"/>
      <c r="P864" s="153"/>
      <c r="Q864" s="153"/>
      <c r="R864" s="153"/>
      <c r="S864" s="154"/>
      <c r="T864" s="153"/>
      <c r="U864" s="169"/>
      <c r="V864" s="156"/>
      <c r="W864" s="158"/>
      <c r="X864" s="158"/>
      <c r="Y864" s="158"/>
      <c r="Z864" s="158"/>
      <c r="AA864" s="159"/>
      <c r="AB864" s="160"/>
      <c r="AC864" s="174"/>
    </row>
    <row r="865" spans="10:29" ht="12.5">
      <c r="J865" s="149"/>
      <c r="K865" s="171">
        <f>MAX(K$827:K864)+1</f>
        <v>39</v>
      </c>
      <c r="L865" s="172">
        <f t="shared" si="114"/>
        <v>1</v>
      </c>
      <c r="M865" s="152"/>
      <c r="N865" s="153"/>
      <c r="O865" s="153"/>
      <c r="P865" s="153"/>
      <c r="Q865" s="153"/>
      <c r="R865" s="153"/>
      <c r="S865" s="154"/>
      <c r="T865" s="153"/>
      <c r="U865" s="169"/>
      <c r="V865" s="156"/>
      <c r="W865" s="158"/>
      <c r="X865" s="158"/>
      <c r="Y865" s="158"/>
      <c r="Z865" s="158"/>
      <c r="AA865" s="159"/>
      <c r="AB865" s="160"/>
      <c r="AC865" s="174"/>
    </row>
    <row r="866" spans="10:29" ht="12.5">
      <c r="J866" s="149"/>
      <c r="K866" s="171">
        <f>MAX(K$827:K865)+1</f>
        <v>40</v>
      </c>
      <c r="L866" s="172">
        <f t="shared" si="114"/>
        <v>1</v>
      </c>
      <c r="M866" s="152" t="s">
        <v>296</v>
      </c>
      <c r="N866" s="153"/>
      <c r="O866" s="153"/>
      <c r="P866" s="153"/>
      <c r="Q866" s="153"/>
      <c r="R866" s="153"/>
      <c r="S866" s="154">
        <f t="shared" si="115"/>
        <v>0</v>
      </c>
      <c r="T866" s="153"/>
      <c r="U866" s="169">
        <f>'[1]Pricing Schedule'!F20</f>
        <v>27.714613439555443</v>
      </c>
      <c r="V866" s="156"/>
      <c r="W866" s="158"/>
      <c r="X866" s="158"/>
      <c r="Y866" s="158">
        <f>'[1]Pricing Schedule'!J20*'[1]Pricing Schedule'!$G20</f>
        <v>0</v>
      </c>
      <c r="Z866" s="158">
        <f>'[1]Pricing Schedule'!K20*'[1]Pricing Schedule'!$G20</f>
        <v>0</v>
      </c>
      <c r="AA866" s="159" t="s">
        <v>278</v>
      </c>
      <c r="AB866" s="160"/>
      <c r="AC866" s="174">
        <f t="shared" ref="AC866:AC868" si="116">INDEX(Y866:Z866,1,MATCH(_WellBasketSelection,$Y$826:$Z$826,0))*U866</f>
        <v>0</v>
      </c>
    </row>
    <row r="867" spans="10:29" ht="12.5">
      <c r="J867" s="149"/>
      <c r="K867" s="171">
        <f>MAX(K$827:K866)+1</f>
        <v>41</v>
      </c>
      <c r="L867" s="172">
        <f t="shared" si="114"/>
        <v>1</v>
      </c>
      <c r="M867" s="152" t="s">
        <v>297</v>
      </c>
      <c r="N867" s="153"/>
      <c r="O867" s="153"/>
      <c r="P867" s="153"/>
      <c r="Q867" s="153"/>
      <c r="R867" s="153"/>
      <c r="S867" s="154">
        <f t="shared" si="115"/>
        <v>0</v>
      </c>
      <c r="T867" s="153"/>
      <c r="U867" s="169">
        <f>'[1]Pricing Schedule'!F21</f>
        <v>0</v>
      </c>
      <c r="V867" s="156"/>
      <c r="W867" s="158"/>
      <c r="X867" s="158"/>
      <c r="Y867" s="158">
        <f>'[1]Pricing Schedule'!J21*'[1]Pricing Schedule'!$G21</f>
        <v>0</v>
      </c>
      <c r="Z867" s="158">
        <f>'[1]Pricing Schedule'!K21*'[1]Pricing Schedule'!$G21</f>
        <v>0</v>
      </c>
      <c r="AA867" s="159" t="s">
        <v>278</v>
      </c>
      <c r="AB867" s="160"/>
      <c r="AC867" s="157">
        <f t="shared" si="116"/>
        <v>0</v>
      </c>
    </row>
    <row r="868" spans="10:29" ht="12.5">
      <c r="J868" s="149"/>
      <c r="K868" s="171">
        <f>MAX(K$827:K867)+1</f>
        <v>42</v>
      </c>
      <c r="L868" s="172">
        <f t="shared" si="114"/>
        <v>1</v>
      </c>
      <c r="M868" s="152" t="s">
        <v>298</v>
      </c>
      <c r="N868" s="153"/>
      <c r="O868" s="153"/>
      <c r="P868" s="153"/>
      <c r="Q868" s="153"/>
      <c r="R868" s="153"/>
      <c r="S868" s="154">
        <f t="shared" si="115"/>
        <v>0</v>
      </c>
      <c r="T868" s="153"/>
      <c r="U868" s="169">
        <f>'[1]Pricing Schedule'!F22</f>
        <v>6.2483566890144072E-3</v>
      </c>
      <c r="V868" s="156"/>
      <c r="W868" s="158"/>
      <c r="X868" s="158"/>
      <c r="Y868" s="158">
        <f>'[1]Pricing Schedule'!J22*'[1]Pricing Schedule'!$G22</f>
        <v>0</v>
      </c>
      <c r="Z868" s="158">
        <f>'[1]Pricing Schedule'!K22*'[1]Pricing Schedule'!$G22</f>
        <v>0</v>
      </c>
      <c r="AA868" s="159" t="s">
        <v>278</v>
      </c>
      <c r="AB868" s="160"/>
      <c r="AC868" s="157">
        <f t="shared" si="116"/>
        <v>0</v>
      </c>
    </row>
    <row r="869" spans="10:29" ht="12.5">
      <c r="J869" s="149"/>
      <c r="K869" s="171">
        <f>MAX(K$827:K868)+1</f>
        <v>43</v>
      </c>
      <c r="L869" s="172">
        <f t="shared" si="114"/>
        <v>1</v>
      </c>
      <c r="M869" s="152" t="s">
        <v>299</v>
      </c>
      <c r="N869" s="153"/>
      <c r="O869" s="153"/>
      <c r="P869" s="153"/>
      <c r="Q869" s="153"/>
      <c r="R869" s="153"/>
      <c r="S869" s="154">
        <f t="shared" si="115"/>
        <v>0</v>
      </c>
      <c r="T869" s="153"/>
      <c r="U869" s="169">
        <f>'[1]Pricing Schedule'!F23</f>
        <v>9.632727029297513E-3</v>
      </c>
      <c r="V869" s="156"/>
      <c r="W869" s="158"/>
      <c r="X869" s="158"/>
      <c r="Y869" s="158">
        <f>'[1]Pricing Schedule'!J23*'[1]Pricing Schedule'!$G23</f>
        <v>0</v>
      </c>
      <c r="Z869" s="158">
        <f>'[1]Pricing Schedule'!K23*'[1]Pricing Schedule'!$G23</f>
        <v>0</v>
      </c>
      <c r="AA869" s="159" t="s">
        <v>278</v>
      </c>
      <c r="AB869" s="160"/>
      <c r="AC869" s="157">
        <f t="shared" ref="AC869:AC932" si="117">INDEX(Y869:Z869,1,MATCH(_WellBasketSelection,$Y$826:$Z$826,0))*U869</f>
        <v>0</v>
      </c>
    </row>
    <row r="870" spans="10:29" ht="12.5">
      <c r="J870" s="149"/>
      <c r="K870" s="171">
        <f>MAX(K$827:K869)+1</f>
        <v>44</v>
      </c>
      <c r="L870" s="172">
        <f t="shared" si="114"/>
        <v>1</v>
      </c>
      <c r="M870" s="152" t="s">
        <v>300</v>
      </c>
      <c r="N870" s="153"/>
      <c r="O870" s="153"/>
      <c r="P870" s="153"/>
      <c r="Q870" s="153"/>
      <c r="R870" s="153"/>
      <c r="S870" s="154">
        <f t="shared" si="115"/>
        <v>0</v>
      </c>
      <c r="T870" s="153"/>
      <c r="U870" s="169">
        <f>'[1]Pricing Schedule'!F24</f>
        <v>9.1676292833337732E-3</v>
      </c>
      <c r="V870" s="156"/>
      <c r="W870" s="158"/>
      <c r="X870" s="158"/>
      <c r="Y870" s="158">
        <f>'[1]Pricing Schedule'!J24*'[1]Pricing Schedule'!$G24</f>
        <v>0</v>
      </c>
      <c r="Z870" s="158">
        <f>'[1]Pricing Schedule'!K24*'[1]Pricing Schedule'!$G24</f>
        <v>0</v>
      </c>
      <c r="AA870" s="159" t="s">
        <v>278</v>
      </c>
      <c r="AB870" s="160"/>
      <c r="AC870" s="157">
        <f t="shared" si="117"/>
        <v>0</v>
      </c>
    </row>
    <row r="871" spans="10:29" ht="12.5">
      <c r="J871" s="149"/>
      <c r="K871" s="171">
        <f>MAX(K$827:K870)+1</f>
        <v>45</v>
      </c>
      <c r="L871" s="172">
        <f t="shared" si="114"/>
        <v>1</v>
      </c>
      <c r="M871" s="152" t="s">
        <v>301</v>
      </c>
      <c r="N871" s="153"/>
      <c r="O871" s="153"/>
      <c r="P871" s="153"/>
      <c r="Q871" s="153"/>
      <c r="R871" s="153"/>
      <c r="S871" s="154">
        <f t="shared" si="115"/>
        <v>0</v>
      </c>
      <c r="T871" s="153"/>
      <c r="U871" s="169">
        <f>'[1]Pricing Schedule'!F25</f>
        <v>0</v>
      </c>
      <c r="V871" s="156"/>
      <c r="W871" s="158"/>
      <c r="X871" s="158"/>
      <c r="Y871" s="158">
        <f>'[1]Pricing Schedule'!J25*'[1]Pricing Schedule'!$G25</f>
        <v>0</v>
      </c>
      <c r="Z871" s="158">
        <f>'[1]Pricing Schedule'!K25*'[1]Pricing Schedule'!$G25</f>
        <v>0</v>
      </c>
      <c r="AA871" s="159" t="s">
        <v>278</v>
      </c>
      <c r="AB871" s="160"/>
      <c r="AC871" s="157">
        <f t="shared" si="117"/>
        <v>0</v>
      </c>
    </row>
    <row r="872" spans="10:29" ht="12.5">
      <c r="J872" s="149"/>
      <c r="K872" s="171">
        <f>MAX(K$827:K871)+1</f>
        <v>46</v>
      </c>
      <c r="L872" s="172">
        <f t="shared" si="114"/>
        <v>1</v>
      </c>
      <c r="M872" s="152" t="s">
        <v>302</v>
      </c>
      <c r="N872" s="153"/>
      <c r="O872" s="153"/>
      <c r="P872" s="153"/>
      <c r="Q872" s="153"/>
      <c r="R872" s="153"/>
      <c r="S872" s="154">
        <f t="shared" si="115"/>
        <v>0</v>
      </c>
      <c r="T872" s="153"/>
      <c r="U872" s="169">
        <f>'[1]Pricing Schedule'!F26</f>
        <v>0.43</v>
      </c>
      <c r="V872" s="156"/>
      <c r="W872" s="158"/>
      <c r="X872" s="158"/>
      <c r="Y872" s="158">
        <f>'[1]Pricing Schedule'!J26*'[1]Pricing Schedule'!$G26</f>
        <v>0</v>
      </c>
      <c r="Z872" s="158">
        <f>'[1]Pricing Schedule'!K26*'[1]Pricing Schedule'!$G26</f>
        <v>0</v>
      </c>
      <c r="AA872" s="159" t="s">
        <v>278</v>
      </c>
      <c r="AB872" s="160"/>
      <c r="AC872" s="157">
        <f t="shared" si="117"/>
        <v>0</v>
      </c>
    </row>
    <row r="873" spans="10:29" ht="12.5">
      <c r="J873" s="149"/>
      <c r="K873" s="171">
        <f>MAX(K$827:K872)+1</f>
        <v>47</v>
      </c>
      <c r="L873" s="172">
        <f t="shared" si="114"/>
        <v>1</v>
      </c>
      <c r="M873" s="152" t="s">
        <v>303</v>
      </c>
      <c r="N873" s="153"/>
      <c r="O873" s="153"/>
      <c r="P873" s="153"/>
      <c r="Q873" s="153"/>
      <c r="R873" s="153"/>
      <c r="S873" s="154">
        <f t="shared" si="115"/>
        <v>0</v>
      </c>
      <c r="T873" s="153"/>
      <c r="U873" s="169">
        <f>'[1]Pricing Schedule'!F27</f>
        <v>3.3040000000000003</v>
      </c>
      <c r="V873" s="156"/>
      <c r="W873" s="158"/>
      <c r="X873" s="158"/>
      <c r="Y873" s="158">
        <f>'[1]Pricing Schedule'!J27*'[1]Pricing Schedule'!$G27</f>
        <v>0</v>
      </c>
      <c r="Z873" s="158">
        <f>'[1]Pricing Schedule'!K27*'[1]Pricing Schedule'!$G27</f>
        <v>0</v>
      </c>
      <c r="AA873" s="159" t="s">
        <v>278</v>
      </c>
      <c r="AB873" s="160"/>
      <c r="AC873" s="157">
        <f t="shared" si="117"/>
        <v>0</v>
      </c>
    </row>
    <row r="874" spans="10:29" ht="12.5">
      <c r="J874" s="149"/>
      <c r="K874" s="171">
        <f>MAX(K$827:K873)+1</f>
        <v>48</v>
      </c>
      <c r="L874" s="172">
        <f t="shared" si="114"/>
        <v>1</v>
      </c>
      <c r="M874" s="152" t="s">
        <v>304</v>
      </c>
      <c r="N874" s="153"/>
      <c r="O874" s="153"/>
      <c r="P874" s="153"/>
      <c r="Q874" s="153"/>
      <c r="R874" s="153"/>
      <c r="S874" s="154">
        <f t="shared" si="115"/>
        <v>0</v>
      </c>
      <c r="T874" s="153"/>
      <c r="U874" s="169">
        <f>'[1]Pricing Schedule'!F28</f>
        <v>0</v>
      </c>
      <c r="V874" s="156"/>
      <c r="W874" s="158"/>
      <c r="X874" s="158"/>
      <c r="Y874" s="158">
        <f>'[1]Pricing Schedule'!J28*'[1]Pricing Schedule'!$G28</f>
        <v>0</v>
      </c>
      <c r="Z874" s="158">
        <f>'[1]Pricing Schedule'!K28*'[1]Pricing Schedule'!$G28</f>
        <v>0</v>
      </c>
      <c r="AA874" s="159" t="s">
        <v>278</v>
      </c>
      <c r="AB874" s="160"/>
      <c r="AC874" s="157">
        <f t="shared" si="117"/>
        <v>0</v>
      </c>
    </row>
    <row r="875" spans="10:29" ht="12.5">
      <c r="J875" s="149"/>
      <c r="K875" s="171">
        <f>MAX(K$827:K874)+1</f>
        <v>49</v>
      </c>
      <c r="L875" s="172">
        <f t="shared" si="114"/>
        <v>1</v>
      </c>
      <c r="M875" s="152" t="s">
        <v>305</v>
      </c>
      <c r="N875" s="153"/>
      <c r="O875" s="153"/>
      <c r="P875" s="153"/>
      <c r="Q875" s="153"/>
      <c r="R875" s="153"/>
      <c r="S875" s="154">
        <f t="shared" si="115"/>
        <v>0</v>
      </c>
      <c r="T875" s="153"/>
      <c r="U875" s="169">
        <f>'[1]Pricing Schedule'!F29</f>
        <v>37.301732017384431</v>
      </c>
      <c r="V875" s="156"/>
      <c r="W875" s="158"/>
      <c r="X875" s="158"/>
      <c r="Y875" s="158">
        <f>'[1]Pricing Schedule'!J29*'[1]Pricing Schedule'!$G29</f>
        <v>15</v>
      </c>
      <c r="Z875" s="158">
        <f>'[1]Pricing Schedule'!K29*'[1]Pricing Schedule'!$G29</f>
        <v>15</v>
      </c>
      <c r="AA875" s="159" t="s">
        <v>278</v>
      </c>
      <c r="AB875" s="160"/>
      <c r="AC875" s="157">
        <f t="shared" si="117"/>
        <v>559.52598026076646</v>
      </c>
    </row>
    <row r="876" spans="10:29" ht="12.5">
      <c r="J876" s="149"/>
      <c r="K876" s="171">
        <f>MAX(K$827:K875)+1</f>
        <v>50</v>
      </c>
      <c r="L876" s="172">
        <f t="shared" si="114"/>
        <v>1</v>
      </c>
      <c r="M876" s="152" t="s">
        <v>306</v>
      </c>
      <c r="N876" s="153"/>
      <c r="O876" s="153"/>
      <c r="P876" s="153"/>
      <c r="Q876" s="153"/>
      <c r="R876" s="153"/>
      <c r="S876" s="154">
        <f t="shared" si="115"/>
        <v>0</v>
      </c>
      <c r="T876" s="153"/>
      <c r="U876" s="169">
        <f>'[1]Pricing Schedule'!F30</f>
        <v>0</v>
      </c>
      <c r="V876" s="156"/>
      <c r="W876" s="158"/>
      <c r="X876" s="158"/>
      <c r="Y876" s="158">
        <f>'[1]Pricing Schedule'!J30*'[1]Pricing Schedule'!$G30</f>
        <v>825</v>
      </c>
      <c r="Z876" s="158">
        <f>'[1]Pricing Schedule'!K30*'[1]Pricing Schedule'!$G30</f>
        <v>825</v>
      </c>
      <c r="AA876" s="159" t="s">
        <v>278</v>
      </c>
      <c r="AB876" s="160"/>
      <c r="AC876" s="157">
        <f t="shared" si="117"/>
        <v>0</v>
      </c>
    </row>
    <row r="877" spans="10:29" ht="12.5">
      <c r="J877" s="149"/>
      <c r="K877" s="171">
        <f>MAX(K$827:K876)+1</f>
        <v>51</v>
      </c>
      <c r="L877" s="172">
        <f t="shared" si="114"/>
        <v>1</v>
      </c>
      <c r="M877" s="152" t="s">
        <v>307</v>
      </c>
      <c r="N877" s="153"/>
      <c r="O877" s="153"/>
      <c r="P877" s="153"/>
      <c r="Q877" s="153"/>
      <c r="R877" s="153"/>
      <c r="S877" s="154">
        <f t="shared" si="115"/>
        <v>0</v>
      </c>
      <c r="T877" s="153"/>
      <c r="U877" s="169">
        <f>'[1]Pricing Schedule'!F31</f>
        <v>6.2280933670392545E-3</v>
      </c>
      <c r="V877" s="156"/>
      <c r="W877" s="158"/>
      <c r="X877" s="158"/>
      <c r="Y877" s="158">
        <f>'[1]Pricing Schedule'!J31*'[1]Pricing Schedule'!$G31</f>
        <v>10125</v>
      </c>
      <c r="Z877" s="158">
        <f>'[1]Pricing Schedule'!K31*'[1]Pricing Schedule'!$G31</f>
        <v>10125</v>
      </c>
      <c r="AA877" s="159" t="s">
        <v>278</v>
      </c>
      <c r="AB877" s="160"/>
      <c r="AC877" s="157">
        <f t="shared" si="117"/>
        <v>63.05944534127245</v>
      </c>
    </row>
    <row r="878" spans="10:29" ht="12.5">
      <c r="J878" s="149"/>
      <c r="K878" s="171">
        <f>MAX(K$827:K877)+1</f>
        <v>52</v>
      </c>
      <c r="L878" s="172">
        <f t="shared" si="114"/>
        <v>1</v>
      </c>
      <c r="M878" s="152" t="s">
        <v>308</v>
      </c>
      <c r="N878" s="153"/>
      <c r="O878" s="153"/>
      <c r="P878" s="153"/>
      <c r="Q878" s="153"/>
      <c r="R878" s="153"/>
      <c r="S878" s="154">
        <f t="shared" si="115"/>
        <v>0</v>
      </c>
      <c r="T878" s="153"/>
      <c r="U878" s="169">
        <f>'[1]Pricing Schedule'!F32</f>
        <v>9.5816184528679949E-3</v>
      </c>
      <c r="V878" s="156"/>
      <c r="W878" s="158"/>
      <c r="X878" s="158"/>
      <c r="Y878" s="158">
        <f>'[1]Pricing Schedule'!J32*'[1]Pricing Schedule'!$G32</f>
        <v>18150</v>
      </c>
      <c r="Z878" s="158">
        <f>'[1]Pricing Schedule'!K32*'[1]Pricing Schedule'!$G32</f>
        <v>18150</v>
      </c>
      <c r="AA878" s="159" t="s">
        <v>278</v>
      </c>
      <c r="AB878" s="160"/>
      <c r="AC878" s="157">
        <f t="shared" si="117"/>
        <v>173.90637491955411</v>
      </c>
    </row>
    <row r="879" spans="10:29" ht="12.5">
      <c r="J879" s="149"/>
      <c r="K879" s="171">
        <f>MAX(K$827:K878)+1</f>
        <v>53</v>
      </c>
      <c r="L879" s="172">
        <f t="shared" si="114"/>
        <v>1</v>
      </c>
      <c r="M879" s="152" t="s">
        <v>309</v>
      </c>
      <c r="N879" s="153"/>
      <c r="O879" s="153"/>
      <c r="P879" s="153"/>
      <c r="Q879" s="153"/>
      <c r="R879" s="153"/>
      <c r="S879" s="154">
        <f t="shared" si="115"/>
        <v>0</v>
      </c>
      <c r="T879" s="153"/>
      <c r="U879" s="169">
        <f>'[1]Pricing Schedule'!F33</f>
        <v>9.5382157181949888E-3</v>
      </c>
      <c r="V879" s="156"/>
      <c r="W879" s="158"/>
      <c r="X879" s="158"/>
      <c r="Y879" s="158">
        <f>'[1]Pricing Schedule'!J33*'[1]Pricing Schedule'!$G33</f>
        <v>18000</v>
      </c>
      <c r="Z879" s="158">
        <f>'[1]Pricing Schedule'!K33*'[1]Pricing Schedule'!$G33</f>
        <v>18000</v>
      </c>
      <c r="AA879" s="159" t="s">
        <v>278</v>
      </c>
      <c r="AB879" s="160"/>
      <c r="AC879" s="157">
        <f t="shared" si="117"/>
        <v>171.6878829275098</v>
      </c>
    </row>
    <row r="880" spans="10:29" ht="12.5">
      <c r="J880" s="149"/>
      <c r="K880" s="171">
        <f>MAX(K$827:K879)+1</f>
        <v>54</v>
      </c>
      <c r="L880" s="172">
        <f t="shared" si="114"/>
        <v>1</v>
      </c>
      <c r="M880" s="152" t="s">
        <v>310</v>
      </c>
      <c r="N880" s="153"/>
      <c r="O880" s="153"/>
      <c r="P880" s="153"/>
      <c r="Q880" s="153"/>
      <c r="R880" s="153"/>
      <c r="S880" s="154">
        <f t="shared" si="115"/>
        <v>0</v>
      </c>
      <c r="T880" s="153"/>
      <c r="U880" s="169">
        <f>'[1]Pricing Schedule'!F34</f>
        <v>2.2924170963877805E-2</v>
      </c>
      <c r="V880" s="156"/>
      <c r="W880" s="158"/>
      <c r="X880" s="158"/>
      <c r="Y880" s="158">
        <f>'[1]Pricing Schedule'!J34*'[1]Pricing Schedule'!$G34</f>
        <v>6300</v>
      </c>
      <c r="Z880" s="158">
        <f>'[1]Pricing Schedule'!K34*'[1]Pricing Schedule'!$G34</f>
        <v>6300</v>
      </c>
      <c r="AA880" s="159" t="s">
        <v>278</v>
      </c>
      <c r="AB880" s="160"/>
      <c r="AC880" s="157">
        <f t="shared" si="117"/>
        <v>144.42227707243018</v>
      </c>
    </row>
    <row r="881" spans="10:29" ht="12.5">
      <c r="J881" s="149"/>
      <c r="K881" s="171">
        <f>MAX(K$827:K880)+1</f>
        <v>55</v>
      </c>
      <c r="L881" s="172">
        <f t="shared" si="114"/>
        <v>1</v>
      </c>
      <c r="M881" s="152" t="s">
        <v>311</v>
      </c>
      <c r="N881" s="153"/>
      <c r="O881" s="153"/>
      <c r="P881" s="153"/>
      <c r="Q881" s="153"/>
      <c r="R881" s="153"/>
      <c r="S881" s="154">
        <f t="shared" si="115"/>
        <v>0</v>
      </c>
      <c r="T881" s="153"/>
      <c r="U881" s="169">
        <f>'[1]Pricing Schedule'!F35</f>
        <v>0.43</v>
      </c>
      <c r="V881" s="156"/>
      <c r="W881" s="158"/>
      <c r="X881" s="158"/>
      <c r="Y881" s="158">
        <f>'[1]Pricing Schedule'!J35*'[1]Pricing Schedule'!$G35</f>
        <v>15</v>
      </c>
      <c r="Z881" s="158">
        <f>'[1]Pricing Schedule'!K35*'[1]Pricing Schedule'!$G35</f>
        <v>15</v>
      </c>
      <c r="AA881" s="159" t="s">
        <v>278</v>
      </c>
      <c r="AB881" s="160"/>
      <c r="AC881" s="157">
        <f t="shared" si="117"/>
        <v>6.45</v>
      </c>
    </row>
    <row r="882" spans="10:29" ht="12.5">
      <c r="J882" s="149"/>
      <c r="K882" s="171">
        <f>MAX(K$827:K881)+1</f>
        <v>56</v>
      </c>
      <c r="L882" s="172">
        <f t="shared" si="114"/>
        <v>1</v>
      </c>
      <c r="M882" s="152" t="s">
        <v>312</v>
      </c>
      <c r="N882" s="153"/>
      <c r="O882" s="153"/>
      <c r="P882" s="153"/>
      <c r="Q882" s="153"/>
      <c r="R882" s="153"/>
      <c r="S882" s="154">
        <f t="shared" si="115"/>
        <v>0</v>
      </c>
      <c r="T882" s="153"/>
      <c r="U882" s="169">
        <f>'[1]Pricing Schedule'!F36</f>
        <v>3.532</v>
      </c>
      <c r="V882" s="156"/>
      <c r="W882" s="158"/>
      <c r="X882" s="158"/>
      <c r="Y882" s="158">
        <f>'[1]Pricing Schedule'!J36*'[1]Pricing Schedule'!$G36</f>
        <v>0</v>
      </c>
      <c r="Z882" s="158">
        <f>'[1]Pricing Schedule'!K36*'[1]Pricing Schedule'!$G36</f>
        <v>0</v>
      </c>
      <c r="AA882" s="159" t="s">
        <v>278</v>
      </c>
      <c r="AB882" s="160"/>
      <c r="AC882" s="157">
        <f t="shared" si="117"/>
        <v>0</v>
      </c>
    </row>
    <row r="883" spans="10:29" ht="12.5">
      <c r="J883" s="149"/>
      <c r="K883" s="171">
        <f>MAX(K$827:K882)+1</f>
        <v>57</v>
      </c>
      <c r="L883" s="172">
        <f t="shared" si="114"/>
        <v>1</v>
      </c>
      <c r="M883" s="152" t="s">
        <v>313</v>
      </c>
      <c r="N883" s="153"/>
      <c r="O883" s="153"/>
      <c r="P883" s="153"/>
      <c r="Q883" s="153"/>
      <c r="R883" s="153"/>
      <c r="S883" s="154">
        <f t="shared" si="115"/>
        <v>0</v>
      </c>
      <c r="T883" s="153"/>
      <c r="U883" s="169">
        <f>'[1]Pricing Schedule'!F37</f>
        <v>0</v>
      </c>
      <c r="V883" s="156"/>
      <c r="W883" s="158"/>
      <c r="X883" s="158"/>
      <c r="Y883" s="158">
        <f>'[1]Pricing Schedule'!J37*'[1]Pricing Schedule'!$G37</f>
        <v>15</v>
      </c>
      <c r="Z883" s="158">
        <f>'[1]Pricing Schedule'!K37*'[1]Pricing Schedule'!$G37</f>
        <v>15</v>
      </c>
      <c r="AA883" s="159" t="s">
        <v>278</v>
      </c>
      <c r="AB883" s="160"/>
      <c r="AC883" s="157">
        <f t="shared" si="117"/>
        <v>0</v>
      </c>
    </row>
    <row r="884" spans="10:29" ht="12.5">
      <c r="J884" s="149"/>
      <c r="K884" s="171">
        <f>MAX(K$827:K883)+1</f>
        <v>58</v>
      </c>
      <c r="L884" s="172">
        <f t="shared" si="114"/>
        <v>1</v>
      </c>
      <c r="M884" s="152" t="s">
        <v>314</v>
      </c>
      <c r="N884" s="153"/>
      <c r="O884" s="153"/>
      <c r="P884" s="153"/>
      <c r="Q884" s="153"/>
      <c r="R884" s="153"/>
      <c r="S884" s="154">
        <f t="shared" si="115"/>
        <v>0</v>
      </c>
      <c r="T884" s="153"/>
      <c r="U884" s="169">
        <f>'[1]Pricing Schedule'!F38</f>
        <v>43.734477050869039</v>
      </c>
      <c r="V884" s="156"/>
      <c r="W884" s="158"/>
      <c r="X884" s="158"/>
      <c r="Y884" s="158">
        <f>'[1]Pricing Schedule'!J38*'[1]Pricing Schedule'!$G38</f>
        <v>3</v>
      </c>
      <c r="Z884" s="158">
        <f>'[1]Pricing Schedule'!K38*'[1]Pricing Schedule'!$G38</f>
        <v>3</v>
      </c>
      <c r="AA884" s="159" t="s">
        <v>278</v>
      </c>
      <c r="AB884" s="160"/>
      <c r="AC884" s="157">
        <f t="shared" si="117"/>
        <v>131.20343115260712</v>
      </c>
    </row>
    <row r="885" spans="10:29" ht="12.5">
      <c r="J885" s="149"/>
      <c r="K885" s="171">
        <f>MAX(K$827:K884)+1</f>
        <v>59</v>
      </c>
      <c r="L885" s="172">
        <f t="shared" si="114"/>
        <v>1</v>
      </c>
      <c r="M885" s="152" t="s">
        <v>315</v>
      </c>
      <c r="N885" s="153"/>
      <c r="O885" s="153"/>
      <c r="P885" s="153"/>
      <c r="Q885" s="153"/>
      <c r="R885" s="153"/>
      <c r="S885" s="154">
        <f t="shared" si="115"/>
        <v>0</v>
      </c>
      <c r="T885" s="153"/>
      <c r="U885" s="169">
        <f>'[1]Pricing Schedule'!F39</f>
        <v>0</v>
      </c>
      <c r="V885" s="156"/>
      <c r="W885" s="158"/>
      <c r="X885" s="158"/>
      <c r="Y885" s="158">
        <f>'[1]Pricing Schedule'!J39*'[1]Pricing Schedule'!$G39</f>
        <v>165</v>
      </c>
      <c r="Z885" s="158">
        <f>'[1]Pricing Schedule'!K39*'[1]Pricing Schedule'!$G39</f>
        <v>165</v>
      </c>
      <c r="AA885" s="159" t="s">
        <v>278</v>
      </c>
      <c r="AB885" s="160"/>
      <c r="AC885" s="157">
        <f t="shared" si="117"/>
        <v>0</v>
      </c>
    </row>
    <row r="886" spans="10:29" ht="12.5">
      <c r="J886" s="149"/>
      <c r="K886" s="171">
        <f>MAX(K$827:K885)+1</f>
        <v>60</v>
      </c>
      <c r="L886" s="172">
        <f t="shared" si="114"/>
        <v>1</v>
      </c>
      <c r="M886" s="152" t="s">
        <v>316</v>
      </c>
      <c r="N886" s="153"/>
      <c r="O886" s="153"/>
      <c r="P886" s="153"/>
      <c r="Q886" s="153"/>
      <c r="R886" s="153"/>
      <c r="S886" s="154">
        <f t="shared" si="115"/>
        <v>0</v>
      </c>
      <c r="T886" s="153"/>
      <c r="U886" s="169">
        <f>'[1]Pricing Schedule'!F40</f>
        <v>6.2280933670392545E-3</v>
      </c>
      <c r="V886" s="156"/>
      <c r="W886" s="158"/>
      <c r="X886" s="158"/>
      <c r="Y886" s="158">
        <f>'[1]Pricing Schedule'!J40*'[1]Pricing Schedule'!$G40</f>
        <v>2025</v>
      </c>
      <c r="Z886" s="158">
        <f>'[1]Pricing Schedule'!K40*'[1]Pricing Schedule'!$G40</f>
        <v>2025</v>
      </c>
      <c r="AA886" s="159" t="s">
        <v>278</v>
      </c>
      <c r="AB886" s="160"/>
      <c r="AC886" s="157">
        <f t="shared" si="117"/>
        <v>12.61188906825449</v>
      </c>
    </row>
    <row r="887" spans="10:29" ht="12.5">
      <c r="J887" s="149"/>
      <c r="K887" s="171">
        <f>MAX(K$827:K886)+1</f>
        <v>61</v>
      </c>
      <c r="L887" s="172">
        <f t="shared" si="114"/>
        <v>1</v>
      </c>
      <c r="M887" s="152" t="s">
        <v>317</v>
      </c>
      <c r="N887" s="153"/>
      <c r="O887" s="153"/>
      <c r="P887" s="153"/>
      <c r="Q887" s="153"/>
      <c r="R887" s="153"/>
      <c r="S887" s="154">
        <f t="shared" si="115"/>
        <v>0</v>
      </c>
      <c r="T887" s="153"/>
      <c r="U887" s="169">
        <f>'[1]Pricing Schedule'!F41</f>
        <v>1.0073026969569238E-2</v>
      </c>
      <c r="V887" s="156"/>
      <c r="W887" s="158"/>
      <c r="X887" s="158"/>
      <c r="Y887" s="158">
        <f>'[1]Pricing Schedule'!J41*'[1]Pricing Schedule'!$G41</f>
        <v>3960</v>
      </c>
      <c r="Z887" s="158">
        <f>'[1]Pricing Schedule'!K41*'[1]Pricing Schedule'!$G41</f>
        <v>3960</v>
      </c>
      <c r="AA887" s="159" t="s">
        <v>278</v>
      </c>
      <c r="AB887" s="160"/>
      <c r="AC887" s="157">
        <f t="shared" si="117"/>
        <v>39.889186799494183</v>
      </c>
    </row>
    <row r="888" spans="10:29" ht="12.5">
      <c r="J888" s="149"/>
      <c r="K888" s="171">
        <f>MAX(K$827:K887)+1</f>
        <v>62</v>
      </c>
      <c r="L888" s="172">
        <f t="shared" si="114"/>
        <v>1</v>
      </c>
      <c r="M888" s="152" t="s">
        <v>318</v>
      </c>
      <c r="N888" s="153"/>
      <c r="O888" s="153"/>
      <c r="P888" s="153"/>
      <c r="Q888" s="153"/>
      <c r="R888" s="153"/>
      <c r="S888" s="154">
        <f t="shared" si="115"/>
        <v>0</v>
      </c>
      <c r="T888" s="153"/>
      <c r="U888" s="169">
        <f>'[1]Pricing Schedule'!F42</f>
        <v>9.8104483560355182E-3</v>
      </c>
      <c r="V888" s="156"/>
      <c r="W888" s="158"/>
      <c r="X888" s="158"/>
      <c r="Y888" s="158">
        <f>'[1]Pricing Schedule'!J42*'[1]Pricing Schedule'!$G42</f>
        <v>3900</v>
      </c>
      <c r="Z888" s="158">
        <f>'[1]Pricing Schedule'!K42*'[1]Pricing Schedule'!$G42</f>
        <v>3900</v>
      </c>
      <c r="AA888" s="159" t="s">
        <v>278</v>
      </c>
      <c r="AB888" s="160"/>
      <c r="AC888" s="157">
        <f t="shared" si="117"/>
        <v>38.260748588538519</v>
      </c>
    </row>
    <row r="889" spans="10:29" ht="12.5">
      <c r="J889" s="149"/>
      <c r="K889" s="171">
        <f>MAX(K$827:K888)+1</f>
        <v>63</v>
      </c>
      <c r="L889" s="172">
        <f t="shared" si="114"/>
        <v>1</v>
      </c>
      <c r="M889" s="152" t="s">
        <v>319</v>
      </c>
      <c r="N889" s="153"/>
      <c r="O889" s="153"/>
      <c r="P889" s="153"/>
      <c r="Q889" s="153"/>
      <c r="R889" s="153"/>
      <c r="S889" s="154">
        <f t="shared" si="115"/>
        <v>0</v>
      </c>
      <c r="T889" s="153"/>
      <c r="U889" s="169">
        <f>'[1]Pricing Schedule'!F43</f>
        <v>2.9001190145422167E-2</v>
      </c>
      <c r="V889" s="156"/>
      <c r="W889" s="158"/>
      <c r="X889" s="158"/>
      <c r="Y889" s="158">
        <f>'[1]Pricing Schedule'!J43*'[1]Pricing Schedule'!$G43</f>
        <v>1350</v>
      </c>
      <c r="Z889" s="158">
        <f>'[1]Pricing Schedule'!K43*'[1]Pricing Schedule'!$G43</f>
        <v>1350</v>
      </c>
      <c r="AA889" s="159" t="s">
        <v>278</v>
      </c>
      <c r="AB889" s="160"/>
      <c r="AC889" s="157">
        <f t="shared" si="117"/>
        <v>39.151606696319924</v>
      </c>
    </row>
    <row r="890" spans="10:29" ht="12.5">
      <c r="J890" s="149"/>
      <c r="K890" s="171">
        <f>MAX(K$827:K889)+1</f>
        <v>64</v>
      </c>
      <c r="L890" s="172">
        <f t="shared" si="114"/>
        <v>1</v>
      </c>
      <c r="M890" s="152" t="s">
        <v>320</v>
      </c>
      <c r="N890" s="153"/>
      <c r="O890" s="153"/>
      <c r="P890" s="153"/>
      <c r="Q890" s="153"/>
      <c r="R890" s="153"/>
      <c r="S890" s="154">
        <f t="shared" si="115"/>
        <v>0</v>
      </c>
      <c r="T890" s="153"/>
      <c r="U890" s="169">
        <f>'[1]Pricing Schedule'!F44</f>
        <v>0.43</v>
      </c>
      <c r="V890" s="156"/>
      <c r="W890" s="158"/>
      <c r="X890" s="158"/>
      <c r="Y890" s="158">
        <f>'[1]Pricing Schedule'!J44*'[1]Pricing Schedule'!$G44</f>
        <v>3</v>
      </c>
      <c r="Z890" s="158">
        <f>'[1]Pricing Schedule'!K44*'[1]Pricing Schedule'!$G44</f>
        <v>3</v>
      </c>
      <c r="AA890" s="159" t="s">
        <v>278</v>
      </c>
      <c r="AB890" s="160"/>
      <c r="AC890" s="157">
        <f t="shared" si="117"/>
        <v>1.29</v>
      </c>
    </row>
    <row r="891" spans="10:29" ht="12.5">
      <c r="J891" s="149"/>
      <c r="K891" s="171">
        <f>MAX(K$827:K890)+1</f>
        <v>65</v>
      </c>
      <c r="L891" s="172">
        <f t="shared" si="114"/>
        <v>1</v>
      </c>
      <c r="M891" s="152" t="s">
        <v>321</v>
      </c>
      <c r="N891" s="153"/>
      <c r="O891" s="153"/>
      <c r="P891" s="153"/>
      <c r="Q891" s="153"/>
      <c r="R891" s="153"/>
      <c r="S891" s="154">
        <f t="shared" si="115"/>
        <v>0</v>
      </c>
      <c r="T891" s="153"/>
      <c r="U891" s="169">
        <f>'[1]Pricing Schedule'!F45</f>
        <v>3.6160000000000001</v>
      </c>
      <c r="V891" s="156"/>
      <c r="W891" s="158"/>
      <c r="X891" s="158"/>
      <c r="Y891" s="158">
        <f>'[1]Pricing Schedule'!J45*'[1]Pricing Schedule'!$G45</f>
        <v>0</v>
      </c>
      <c r="Z891" s="158">
        <f>'[1]Pricing Schedule'!K45*'[1]Pricing Schedule'!$G45</f>
        <v>0</v>
      </c>
      <c r="AA891" s="159" t="s">
        <v>278</v>
      </c>
      <c r="AB891" s="160"/>
      <c r="AC891" s="157">
        <f t="shared" si="117"/>
        <v>0</v>
      </c>
    </row>
    <row r="892" spans="10:29" ht="12.5">
      <c r="J892" s="149"/>
      <c r="K892" s="171">
        <f>MAX(K$827:K891)+1</f>
        <v>66</v>
      </c>
      <c r="L892" s="172">
        <f t="shared" ref="L892:L955" si="118">IF(J891="",L891,L891+1)</f>
        <v>1</v>
      </c>
      <c r="M892" s="152" t="s">
        <v>322</v>
      </c>
      <c r="N892" s="153"/>
      <c r="O892" s="153"/>
      <c r="P892" s="153"/>
      <c r="Q892" s="153"/>
      <c r="R892" s="153"/>
      <c r="S892" s="154">
        <f t="shared" ref="S892:S955" si="119">SUM(N892:R892)</f>
        <v>0</v>
      </c>
      <c r="T892" s="153"/>
      <c r="U892" s="169">
        <f>'[1]Pricing Schedule'!F46</f>
        <v>0</v>
      </c>
      <c r="V892" s="156"/>
      <c r="W892" s="158"/>
      <c r="X892" s="158"/>
      <c r="Y892" s="158">
        <f>'[1]Pricing Schedule'!J46*'[1]Pricing Schedule'!$G46</f>
        <v>3</v>
      </c>
      <c r="Z892" s="158">
        <f>'[1]Pricing Schedule'!K46*'[1]Pricing Schedule'!$G46</f>
        <v>3</v>
      </c>
      <c r="AA892" s="159" t="s">
        <v>278</v>
      </c>
      <c r="AB892" s="160"/>
      <c r="AC892" s="157">
        <f t="shared" si="117"/>
        <v>0</v>
      </c>
    </row>
    <row r="893" spans="10:29" ht="12.5">
      <c r="J893" s="149"/>
      <c r="K893" s="171">
        <f>MAX(K$827:K892)+1</f>
        <v>67</v>
      </c>
      <c r="L893" s="172">
        <f t="shared" si="118"/>
        <v>1</v>
      </c>
      <c r="M893" s="152"/>
      <c r="N893" s="153"/>
      <c r="O893" s="153"/>
      <c r="P893" s="153"/>
      <c r="Q893" s="153"/>
      <c r="R893" s="153"/>
      <c r="S893" s="154"/>
      <c r="T893" s="153"/>
      <c r="U893" s="169"/>
      <c r="V893" s="156"/>
      <c r="W893" s="158"/>
      <c r="X893" s="158"/>
      <c r="Y893" s="158"/>
      <c r="Z893" s="158"/>
      <c r="AA893" s="159"/>
      <c r="AB893" s="160"/>
      <c r="AC893" s="157"/>
    </row>
    <row r="894" spans="10:29" ht="12.5">
      <c r="J894" s="149"/>
      <c r="K894" s="171">
        <f>MAX(K$827:K893)+1</f>
        <v>68</v>
      </c>
      <c r="L894" s="172">
        <f t="shared" si="118"/>
        <v>1</v>
      </c>
      <c r="M894" s="152"/>
      <c r="N894" s="153"/>
      <c r="O894" s="153"/>
      <c r="P894" s="153"/>
      <c r="Q894" s="153"/>
      <c r="R894" s="153"/>
      <c r="S894" s="154"/>
      <c r="T894" s="153"/>
      <c r="U894" s="169"/>
      <c r="V894" s="156"/>
      <c r="W894" s="158"/>
      <c r="X894" s="158"/>
      <c r="Y894" s="158"/>
      <c r="Z894" s="158"/>
      <c r="AA894" s="159"/>
      <c r="AB894" s="160"/>
      <c r="AC894" s="157"/>
    </row>
    <row r="895" spans="10:29" ht="12.5">
      <c r="J895" s="149"/>
      <c r="K895" s="171">
        <f>MAX(K$827:K894)+1</f>
        <v>69</v>
      </c>
      <c r="L895" s="172">
        <f t="shared" si="118"/>
        <v>1</v>
      </c>
      <c r="M895" s="152"/>
      <c r="N895" s="153"/>
      <c r="O895" s="153"/>
      <c r="P895" s="153"/>
      <c r="Q895" s="153"/>
      <c r="R895" s="153"/>
      <c r="S895" s="154"/>
      <c r="T895" s="153"/>
      <c r="U895" s="169"/>
      <c r="V895" s="156"/>
      <c r="W895" s="158"/>
      <c r="X895" s="158"/>
      <c r="Y895" s="158"/>
      <c r="Z895" s="158"/>
      <c r="AA895" s="159"/>
      <c r="AB895" s="160"/>
      <c r="AC895" s="157"/>
    </row>
    <row r="896" spans="10:29" ht="12.5">
      <c r="J896" s="149"/>
      <c r="K896" s="171">
        <f>MAX(K$827:K895)+1</f>
        <v>70</v>
      </c>
      <c r="L896" s="172">
        <f t="shared" si="118"/>
        <v>1</v>
      </c>
      <c r="M896" s="152"/>
      <c r="N896" s="153"/>
      <c r="O896" s="153"/>
      <c r="P896" s="153"/>
      <c r="Q896" s="153"/>
      <c r="R896" s="153"/>
      <c r="S896" s="154"/>
      <c r="T896" s="153"/>
      <c r="U896" s="169"/>
      <c r="V896" s="156"/>
      <c r="W896" s="158"/>
      <c r="X896" s="158"/>
      <c r="Y896" s="158"/>
      <c r="Z896" s="158"/>
      <c r="AA896" s="159"/>
      <c r="AB896" s="160"/>
      <c r="AC896" s="157"/>
    </row>
    <row r="897" spans="10:29" ht="12.5">
      <c r="J897" s="149"/>
      <c r="K897" s="171">
        <f>MAX(K$827:K896)+1</f>
        <v>71</v>
      </c>
      <c r="L897" s="172">
        <f t="shared" si="118"/>
        <v>1</v>
      </c>
      <c r="M897" s="152"/>
      <c r="N897" s="153"/>
      <c r="O897" s="153"/>
      <c r="P897" s="153"/>
      <c r="Q897" s="153"/>
      <c r="R897" s="153"/>
      <c r="S897" s="154"/>
      <c r="T897" s="153"/>
      <c r="U897" s="169"/>
      <c r="V897" s="156"/>
      <c r="W897" s="158"/>
      <c r="X897" s="158"/>
      <c r="Y897" s="158"/>
      <c r="Z897" s="158"/>
      <c r="AA897" s="159"/>
      <c r="AB897" s="160"/>
      <c r="AC897" s="157"/>
    </row>
    <row r="898" spans="10:29" ht="12.5">
      <c r="J898" s="149"/>
      <c r="K898" s="171">
        <f>MAX(K$827:K897)+1</f>
        <v>72</v>
      </c>
      <c r="L898" s="172">
        <f t="shared" si="118"/>
        <v>1</v>
      </c>
      <c r="M898" s="152"/>
      <c r="N898" s="153"/>
      <c r="O898" s="153"/>
      <c r="P898" s="153"/>
      <c r="Q898" s="153"/>
      <c r="R898" s="153"/>
      <c r="S898" s="154"/>
      <c r="T898" s="153"/>
      <c r="U898" s="169"/>
      <c r="V898" s="156"/>
      <c r="W898" s="158"/>
      <c r="X898" s="158"/>
      <c r="Y898" s="158"/>
      <c r="Z898" s="158"/>
      <c r="AA898" s="159"/>
      <c r="AB898" s="160"/>
      <c r="AC898" s="157"/>
    </row>
    <row r="899" spans="10:29" ht="12.5">
      <c r="J899" s="149"/>
      <c r="K899" s="171">
        <f>MAX(K$827:K898)+1</f>
        <v>73</v>
      </c>
      <c r="L899" s="172">
        <f t="shared" si="118"/>
        <v>1</v>
      </c>
      <c r="M899" s="152"/>
      <c r="N899" s="153"/>
      <c r="O899" s="153"/>
      <c r="P899" s="153"/>
      <c r="Q899" s="153"/>
      <c r="R899" s="153"/>
      <c r="S899" s="154"/>
      <c r="T899" s="153"/>
      <c r="U899" s="169"/>
      <c r="V899" s="156"/>
      <c r="W899" s="158"/>
      <c r="X899" s="158"/>
      <c r="Y899" s="158"/>
      <c r="Z899" s="158"/>
      <c r="AA899" s="159"/>
      <c r="AB899" s="160"/>
      <c r="AC899" s="157"/>
    </row>
    <row r="900" spans="10:29" ht="12.5">
      <c r="J900" s="149"/>
      <c r="K900" s="171">
        <f>MAX(K$827:K899)+1</f>
        <v>74</v>
      </c>
      <c r="L900" s="172">
        <f t="shared" si="118"/>
        <v>1</v>
      </c>
      <c r="M900" s="152"/>
      <c r="N900" s="153"/>
      <c r="O900" s="153"/>
      <c r="P900" s="153"/>
      <c r="Q900" s="153"/>
      <c r="R900" s="153"/>
      <c r="S900" s="154"/>
      <c r="T900" s="153"/>
      <c r="U900" s="169"/>
      <c r="V900" s="156"/>
      <c r="W900" s="158"/>
      <c r="X900" s="158"/>
      <c r="Y900" s="158"/>
      <c r="Z900" s="158"/>
      <c r="AA900" s="159"/>
      <c r="AB900" s="160"/>
      <c r="AC900" s="157"/>
    </row>
    <row r="901" spans="10:29" ht="12.5">
      <c r="J901" s="149"/>
      <c r="K901" s="171">
        <f>MAX(K$827:K900)+1</f>
        <v>75</v>
      </c>
      <c r="L901" s="172">
        <f t="shared" si="118"/>
        <v>1</v>
      </c>
      <c r="M901" s="152"/>
      <c r="N901" s="153"/>
      <c r="O901" s="153"/>
      <c r="P901" s="153"/>
      <c r="Q901" s="153"/>
      <c r="R901" s="153"/>
      <c r="S901" s="154"/>
      <c r="T901" s="153"/>
      <c r="U901" s="169"/>
      <c r="V901" s="156"/>
      <c r="W901" s="158"/>
      <c r="X901" s="158"/>
      <c r="Y901" s="158"/>
      <c r="Z901" s="158"/>
      <c r="AA901" s="159"/>
      <c r="AB901" s="160"/>
      <c r="AC901" s="157"/>
    </row>
    <row r="902" spans="10:29" ht="12.5">
      <c r="J902" s="149"/>
      <c r="K902" s="171">
        <f>MAX(K$827:K901)+1</f>
        <v>76</v>
      </c>
      <c r="L902" s="172">
        <f t="shared" si="118"/>
        <v>1</v>
      </c>
      <c r="M902" s="152"/>
      <c r="N902" s="153"/>
      <c r="O902" s="153"/>
      <c r="P902" s="153"/>
      <c r="Q902" s="153"/>
      <c r="R902" s="153"/>
      <c r="S902" s="154"/>
      <c r="T902" s="153"/>
      <c r="U902" s="169"/>
      <c r="V902" s="156"/>
      <c r="W902" s="158"/>
      <c r="X902" s="158"/>
      <c r="Y902" s="158"/>
      <c r="Z902" s="158"/>
      <c r="AA902" s="159"/>
      <c r="AB902" s="160"/>
      <c r="AC902" s="157"/>
    </row>
    <row r="903" spans="10:29" ht="12.5">
      <c r="J903" s="149"/>
      <c r="K903" s="171">
        <f>MAX(K$827:K902)+1</f>
        <v>77</v>
      </c>
      <c r="L903" s="172">
        <f t="shared" si="118"/>
        <v>1</v>
      </c>
      <c r="M903" s="152"/>
      <c r="N903" s="153"/>
      <c r="O903" s="153"/>
      <c r="P903" s="153"/>
      <c r="Q903" s="153"/>
      <c r="R903" s="153"/>
      <c r="S903" s="154"/>
      <c r="T903" s="153"/>
      <c r="U903" s="169"/>
      <c r="V903" s="156"/>
      <c r="W903" s="158"/>
      <c r="X903" s="158"/>
      <c r="Y903" s="158"/>
      <c r="Z903" s="158"/>
      <c r="AA903" s="159"/>
      <c r="AB903" s="160"/>
      <c r="AC903" s="157"/>
    </row>
    <row r="904" spans="10:29" ht="12.5">
      <c r="J904" s="149"/>
      <c r="K904" s="171">
        <f>MAX(K$827:K903)+1</f>
        <v>78</v>
      </c>
      <c r="L904" s="172">
        <f t="shared" si="118"/>
        <v>1</v>
      </c>
      <c r="M904" s="152"/>
      <c r="N904" s="153"/>
      <c r="O904" s="153"/>
      <c r="P904" s="153"/>
      <c r="Q904" s="153"/>
      <c r="R904" s="153"/>
      <c r="S904" s="154"/>
      <c r="T904" s="153"/>
      <c r="U904" s="169"/>
      <c r="V904" s="156"/>
      <c r="W904" s="158"/>
      <c r="X904" s="158"/>
      <c r="Y904" s="158"/>
      <c r="Z904" s="158"/>
      <c r="AA904" s="159"/>
      <c r="AB904" s="160"/>
      <c r="AC904" s="157"/>
    </row>
    <row r="905" spans="10:29" ht="12.5">
      <c r="J905" s="149"/>
      <c r="K905" s="171">
        <f>MAX(K$827:K904)+1</f>
        <v>79</v>
      </c>
      <c r="L905" s="172">
        <f t="shared" si="118"/>
        <v>1</v>
      </c>
      <c r="M905" s="152"/>
      <c r="N905" s="153"/>
      <c r="O905" s="153"/>
      <c r="P905" s="153"/>
      <c r="Q905" s="153"/>
      <c r="R905" s="153"/>
      <c r="S905" s="154"/>
      <c r="T905" s="153"/>
      <c r="U905" s="169"/>
      <c r="V905" s="156"/>
      <c r="W905" s="158"/>
      <c r="X905" s="158"/>
      <c r="Y905" s="158"/>
      <c r="Z905" s="158"/>
      <c r="AA905" s="159"/>
      <c r="AB905" s="160"/>
      <c r="AC905" s="157"/>
    </row>
    <row r="906" spans="10:29" ht="12.5">
      <c r="J906" s="149"/>
      <c r="K906" s="171">
        <f>MAX(K$827:K905)+1</f>
        <v>80</v>
      </c>
      <c r="L906" s="172">
        <f t="shared" si="118"/>
        <v>1</v>
      </c>
      <c r="M906" s="152"/>
      <c r="N906" s="153"/>
      <c r="O906" s="153"/>
      <c r="P906" s="153"/>
      <c r="Q906" s="153"/>
      <c r="R906" s="153"/>
      <c r="S906" s="154"/>
      <c r="T906" s="153"/>
      <c r="U906" s="169"/>
      <c r="V906" s="156"/>
      <c r="W906" s="158"/>
      <c r="X906" s="158"/>
      <c r="Y906" s="158"/>
      <c r="Z906" s="158"/>
      <c r="AA906" s="159"/>
      <c r="AB906" s="160"/>
      <c r="AC906" s="157"/>
    </row>
    <row r="907" spans="10:29" ht="12.5">
      <c r="J907" s="149"/>
      <c r="K907" s="171">
        <f>MAX(K$827:K906)+1</f>
        <v>81</v>
      </c>
      <c r="L907" s="172">
        <f t="shared" si="118"/>
        <v>1</v>
      </c>
      <c r="M907" s="152"/>
      <c r="N907" s="153"/>
      <c r="O907" s="153"/>
      <c r="P907" s="153"/>
      <c r="Q907" s="153"/>
      <c r="R907" s="153"/>
      <c r="S907" s="154"/>
      <c r="T907" s="153"/>
      <c r="U907" s="169"/>
      <c r="V907" s="156"/>
      <c r="W907" s="158"/>
      <c r="X907" s="158"/>
      <c r="Y907" s="158"/>
      <c r="Z907" s="158"/>
      <c r="AA907" s="159"/>
      <c r="AB907" s="160"/>
      <c r="AC907" s="157"/>
    </row>
    <row r="908" spans="10:29" ht="12.5">
      <c r="J908" s="149"/>
      <c r="K908" s="171">
        <f>MAX(K$827:K907)+1</f>
        <v>82</v>
      </c>
      <c r="L908" s="172">
        <f t="shared" si="118"/>
        <v>1</v>
      </c>
      <c r="M908" s="152"/>
      <c r="N908" s="153"/>
      <c r="O908" s="153"/>
      <c r="P908" s="153"/>
      <c r="Q908" s="153"/>
      <c r="R908" s="153"/>
      <c r="S908" s="154"/>
      <c r="T908" s="153"/>
      <c r="U908" s="169"/>
      <c r="V908" s="156"/>
      <c r="W908" s="158"/>
      <c r="X908" s="158"/>
      <c r="Y908" s="158"/>
      <c r="Z908" s="158"/>
      <c r="AA908" s="159"/>
      <c r="AB908" s="160"/>
      <c r="AC908" s="157"/>
    </row>
    <row r="909" spans="10:29" ht="12.5">
      <c r="J909" s="149"/>
      <c r="K909" s="171">
        <f>MAX(K$827:K908)+1</f>
        <v>83</v>
      </c>
      <c r="L909" s="172">
        <f t="shared" si="118"/>
        <v>1</v>
      </c>
      <c r="M909" s="152"/>
      <c r="N909" s="153"/>
      <c r="O909" s="153"/>
      <c r="P909" s="153"/>
      <c r="Q909" s="153"/>
      <c r="R909" s="153"/>
      <c r="S909" s="154"/>
      <c r="T909" s="153"/>
      <c r="U909" s="169"/>
      <c r="V909" s="156"/>
      <c r="W909" s="158"/>
      <c r="X909" s="158"/>
      <c r="Y909" s="158"/>
      <c r="Z909" s="158"/>
      <c r="AA909" s="159"/>
      <c r="AB909" s="160"/>
      <c r="AC909" s="157"/>
    </row>
    <row r="910" spans="10:29" ht="12.5">
      <c r="J910" s="149"/>
      <c r="K910" s="171">
        <f>MAX(K$827:K909)+1</f>
        <v>84</v>
      </c>
      <c r="L910" s="172">
        <f t="shared" si="118"/>
        <v>1</v>
      </c>
      <c r="M910" s="152"/>
      <c r="N910" s="153"/>
      <c r="O910" s="153"/>
      <c r="P910" s="153"/>
      <c r="Q910" s="153"/>
      <c r="R910" s="153"/>
      <c r="S910" s="154"/>
      <c r="T910" s="153"/>
      <c r="U910" s="169"/>
      <c r="V910" s="156"/>
      <c r="W910" s="158"/>
      <c r="X910" s="158"/>
      <c r="Y910" s="158"/>
      <c r="Z910" s="158"/>
      <c r="AA910" s="159"/>
      <c r="AB910" s="160"/>
      <c r="AC910" s="157"/>
    </row>
    <row r="911" spans="10:29" ht="12.5">
      <c r="J911" s="149"/>
      <c r="K911" s="171">
        <f>MAX(K$827:K910)+1</f>
        <v>85</v>
      </c>
      <c r="L911" s="172">
        <f t="shared" si="118"/>
        <v>1</v>
      </c>
      <c r="M911" s="152"/>
      <c r="N911" s="153"/>
      <c r="O911" s="153"/>
      <c r="P911" s="153"/>
      <c r="Q911" s="153"/>
      <c r="R911" s="153"/>
      <c r="S911" s="154"/>
      <c r="T911" s="153"/>
      <c r="U911" s="169"/>
      <c r="V911" s="156"/>
      <c r="W911" s="158"/>
      <c r="X911" s="158"/>
      <c r="Y911" s="158"/>
      <c r="Z911" s="158"/>
      <c r="AA911" s="159"/>
      <c r="AB911" s="160"/>
      <c r="AC911" s="157"/>
    </row>
    <row r="912" spans="10:29" ht="12.5">
      <c r="J912" s="149"/>
      <c r="K912" s="171">
        <f>MAX(K$827:K911)+1</f>
        <v>86</v>
      </c>
      <c r="L912" s="172">
        <f t="shared" si="118"/>
        <v>1</v>
      </c>
      <c r="M912" s="152"/>
      <c r="N912" s="153"/>
      <c r="O912" s="153"/>
      <c r="P912" s="153"/>
      <c r="Q912" s="153"/>
      <c r="R912" s="153"/>
      <c r="S912" s="154"/>
      <c r="T912" s="153"/>
      <c r="U912" s="169"/>
      <c r="V912" s="156"/>
      <c r="W912" s="158"/>
      <c r="X912" s="158"/>
      <c r="Y912" s="158"/>
      <c r="Z912" s="158"/>
      <c r="AA912" s="159"/>
      <c r="AB912" s="160"/>
      <c r="AC912" s="157"/>
    </row>
    <row r="913" spans="10:29" ht="12.5">
      <c r="J913" s="149"/>
      <c r="K913" s="171">
        <f>MAX(K$827:K912)+1</f>
        <v>87</v>
      </c>
      <c r="L913" s="172">
        <f t="shared" si="118"/>
        <v>1</v>
      </c>
      <c r="M913" s="152"/>
      <c r="N913" s="153"/>
      <c r="O913" s="153"/>
      <c r="P913" s="153"/>
      <c r="Q913" s="153"/>
      <c r="R913" s="153"/>
      <c r="S913" s="154"/>
      <c r="T913" s="153"/>
      <c r="U913" s="169"/>
      <c r="V913" s="156"/>
      <c r="W913" s="158"/>
      <c r="X913" s="158"/>
      <c r="Y913" s="158"/>
      <c r="Z913" s="158"/>
      <c r="AA913" s="159"/>
      <c r="AB913" s="160"/>
      <c r="AC913" s="157"/>
    </row>
    <row r="914" spans="10:29" ht="12.5">
      <c r="J914" s="149"/>
      <c r="K914" s="171">
        <f>MAX(K$827:K913)+1</f>
        <v>88</v>
      </c>
      <c r="L914" s="172">
        <f t="shared" si="118"/>
        <v>1</v>
      </c>
      <c r="M914" s="161"/>
      <c r="N914" s="153"/>
      <c r="O914" s="153"/>
      <c r="P914" s="153"/>
      <c r="Q914" s="153"/>
      <c r="R914" s="153"/>
      <c r="S914" s="154"/>
      <c r="T914" s="153"/>
      <c r="U914" s="169"/>
      <c r="V914" s="156"/>
      <c r="W914" s="158"/>
      <c r="X914" s="158"/>
      <c r="Y914" s="158"/>
      <c r="Z914" s="158"/>
      <c r="AA914" s="159"/>
      <c r="AB914" s="160"/>
      <c r="AC914" s="157"/>
    </row>
    <row r="915" spans="10:29" ht="12.5">
      <c r="J915" s="149"/>
      <c r="K915" s="171">
        <f>MAX(K$827:K914)+1</f>
        <v>89</v>
      </c>
      <c r="L915" s="172">
        <f t="shared" si="118"/>
        <v>1</v>
      </c>
      <c r="M915" s="161"/>
      <c r="N915" s="153"/>
      <c r="O915" s="153"/>
      <c r="P915" s="153"/>
      <c r="Q915" s="153"/>
      <c r="R915" s="153"/>
      <c r="S915" s="154"/>
      <c r="T915" s="153"/>
      <c r="U915" s="169"/>
      <c r="V915" s="156"/>
      <c r="W915" s="158"/>
      <c r="X915" s="158"/>
      <c r="Y915" s="158"/>
      <c r="Z915" s="158"/>
      <c r="AA915" s="159"/>
      <c r="AB915" s="160"/>
      <c r="AC915" s="157"/>
    </row>
    <row r="916" spans="10:29" ht="12.5">
      <c r="J916" s="149"/>
      <c r="K916" s="171">
        <f>MAX(K$827:K915)+1</f>
        <v>90</v>
      </c>
      <c r="L916" s="172">
        <f t="shared" si="118"/>
        <v>1</v>
      </c>
      <c r="M916" s="161"/>
      <c r="N916" s="153"/>
      <c r="O916" s="153"/>
      <c r="P916" s="153"/>
      <c r="Q916" s="153"/>
      <c r="R916" s="153"/>
      <c r="S916" s="154"/>
      <c r="T916" s="153"/>
      <c r="U916" s="169"/>
      <c r="V916" s="156"/>
      <c r="W916" s="158"/>
      <c r="X916" s="158"/>
      <c r="Y916" s="158"/>
      <c r="Z916" s="158"/>
      <c r="AA916" s="159"/>
      <c r="AB916" s="160"/>
      <c r="AC916" s="157"/>
    </row>
    <row r="917" spans="10:29" ht="12.5">
      <c r="J917" s="149"/>
      <c r="K917" s="171">
        <f>MAX(K$827:K916)+1</f>
        <v>91</v>
      </c>
      <c r="L917" s="172">
        <f t="shared" si="118"/>
        <v>1</v>
      </c>
      <c r="M917" s="152"/>
      <c r="N917" s="153"/>
      <c r="O917" s="153"/>
      <c r="P917" s="153"/>
      <c r="Q917" s="153"/>
      <c r="R917" s="153"/>
      <c r="S917" s="154">
        <f t="shared" si="119"/>
        <v>0</v>
      </c>
      <c r="T917" s="153"/>
      <c r="U917" s="169">
        <f t="shared" ref="U917:U980" si="120">T917+S917</f>
        <v>0</v>
      </c>
      <c r="V917" s="156"/>
      <c r="W917" s="158"/>
      <c r="X917" s="158"/>
      <c r="Y917" s="158"/>
      <c r="Z917" s="153"/>
      <c r="AA917" s="159" t="s">
        <v>278</v>
      </c>
      <c r="AB917" s="160"/>
      <c r="AC917" s="157">
        <f t="shared" si="117"/>
        <v>0</v>
      </c>
    </row>
    <row r="918" spans="10:29" ht="12.5">
      <c r="J918" s="149"/>
      <c r="K918" s="171">
        <f>MAX(K$827:K917)+1</f>
        <v>92</v>
      </c>
      <c r="L918" s="172">
        <f t="shared" si="118"/>
        <v>1</v>
      </c>
      <c r="M918" s="152"/>
      <c r="N918" s="153"/>
      <c r="O918" s="153"/>
      <c r="P918" s="153"/>
      <c r="Q918" s="153"/>
      <c r="R918" s="153"/>
      <c r="S918" s="154">
        <f t="shared" si="119"/>
        <v>0</v>
      </c>
      <c r="T918" s="153"/>
      <c r="U918" s="169">
        <f t="shared" si="120"/>
        <v>0</v>
      </c>
      <c r="V918" s="156"/>
      <c r="W918" s="158"/>
      <c r="X918" s="158"/>
      <c r="Y918" s="158"/>
      <c r="Z918" s="153"/>
      <c r="AA918" s="159" t="s">
        <v>278</v>
      </c>
      <c r="AB918" s="160"/>
      <c r="AC918" s="157">
        <f t="shared" si="117"/>
        <v>0</v>
      </c>
    </row>
    <row r="919" spans="10:29" ht="12.5">
      <c r="J919" s="149"/>
      <c r="K919" s="171">
        <f>MAX(K$827:K918)+1</f>
        <v>93</v>
      </c>
      <c r="L919" s="172">
        <f t="shared" si="118"/>
        <v>1</v>
      </c>
      <c r="M919" s="152"/>
      <c r="N919" s="153"/>
      <c r="O919" s="153"/>
      <c r="P919" s="153"/>
      <c r="Q919" s="153"/>
      <c r="R919" s="153"/>
      <c r="S919" s="154">
        <f t="shared" si="119"/>
        <v>0</v>
      </c>
      <c r="T919" s="153"/>
      <c r="U919" s="169">
        <f t="shared" si="120"/>
        <v>0</v>
      </c>
      <c r="V919" s="156"/>
      <c r="W919" s="158"/>
      <c r="X919" s="158"/>
      <c r="Y919" s="158"/>
      <c r="Z919" s="153"/>
      <c r="AA919" s="159" t="s">
        <v>278</v>
      </c>
      <c r="AB919" s="160"/>
      <c r="AC919" s="157">
        <f t="shared" si="117"/>
        <v>0</v>
      </c>
    </row>
    <row r="920" spans="10:29" ht="12.5">
      <c r="J920" s="149"/>
      <c r="K920" s="171">
        <f>MAX(K$827:K919)+1</f>
        <v>94</v>
      </c>
      <c r="L920" s="172">
        <f t="shared" si="118"/>
        <v>1</v>
      </c>
      <c r="M920" s="152"/>
      <c r="N920" s="153"/>
      <c r="O920" s="153"/>
      <c r="P920" s="153"/>
      <c r="Q920" s="153"/>
      <c r="R920" s="153"/>
      <c r="S920" s="154">
        <f t="shared" si="119"/>
        <v>0</v>
      </c>
      <c r="T920" s="153"/>
      <c r="U920" s="169">
        <f t="shared" si="120"/>
        <v>0</v>
      </c>
      <c r="V920" s="156"/>
      <c r="W920" s="158"/>
      <c r="X920" s="158"/>
      <c r="Y920" s="158"/>
      <c r="Z920" s="153"/>
      <c r="AA920" s="159" t="s">
        <v>278</v>
      </c>
      <c r="AB920" s="160"/>
      <c r="AC920" s="157">
        <f t="shared" si="117"/>
        <v>0</v>
      </c>
    </row>
    <row r="921" spans="10:29" ht="12.5">
      <c r="J921" s="149"/>
      <c r="K921" s="171">
        <f>MAX(K$827:K920)+1</f>
        <v>95</v>
      </c>
      <c r="L921" s="172">
        <f t="shared" si="118"/>
        <v>1</v>
      </c>
      <c r="M921" s="152"/>
      <c r="N921" s="153"/>
      <c r="O921" s="153"/>
      <c r="P921" s="153"/>
      <c r="Q921" s="153"/>
      <c r="R921" s="153"/>
      <c r="S921" s="154">
        <f t="shared" si="119"/>
        <v>0</v>
      </c>
      <c r="T921" s="153"/>
      <c r="U921" s="169">
        <f t="shared" si="120"/>
        <v>0</v>
      </c>
      <c r="V921" s="156"/>
      <c r="W921" s="158"/>
      <c r="X921" s="158"/>
      <c r="Y921" s="158"/>
      <c r="Z921" s="153"/>
      <c r="AA921" s="159" t="s">
        <v>278</v>
      </c>
      <c r="AB921" s="160"/>
      <c r="AC921" s="157">
        <f t="shared" si="117"/>
        <v>0</v>
      </c>
    </row>
    <row r="922" spans="10:29" ht="12.5">
      <c r="J922" s="149"/>
      <c r="K922" s="171">
        <f>MAX(K$827:K921)+1</f>
        <v>96</v>
      </c>
      <c r="L922" s="172">
        <f t="shared" si="118"/>
        <v>1</v>
      </c>
      <c r="M922" s="152"/>
      <c r="N922" s="153"/>
      <c r="O922" s="153"/>
      <c r="P922" s="153"/>
      <c r="Q922" s="153"/>
      <c r="R922" s="153"/>
      <c r="S922" s="154">
        <f t="shared" si="119"/>
        <v>0</v>
      </c>
      <c r="T922" s="153"/>
      <c r="U922" s="169">
        <f t="shared" si="120"/>
        <v>0</v>
      </c>
      <c r="V922" s="156"/>
      <c r="W922" s="158"/>
      <c r="X922" s="158"/>
      <c r="Y922" s="158"/>
      <c r="Z922" s="153"/>
      <c r="AA922" s="159" t="s">
        <v>278</v>
      </c>
      <c r="AB922" s="160"/>
      <c r="AC922" s="157">
        <f t="shared" si="117"/>
        <v>0</v>
      </c>
    </row>
    <row r="923" spans="10:29" ht="12.5">
      <c r="J923" s="149"/>
      <c r="K923" s="171">
        <f>MAX(K$827:K922)+1</f>
        <v>97</v>
      </c>
      <c r="L923" s="172">
        <f t="shared" si="118"/>
        <v>1</v>
      </c>
      <c r="M923" s="152"/>
      <c r="N923" s="153"/>
      <c r="O923" s="153"/>
      <c r="P923" s="153"/>
      <c r="Q923" s="153"/>
      <c r="R923" s="153"/>
      <c r="S923" s="154">
        <f t="shared" si="119"/>
        <v>0</v>
      </c>
      <c r="T923" s="153"/>
      <c r="U923" s="169">
        <f t="shared" si="120"/>
        <v>0</v>
      </c>
      <c r="V923" s="156"/>
      <c r="W923" s="158"/>
      <c r="X923" s="158"/>
      <c r="Y923" s="158"/>
      <c r="Z923" s="153"/>
      <c r="AA923" s="159" t="s">
        <v>278</v>
      </c>
      <c r="AB923" s="160"/>
      <c r="AC923" s="157">
        <f t="shared" si="117"/>
        <v>0</v>
      </c>
    </row>
    <row r="924" spans="10:29" ht="12.5">
      <c r="J924" s="149"/>
      <c r="K924" s="171">
        <f>MAX(K$827:K923)+1</f>
        <v>98</v>
      </c>
      <c r="L924" s="172">
        <f t="shared" si="118"/>
        <v>1</v>
      </c>
      <c r="M924" s="152"/>
      <c r="N924" s="153"/>
      <c r="O924" s="153"/>
      <c r="P924" s="153"/>
      <c r="Q924" s="153"/>
      <c r="R924" s="153"/>
      <c r="S924" s="154">
        <f t="shared" si="119"/>
        <v>0</v>
      </c>
      <c r="T924" s="153"/>
      <c r="U924" s="169">
        <f t="shared" si="120"/>
        <v>0</v>
      </c>
      <c r="V924" s="156"/>
      <c r="W924" s="158"/>
      <c r="X924" s="158"/>
      <c r="Y924" s="158"/>
      <c r="Z924" s="153"/>
      <c r="AA924" s="159" t="s">
        <v>278</v>
      </c>
      <c r="AB924" s="160"/>
      <c r="AC924" s="157">
        <f t="shared" si="117"/>
        <v>0</v>
      </c>
    </row>
    <row r="925" spans="10:29" ht="12.5">
      <c r="J925" s="149"/>
      <c r="K925" s="171">
        <f>MAX(K$827:K924)+1</f>
        <v>99</v>
      </c>
      <c r="L925" s="172">
        <f t="shared" si="118"/>
        <v>1</v>
      </c>
      <c r="M925" s="152"/>
      <c r="N925" s="153"/>
      <c r="O925" s="153"/>
      <c r="P925" s="153"/>
      <c r="Q925" s="153"/>
      <c r="R925" s="153"/>
      <c r="S925" s="154">
        <f t="shared" si="119"/>
        <v>0</v>
      </c>
      <c r="T925" s="153"/>
      <c r="U925" s="169">
        <f t="shared" si="120"/>
        <v>0</v>
      </c>
      <c r="V925" s="156"/>
      <c r="W925" s="158"/>
      <c r="X925" s="158"/>
      <c r="Y925" s="158"/>
      <c r="Z925" s="153"/>
      <c r="AA925" s="159" t="s">
        <v>278</v>
      </c>
      <c r="AB925" s="160"/>
      <c r="AC925" s="157">
        <f t="shared" si="117"/>
        <v>0</v>
      </c>
    </row>
    <row r="926" spans="10:29" ht="12.5">
      <c r="J926" s="149"/>
      <c r="K926" s="171">
        <f>MAX(K$827:K925)+1</f>
        <v>100</v>
      </c>
      <c r="L926" s="172">
        <f t="shared" si="118"/>
        <v>1</v>
      </c>
      <c r="M926" s="152"/>
      <c r="N926" s="153"/>
      <c r="O926" s="153"/>
      <c r="P926" s="153"/>
      <c r="Q926" s="153"/>
      <c r="R926" s="153"/>
      <c r="S926" s="154">
        <f t="shared" si="119"/>
        <v>0</v>
      </c>
      <c r="T926" s="153"/>
      <c r="U926" s="169">
        <f t="shared" si="120"/>
        <v>0</v>
      </c>
      <c r="V926" s="156"/>
      <c r="W926" s="158"/>
      <c r="X926" s="158"/>
      <c r="Y926" s="158"/>
      <c r="Z926" s="153"/>
      <c r="AA926" s="159" t="s">
        <v>278</v>
      </c>
      <c r="AB926" s="160"/>
      <c r="AC926" s="157">
        <f t="shared" si="117"/>
        <v>0</v>
      </c>
    </row>
    <row r="927" spans="10:29" ht="12.5">
      <c r="J927" s="149"/>
      <c r="K927" s="171">
        <f>MAX(K$827:K926)+1</f>
        <v>101</v>
      </c>
      <c r="L927" s="172">
        <f t="shared" si="118"/>
        <v>1</v>
      </c>
      <c r="M927" s="152"/>
      <c r="N927" s="153"/>
      <c r="O927" s="153"/>
      <c r="P927" s="153"/>
      <c r="Q927" s="153"/>
      <c r="R927" s="153"/>
      <c r="S927" s="154">
        <f t="shared" si="119"/>
        <v>0</v>
      </c>
      <c r="T927" s="153"/>
      <c r="U927" s="169">
        <f t="shared" si="120"/>
        <v>0</v>
      </c>
      <c r="V927" s="156"/>
      <c r="W927" s="158"/>
      <c r="X927" s="158"/>
      <c r="Y927" s="158"/>
      <c r="Z927" s="153"/>
      <c r="AA927" s="159" t="s">
        <v>278</v>
      </c>
      <c r="AB927" s="160"/>
      <c r="AC927" s="157">
        <f t="shared" si="117"/>
        <v>0</v>
      </c>
    </row>
    <row r="928" spans="10:29" ht="12.5">
      <c r="J928" s="149"/>
      <c r="K928" s="171">
        <f>MAX(K$827:K927)+1</f>
        <v>102</v>
      </c>
      <c r="L928" s="172">
        <f t="shared" si="118"/>
        <v>1</v>
      </c>
      <c r="M928" s="152"/>
      <c r="N928" s="153"/>
      <c r="O928" s="153"/>
      <c r="P928" s="153"/>
      <c r="Q928" s="153"/>
      <c r="R928" s="153"/>
      <c r="S928" s="154">
        <f t="shared" si="119"/>
        <v>0</v>
      </c>
      <c r="T928" s="153"/>
      <c r="U928" s="169">
        <f t="shared" si="120"/>
        <v>0</v>
      </c>
      <c r="V928" s="156"/>
      <c r="W928" s="158"/>
      <c r="X928" s="158"/>
      <c r="Y928" s="158"/>
      <c r="Z928" s="153"/>
      <c r="AA928" s="159" t="s">
        <v>278</v>
      </c>
      <c r="AB928" s="160"/>
      <c r="AC928" s="157">
        <f t="shared" si="117"/>
        <v>0</v>
      </c>
    </row>
    <row r="929" spans="10:30" ht="12.5">
      <c r="J929" s="149"/>
      <c r="K929" s="171">
        <f>MAX(K$827:K928)+1</f>
        <v>103</v>
      </c>
      <c r="L929" s="172">
        <f t="shared" si="118"/>
        <v>1</v>
      </c>
      <c r="M929" s="152"/>
      <c r="N929" s="153"/>
      <c r="O929" s="153"/>
      <c r="P929" s="153"/>
      <c r="Q929" s="153"/>
      <c r="R929" s="153"/>
      <c r="S929" s="154">
        <f t="shared" si="119"/>
        <v>0</v>
      </c>
      <c r="T929" s="153"/>
      <c r="U929" s="169">
        <f t="shared" si="120"/>
        <v>0</v>
      </c>
      <c r="V929" s="156"/>
      <c r="W929" s="158"/>
      <c r="X929" s="158"/>
      <c r="Y929" s="158"/>
      <c r="Z929" s="153"/>
      <c r="AA929" s="159" t="s">
        <v>278</v>
      </c>
      <c r="AB929" s="160"/>
      <c r="AC929" s="157">
        <f t="shared" si="117"/>
        <v>0</v>
      </c>
    </row>
    <row r="930" spans="10:30" ht="12.5">
      <c r="J930" s="149"/>
      <c r="K930" s="171">
        <f>MAX(K$827:K929)+1</f>
        <v>104</v>
      </c>
      <c r="L930" s="172">
        <f t="shared" si="118"/>
        <v>1</v>
      </c>
      <c r="M930" s="152"/>
      <c r="N930" s="153"/>
      <c r="O930" s="153"/>
      <c r="P930" s="153"/>
      <c r="Q930" s="153"/>
      <c r="R930" s="153"/>
      <c r="S930" s="154">
        <f t="shared" si="119"/>
        <v>0</v>
      </c>
      <c r="T930" s="153"/>
      <c r="U930" s="169">
        <f t="shared" si="120"/>
        <v>0</v>
      </c>
      <c r="V930" s="156"/>
      <c r="W930" s="158"/>
      <c r="X930" s="158"/>
      <c r="Y930" s="158"/>
      <c r="Z930" s="153"/>
      <c r="AA930" s="159" t="s">
        <v>278</v>
      </c>
      <c r="AB930" s="160"/>
      <c r="AC930" s="157">
        <f t="shared" si="117"/>
        <v>0</v>
      </c>
    </row>
    <row r="931" spans="10:30" ht="12.5">
      <c r="J931" s="149"/>
      <c r="K931" s="171">
        <f>MAX(K$827:K930)+1</f>
        <v>105</v>
      </c>
      <c r="L931" s="172">
        <f t="shared" si="118"/>
        <v>1</v>
      </c>
      <c r="M931" s="152"/>
      <c r="N931" s="153"/>
      <c r="O931" s="153"/>
      <c r="P931" s="153"/>
      <c r="Q931" s="153"/>
      <c r="R931" s="153"/>
      <c r="S931" s="154">
        <f t="shared" si="119"/>
        <v>0</v>
      </c>
      <c r="T931" s="153"/>
      <c r="U931" s="169">
        <f t="shared" si="120"/>
        <v>0</v>
      </c>
      <c r="V931" s="156"/>
      <c r="W931" s="158"/>
      <c r="X931" s="158"/>
      <c r="Y931" s="158"/>
      <c r="Z931" s="153"/>
      <c r="AA931" s="159" t="s">
        <v>278</v>
      </c>
      <c r="AB931" s="160"/>
      <c r="AC931" s="157">
        <f t="shared" si="117"/>
        <v>0</v>
      </c>
    </row>
    <row r="932" spans="10:30" ht="12.5">
      <c r="J932" s="149"/>
      <c r="K932" s="171">
        <f>MAX(K$827:K931)+1</f>
        <v>106</v>
      </c>
      <c r="L932" s="172">
        <f t="shared" si="118"/>
        <v>1</v>
      </c>
      <c r="M932" s="152"/>
      <c r="N932" s="153"/>
      <c r="O932" s="153"/>
      <c r="P932" s="153"/>
      <c r="Q932" s="153"/>
      <c r="R932" s="153"/>
      <c r="S932" s="154">
        <f t="shared" si="119"/>
        <v>0</v>
      </c>
      <c r="T932" s="153"/>
      <c r="U932" s="169">
        <f t="shared" si="120"/>
        <v>0</v>
      </c>
      <c r="V932" s="156"/>
      <c r="W932" s="158"/>
      <c r="X932" s="158"/>
      <c r="Y932" s="158"/>
      <c r="Z932" s="153"/>
      <c r="AA932" s="159" t="s">
        <v>278</v>
      </c>
      <c r="AB932" s="160"/>
      <c r="AC932" s="157">
        <f t="shared" si="117"/>
        <v>0</v>
      </c>
    </row>
    <row r="933" spans="10:30" ht="12.5">
      <c r="J933" s="149"/>
      <c r="K933" s="171">
        <f>MAX(K$827:K932)+1</f>
        <v>107</v>
      </c>
      <c r="L933" s="172">
        <f t="shared" si="118"/>
        <v>1</v>
      </c>
      <c r="M933" s="152"/>
      <c r="N933" s="153"/>
      <c r="O933" s="153"/>
      <c r="P933" s="153"/>
      <c r="Q933" s="153"/>
      <c r="R933" s="153"/>
      <c r="S933" s="154">
        <f t="shared" si="119"/>
        <v>0</v>
      </c>
      <c r="T933" s="153"/>
      <c r="U933" s="169">
        <f t="shared" si="120"/>
        <v>0</v>
      </c>
      <c r="V933" s="156"/>
      <c r="W933" s="158"/>
      <c r="X933" s="158"/>
      <c r="Y933" s="158"/>
      <c r="Z933" s="153"/>
      <c r="AA933" s="159" t="s">
        <v>278</v>
      </c>
      <c r="AB933" s="160"/>
      <c r="AC933" s="157">
        <f t="shared" ref="AC933:AC996" si="121">INDEX(Y933:Z933,1,MATCH(_WellBasketSelection,$Y$826:$Z$826,0))*U933</f>
        <v>0</v>
      </c>
    </row>
    <row r="934" spans="10:30" ht="12.5">
      <c r="J934" s="149"/>
      <c r="K934" s="171">
        <f>MAX(K$827:K933)+1</f>
        <v>108</v>
      </c>
      <c r="L934" s="172">
        <f t="shared" si="118"/>
        <v>1</v>
      </c>
      <c r="M934" s="152"/>
      <c r="N934" s="153"/>
      <c r="O934" s="153"/>
      <c r="P934" s="153"/>
      <c r="Q934" s="153"/>
      <c r="R934" s="153"/>
      <c r="S934" s="154">
        <f t="shared" si="119"/>
        <v>0</v>
      </c>
      <c r="T934" s="153"/>
      <c r="U934" s="169">
        <f t="shared" si="120"/>
        <v>0</v>
      </c>
      <c r="V934" s="156"/>
      <c r="W934" s="158"/>
      <c r="X934" s="158"/>
      <c r="Y934" s="158"/>
      <c r="Z934" s="153"/>
      <c r="AA934" s="159" t="s">
        <v>278</v>
      </c>
      <c r="AB934" s="160"/>
      <c r="AC934" s="157">
        <f t="shared" si="121"/>
        <v>0</v>
      </c>
    </row>
    <row r="935" spans="10:30" ht="12.5">
      <c r="J935" s="149"/>
      <c r="K935" s="171">
        <f>MAX(K$827:K934)+1</f>
        <v>109</v>
      </c>
      <c r="L935" s="172">
        <f t="shared" si="118"/>
        <v>1</v>
      </c>
      <c r="M935" s="152"/>
      <c r="N935" s="153"/>
      <c r="O935" s="153"/>
      <c r="P935" s="153"/>
      <c r="Q935" s="153"/>
      <c r="R935" s="153"/>
      <c r="S935" s="154">
        <f t="shared" si="119"/>
        <v>0</v>
      </c>
      <c r="T935" s="153"/>
      <c r="U935" s="169">
        <f t="shared" si="120"/>
        <v>0</v>
      </c>
      <c r="V935" s="156"/>
      <c r="W935" s="158"/>
      <c r="X935" s="158"/>
      <c r="Y935" s="158"/>
      <c r="Z935" s="153"/>
      <c r="AA935" s="159" t="s">
        <v>278</v>
      </c>
      <c r="AB935" s="160"/>
      <c r="AC935" s="157">
        <f t="shared" si="121"/>
        <v>0</v>
      </c>
      <c r="AD935" s="131"/>
    </row>
    <row r="936" spans="10:30" ht="12.5">
      <c r="J936" s="149"/>
      <c r="K936" s="171">
        <f>MAX(K$827:K935)+1</f>
        <v>110</v>
      </c>
      <c r="L936" s="172">
        <f t="shared" si="118"/>
        <v>1</v>
      </c>
      <c r="M936" s="152"/>
      <c r="N936" s="153"/>
      <c r="O936" s="153"/>
      <c r="P936" s="153"/>
      <c r="Q936" s="153"/>
      <c r="R936" s="153"/>
      <c r="S936" s="154">
        <f t="shared" si="119"/>
        <v>0</v>
      </c>
      <c r="T936" s="153"/>
      <c r="U936" s="169">
        <f t="shared" si="120"/>
        <v>0</v>
      </c>
      <c r="V936" s="156"/>
      <c r="W936" s="158"/>
      <c r="X936" s="158"/>
      <c r="Y936" s="158"/>
      <c r="Z936" s="153"/>
      <c r="AA936" s="159" t="s">
        <v>278</v>
      </c>
      <c r="AB936" s="160"/>
      <c r="AC936" s="157">
        <f t="shared" si="121"/>
        <v>0</v>
      </c>
    </row>
    <row r="937" spans="10:30" ht="12.5">
      <c r="J937" s="149"/>
      <c r="K937" s="171">
        <f>MAX(K$827:K936)+1</f>
        <v>111</v>
      </c>
      <c r="L937" s="172">
        <f t="shared" si="118"/>
        <v>1</v>
      </c>
      <c r="M937" s="152"/>
      <c r="N937" s="153"/>
      <c r="O937" s="153"/>
      <c r="P937" s="153"/>
      <c r="Q937" s="153"/>
      <c r="R937" s="153"/>
      <c r="S937" s="154">
        <f t="shared" si="119"/>
        <v>0</v>
      </c>
      <c r="T937" s="153"/>
      <c r="U937" s="169">
        <f t="shared" si="120"/>
        <v>0</v>
      </c>
      <c r="V937" s="156"/>
      <c r="W937" s="158"/>
      <c r="X937" s="158"/>
      <c r="Y937" s="158"/>
      <c r="Z937" s="153"/>
      <c r="AA937" s="159" t="s">
        <v>278</v>
      </c>
      <c r="AB937" s="160"/>
      <c r="AC937" s="157">
        <f t="shared" si="121"/>
        <v>0</v>
      </c>
    </row>
    <row r="938" spans="10:30" ht="12.5">
      <c r="J938" s="149"/>
      <c r="K938" s="171">
        <f>MAX(K$827:K937)+1</f>
        <v>112</v>
      </c>
      <c r="L938" s="172">
        <f t="shared" si="118"/>
        <v>1</v>
      </c>
      <c r="M938" s="152"/>
      <c r="N938" s="153"/>
      <c r="O938" s="153"/>
      <c r="P938" s="153"/>
      <c r="Q938" s="153"/>
      <c r="R938" s="153"/>
      <c r="S938" s="154">
        <f t="shared" si="119"/>
        <v>0</v>
      </c>
      <c r="T938" s="153"/>
      <c r="U938" s="169">
        <f t="shared" si="120"/>
        <v>0</v>
      </c>
      <c r="V938" s="156"/>
      <c r="W938" s="158"/>
      <c r="X938" s="158"/>
      <c r="Y938" s="158"/>
      <c r="Z938" s="153"/>
      <c r="AA938" s="159" t="s">
        <v>278</v>
      </c>
      <c r="AB938" s="160"/>
      <c r="AC938" s="157">
        <f t="shared" si="121"/>
        <v>0</v>
      </c>
    </row>
    <row r="939" spans="10:30" ht="12.5">
      <c r="J939" s="149"/>
      <c r="K939" s="171">
        <f>MAX(K$827:K938)+1</f>
        <v>113</v>
      </c>
      <c r="L939" s="172">
        <f t="shared" si="118"/>
        <v>1</v>
      </c>
      <c r="M939" s="152"/>
      <c r="N939" s="153"/>
      <c r="O939" s="153"/>
      <c r="P939" s="153"/>
      <c r="Q939" s="153"/>
      <c r="R939" s="153"/>
      <c r="S939" s="154">
        <f t="shared" si="119"/>
        <v>0</v>
      </c>
      <c r="T939" s="153"/>
      <c r="U939" s="169">
        <f t="shared" si="120"/>
        <v>0</v>
      </c>
      <c r="V939" s="156"/>
      <c r="W939" s="158"/>
      <c r="X939" s="158"/>
      <c r="Y939" s="158"/>
      <c r="Z939" s="153"/>
      <c r="AA939" s="159" t="s">
        <v>278</v>
      </c>
      <c r="AB939" s="160"/>
      <c r="AC939" s="157">
        <f t="shared" si="121"/>
        <v>0</v>
      </c>
    </row>
    <row r="940" spans="10:30" ht="12.5">
      <c r="J940" s="149"/>
      <c r="K940" s="171">
        <f>MAX(K$827:K939)+1</f>
        <v>114</v>
      </c>
      <c r="L940" s="172">
        <f t="shared" si="118"/>
        <v>1</v>
      </c>
      <c r="M940" s="152"/>
      <c r="N940" s="153"/>
      <c r="O940" s="153"/>
      <c r="P940" s="153"/>
      <c r="Q940" s="153"/>
      <c r="R940" s="153"/>
      <c r="S940" s="154">
        <f t="shared" si="119"/>
        <v>0</v>
      </c>
      <c r="T940" s="153"/>
      <c r="U940" s="169">
        <f t="shared" si="120"/>
        <v>0</v>
      </c>
      <c r="V940" s="156"/>
      <c r="W940" s="158"/>
      <c r="X940" s="158"/>
      <c r="Y940" s="158"/>
      <c r="Z940" s="153"/>
      <c r="AA940" s="159" t="s">
        <v>278</v>
      </c>
      <c r="AB940" s="160"/>
      <c r="AC940" s="157">
        <f t="shared" si="121"/>
        <v>0</v>
      </c>
    </row>
    <row r="941" spans="10:30" ht="12.5">
      <c r="J941" s="149"/>
      <c r="K941" s="171">
        <f>MAX(K$827:K940)+1</f>
        <v>115</v>
      </c>
      <c r="L941" s="172">
        <f t="shared" si="118"/>
        <v>1</v>
      </c>
      <c r="M941" s="152"/>
      <c r="N941" s="153"/>
      <c r="O941" s="153"/>
      <c r="P941" s="153"/>
      <c r="Q941" s="153"/>
      <c r="R941" s="153"/>
      <c r="S941" s="154">
        <f t="shared" si="119"/>
        <v>0</v>
      </c>
      <c r="T941" s="153"/>
      <c r="U941" s="169">
        <f t="shared" si="120"/>
        <v>0</v>
      </c>
      <c r="V941" s="156"/>
      <c r="W941" s="158"/>
      <c r="X941" s="158"/>
      <c r="Y941" s="158"/>
      <c r="Z941" s="153"/>
      <c r="AA941" s="159" t="s">
        <v>278</v>
      </c>
      <c r="AB941" s="160"/>
      <c r="AC941" s="157">
        <f t="shared" si="121"/>
        <v>0</v>
      </c>
    </row>
    <row r="942" spans="10:30" ht="12.5">
      <c r="J942" s="149"/>
      <c r="K942" s="171">
        <f>MAX(K$827:K941)+1</f>
        <v>116</v>
      </c>
      <c r="L942" s="172">
        <f t="shared" si="118"/>
        <v>1</v>
      </c>
      <c r="M942" s="152"/>
      <c r="N942" s="153"/>
      <c r="O942" s="153"/>
      <c r="P942" s="153"/>
      <c r="Q942" s="153"/>
      <c r="R942" s="153"/>
      <c r="S942" s="154">
        <f t="shared" si="119"/>
        <v>0</v>
      </c>
      <c r="T942" s="153"/>
      <c r="U942" s="169">
        <f t="shared" si="120"/>
        <v>0</v>
      </c>
      <c r="V942" s="156"/>
      <c r="W942" s="158"/>
      <c r="X942" s="158"/>
      <c r="Y942" s="158"/>
      <c r="Z942" s="153"/>
      <c r="AA942" s="159" t="s">
        <v>278</v>
      </c>
      <c r="AB942" s="160"/>
      <c r="AC942" s="157">
        <f t="shared" si="121"/>
        <v>0</v>
      </c>
    </row>
    <row r="943" spans="10:30" ht="12.5">
      <c r="J943" s="149"/>
      <c r="K943" s="171">
        <f>MAX(K$827:K942)+1</f>
        <v>117</v>
      </c>
      <c r="L943" s="172">
        <f t="shared" si="118"/>
        <v>1</v>
      </c>
      <c r="M943" s="152"/>
      <c r="N943" s="153"/>
      <c r="O943" s="153"/>
      <c r="P943" s="153"/>
      <c r="Q943" s="153"/>
      <c r="R943" s="153"/>
      <c r="S943" s="154">
        <f t="shared" si="119"/>
        <v>0</v>
      </c>
      <c r="T943" s="153"/>
      <c r="U943" s="169">
        <f t="shared" si="120"/>
        <v>0</v>
      </c>
      <c r="V943" s="156"/>
      <c r="W943" s="158"/>
      <c r="X943" s="158"/>
      <c r="Y943" s="158"/>
      <c r="Z943" s="153"/>
      <c r="AA943" s="159" t="s">
        <v>278</v>
      </c>
      <c r="AB943" s="160"/>
      <c r="AC943" s="157">
        <f t="shared" si="121"/>
        <v>0</v>
      </c>
    </row>
    <row r="944" spans="10:30" ht="12.5">
      <c r="J944" s="149"/>
      <c r="K944" s="171">
        <f>MAX(K$827:K943)+1</f>
        <v>118</v>
      </c>
      <c r="L944" s="172">
        <f t="shared" si="118"/>
        <v>1</v>
      </c>
      <c r="M944" s="152"/>
      <c r="N944" s="153"/>
      <c r="O944" s="153"/>
      <c r="P944" s="153"/>
      <c r="Q944" s="153"/>
      <c r="R944" s="153"/>
      <c r="S944" s="154">
        <f t="shared" si="119"/>
        <v>0</v>
      </c>
      <c r="T944" s="153"/>
      <c r="U944" s="169">
        <f t="shared" si="120"/>
        <v>0</v>
      </c>
      <c r="V944" s="156"/>
      <c r="W944" s="158"/>
      <c r="X944" s="158"/>
      <c r="Y944" s="158"/>
      <c r="Z944" s="153"/>
      <c r="AA944" s="159" t="s">
        <v>278</v>
      </c>
      <c r="AB944" s="160"/>
      <c r="AC944" s="157">
        <f t="shared" si="121"/>
        <v>0</v>
      </c>
    </row>
    <row r="945" spans="10:29" ht="12.5">
      <c r="J945" s="149"/>
      <c r="K945" s="171">
        <f>MAX(K$827:K944)+1</f>
        <v>119</v>
      </c>
      <c r="L945" s="172">
        <f t="shared" si="118"/>
        <v>1</v>
      </c>
      <c r="M945" s="152"/>
      <c r="N945" s="153"/>
      <c r="O945" s="153"/>
      <c r="P945" s="153"/>
      <c r="Q945" s="153"/>
      <c r="R945" s="153"/>
      <c r="S945" s="154">
        <f t="shared" si="119"/>
        <v>0</v>
      </c>
      <c r="T945" s="153"/>
      <c r="U945" s="169">
        <f t="shared" si="120"/>
        <v>0</v>
      </c>
      <c r="V945" s="156"/>
      <c r="W945" s="158"/>
      <c r="X945" s="158"/>
      <c r="Y945" s="158"/>
      <c r="Z945" s="153"/>
      <c r="AA945" s="159" t="s">
        <v>278</v>
      </c>
      <c r="AB945" s="160"/>
      <c r="AC945" s="157">
        <f t="shared" si="121"/>
        <v>0</v>
      </c>
    </row>
    <row r="946" spans="10:29" ht="12.5">
      <c r="J946" s="149"/>
      <c r="K946" s="171">
        <f>MAX(K$827:K945)+1</f>
        <v>120</v>
      </c>
      <c r="L946" s="172">
        <f t="shared" si="118"/>
        <v>1</v>
      </c>
      <c r="M946" s="152"/>
      <c r="N946" s="153"/>
      <c r="O946" s="153"/>
      <c r="P946" s="153"/>
      <c r="Q946" s="153"/>
      <c r="R946" s="153"/>
      <c r="S946" s="154">
        <f t="shared" si="119"/>
        <v>0</v>
      </c>
      <c r="T946" s="153"/>
      <c r="U946" s="169">
        <f t="shared" si="120"/>
        <v>0</v>
      </c>
      <c r="V946" s="156"/>
      <c r="W946" s="158"/>
      <c r="X946" s="158"/>
      <c r="Y946" s="158"/>
      <c r="Z946" s="153"/>
      <c r="AA946" s="159" t="s">
        <v>278</v>
      </c>
      <c r="AB946" s="160"/>
      <c r="AC946" s="157">
        <f t="shared" si="121"/>
        <v>0</v>
      </c>
    </row>
    <row r="947" spans="10:29" ht="12.5">
      <c r="J947" s="149"/>
      <c r="K947" s="171">
        <f>MAX(K$827:K946)+1</f>
        <v>121</v>
      </c>
      <c r="L947" s="172">
        <f t="shared" si="118"/>
        <v>1</v>
      </c>
      <c r="M947" s="152"/>
      <c r="N947" s="153"/>
      <c r="O947" s="153"/>
      <c r="P947" s="153"/>
      <c r="Q947" s="153"/>
      <c r="R947" s="153"/>
      <c r="S947" s="154">
        <f t="shared" si="119"/>
        <v>0</v>
      </c>
      <c r="T947" s="153"/>
      <c r="U947" s="169">
        <f t="shared" si="120"/>
        <v>0</v>
      </c>
      <c r="V947" s="156"/>
      <c r="W947" s="158"/>
      <c r="X947" s="158"/>
      <c r="Y947" s="158"/>
      <c r="Z947" s="153"/>
      <c r="AA947" s="159" t="s">
        <v>278</v>
      </c>
      <c r="AB947" s="160"/>
      <c r="AC947" s="157">
        <f t="shared" si="121"/>
        <v>0</v>
      </c>
    </row>
    <row r="948" spans="10:29" ht="12.5">
      <c r="J948" s="149"/>
      <c r="K948" s="171">
        <f>MAX(K$827:K947)+1</f>
        <v>122</v>
      </c>
      <c r="L948" s="172">
        <f t="shared" si="118"/>
        <v>1</v>
      </c>
      <c r="M948" s="152"/>
      <c r="N948" s="153"/>
      <c r="O948" s="153"/>
      <c r="P948" s="153"/>
      <c r="Q948" s="153"/>
      <c r="R948" s="153"/>
      <c r="S948" s="154">
        <f t="shared" si="119"/>
        <v>0</v>
      </c>
      <c r="T948" s="153"/>
      <c r="U948" s="169">
        <f t="shared" si="120"/>
        <v>0</v>
      </c>
      <c r="V948" s="156"/>
      <c r="W948" s="158"/>
      <c r="X948" s="158"/>
      <c r="Y948" s="158"/>
      <c r="Z948" s="153"/>
      <c r="AA948" s="159" t="s">
        <v>278</v>
      </c>
      <c r="AB948" s="160"/>
      <c r="AC948" s="157">
        <f t="shared" si="121"/>
        <v>0</v>
      </c>
    </row>
    <row r="949" spans="10:29" ht="12.5">
      <c r="J949" s="149"/>
      <c r="K949" s="171">
        <f>MAX(K$827:K948)+1</f>
        <v>123</v>
      </c>
      <c r="L949" s="172">
        <f t="shared" si="118"/>
        <v>1</v>
      </c>
      <c r="M949" s="152"/>
      <c r="N949" s="153"/>
      <c r="O949" s="153"/>
      <c r="P949" s="153"/>
      <c r="Q949" s="153"/>
      <c r="R949" s="153"/>
      <c r="S949" s="154">
        <f t="shared" si="119"/>
        <v>0</v>
      </c>
      <c r="T949" s="153"/>
      <c r="U949" s="169">
        <f t="shared" si="120"/>
        <v>0</v>
      </c>
      <c r="V949" s="156"/>
      <c r="W949" s="158"/>
      <c r="X949" s="158"/>
      <c r="Y949" s="158"/>
      <c r="Z949" s="153"/>
      <c r="AA949" s="159" t="s">
        <v>278</v>
      </c>
      <c r="AB949" s="160"/>
      <c r="AC949" s="157">
        <f t="shared" si="121"/>
        <v>0</v>
      </c>
    </row>
    <row r="950" spans="10:29" ht="12.5">
      <c r="J950" s="149"/>
      <c r="K950" s="171">
        <f>MAX(K$827:K949)+1</f>
        <v>124</v>
      </c>
      <c r="L950" s="172">
        <f t="shared" si="118"/>
        <v>1</v>
      </c>
      <c r="M950" s="152"/>
      <c r="N950" s="153"/>
      <c r="O950" s="153"/>
      <c r="P950" s="153"/>
      <c r="Q950" s="153"/>
      <c r="R950" s="153"/>
      <c r="S950" s="154">
        <f t="shared" si="119"/>
        <v>0</v>
      </c>
      <c r="T950" s="153"/>
      <c r="U950" s="169">
        <f t="shared" si="120"/>
        <v>0</v>
      </c>
      <c r="V950" s="156"/>
      <c r="W950" s="158"/>
      <c r="X950" s="158"/>
      <c r="Y950" s="158"/>
      <c r="Z950" s="153"/>
      <c r="AA950" s="159" t="s">
        <v>278</v>
      </c>
      <c r="AB950" s="160"/>
      <c r="AC950" s="157">
        <f t="shared" si="121"/>
        <v>0</v>
      </c>
    </row>
    <row r="951" spans="10:29" ht="12.5">
      <c r="J951" s="149"/>
      <c r="K951" s="171">
        <f>MAX(K$827:K950)+1</f>
        <v>125</v>
      </c>
      <c r="L951" s="172">
        <f t="shared" si="118"/>
        <v>1</v>
      </c>
      <c r="M951" s="152"/>
      <c r="N951" s="153"/>
      <c r="O951" s="153"/>
      <c r="P951" s="153"/>
      <c r="Q951" s="153"/>
      <c r="R951" s="153"/>
      <c r="S951" s="154">
        <f t="shared" si="119"/>
        <v>0</v>
      </c>
      <c r="T951" s="153"/>
      <c r="U951" s="169">
        <f t="shared" si="120"/>
        <v>0</v>
      </c>
      <c r="V951" s="156"/>
      <c r="W951" s="158"/>
      <c r="X951" s="158"/>
      <c r="Y951" s="158"/>
      <c r="Z951" s="153"/>
      <c r="AA951" s="159" t="s">
        <v>278</v>
      </c>
      <c r="AB951" s="160"/>
      <c r="AC951" s="157">
        <f t="shared" si="121"/>
        <v>0</v>
      </c>
    </row>
    <row r="952" spans="10:29" ht="12.5">
      <c r="J952" s="149"/>
      <c r="K952" s="171">
        <f>MAX(K$827:K951)+1</f>
        <v>126</v>
      </c>
      <c r="L952" s="172">
        <f t="shared" si="118"/>
        <v>1</v>
      </c>
      <c r="M952" s="152"/>
      <c r="N952" s="153"/>
      <c r="O952" s="153"/>
      <c r="P952" s="153"/>
      <c r="Q952" s="153"/>
      <c r="R952" s="153"/>
      <c r="S952" s="154">
        <f t="shared" si="119"/>
        <v>0</v>
      </c>
      <c r="T952" s="153"/>
      <c r="U952" s="169">
        <f t="shared" si="120"/>
        <v>0</v>
      </c>
      <c r="V952" s="156"/>
      <c r="W952" s="158"/>
      <c r="X952" s="158"/>
      <c r="Y952" s="158"/>
      <c r="Z952" s="153"/>
      <c r="AA952" s="159" t="s">
        <v>278</v>
      </c>
      <c r="AB952" s="160"/>
      <c r="AC952" s="157">
        <f t="shared" si="121"/>
        <v>0</v>
      </c>
    </row>
    <row r="953" spans="10:29" ht="12.5">
      <c r="J953" s="149"/>
      <c r="K953" s="171">
        <f>MAX(K$827:K952)+1</f>
        <v>127</v>
      </c>
      <c r="L953" s="172">
        <f t="shared" si="118"/>
        <v>1</v>
      </c>
      <c r="M953" s="152"/>
      <c r="N953" s="153"/>
      <c r="O953" s="153"/>
      <c r="P953" s="153"/>
      <c r="Q953" s="153"/>
      <c r="R953" s="153"/>
      <c r="S953" s="154">
        <f t="shared" si="119"/>
        <v>0</v>
      </c>
      <c r="T953" s="153"/>
      <c r="U953" s="169">
        <f t="shared" si="120"/>
        <v>0</v>
      </c>
      <c r="V953" s="156"/>
      <c r="W953" s="158"/>
      <c r="X953" s="158"/>
      <c r="Y953" s="158"/>
      <c r="Z953" s="153"/>
      <c r="AA953" s="159" t="s">
        <v>278</v>
      </c>
      <c r="AB953" s="160"/>
      <c r="AC953" s="157">
        <f t="shared" si="121"/>
        <v>0</v>
      </c>
    </row>
    <row r="954" spans="10:29" ht="12.5">
      <c r="J954" s="149"/>
      <c r="K954" s="171">
        <f>MAX(K$827:K953)+1</f>
        <v>128</v>
      </c>
      <c r="L954" s="172">
        <f t="shared" si="118"/>
        <v>1</v>
      </c>
      <c r="M954" s="152"/>
      <c r="N954" s="153"/>
      <c r="O954" s="153"/>
      <c r="P954" s="153"/>
      <c r="Q954" s="153"/>
      <c r="R954" s="153"/>
      <c r="S954" s="154">
        <f t="shared" si="119"/>
        <v>0</v>
      </c>
      <c r="T954" s="153"/>
      <c r="U954" s="169">
        <f t="shared" si="120"/>
        <v>0</v>
      </c>
      <c r="V954" s="156"/>
      <c r="W954" s="158"/>
      <c r="X954" s="158"/>
      <c r="Y954" s="158"/>
      <c r="Z954" s="153"/>
      <c r="AA954" s="159" t="s">
        <v>278</v>
      </c>
      <c r="AB954" s="160"/>
      <c r="AC954" s="157">
        <f t="shared" si="121"/>
        <v>0</v>
      </c>
    </row>
    <row r="955" spans="10:29" ht="12.5">
      <c r="J955" s="149"/>
      <c r="K955" s="171">
        <f>MAX(K$827:K954)+1</f>
        <v>129</v>
      </c>
      <c r="L955" s="172">
        <f t="shared" si="118"/>
        <v>1</v>
      </c>
      <c r="M955" s="152"/>
      <c r="N955" s="153"/>
      <c r="O955" s="153"/>
      <c r="P955" s="153"/>
      <c r="Q955" s="153"/>
      <c r="R955" s="153"/>
      <c r="S955" s="154">
        <f t="shared" si="119"/>
        <v>0</v>
      </c>
      <c r="T955" s="153"/>
      <c r="U955" s="169">
        <f t="shared" si="120"/>
        <v>0</v>
      </c>
      <c r="V955" s="156"/>
      <c r="W955" s="158"/>
      <c r="X955" s="158"/>
      <c r="Y955" s="158"/>
      <c r="Z955" s="153"/>
      <c r="AA955" s="159" t="s">
        <v>278</v>
      </c>
      <c r="AB955" s="160"/>
      <c r="AC955" s="157">
        <f t="shared" si="121"/>
        <v>0</v>
      </c>
    </row>
    <row r="956" spans="10:29" ht="12.5">
      <c r="J956" s="149"/>
      <c r="K956" s="171">
        <f>MAX(K$827:K955)+1</f>
        <v>130</v>
      </c>
      <c r="L956" s="172">
        <f t="shared" ref="L956:L1019" si="122">IF(J955="",L955,L955+1)</f>
        <v>1</v>
      </c>
      <c r="M956" s="152"/>
      <c r="N956" s="153"/>
      <c r="O956" s="153"/>
      <c r="P956" s="153"/>
      <c r="Q956" s="153"/>
      <c r="R956" s="153"/>
      <c r="S956" s="154">
        <f t="shared" ref="S956:S1019" si="123">SUM(N956:R956)</f>
        <v>0</v>
      </c>
      <c r="T956" s="153"/>
      <c r="U956" s="169">
        <f t="shared" si="120"/>
        <v>0</v>
      </c>
      <c r="V956" s="156"/>
      <c r="W956" s="158"/>
      <c r="X956" s="158"/>
      <c r="Y956" s="158"/>
      <c r="Z956" s="153"/>
      <c r="AA956" s="159" t="s">
        <v>278</v>
      </c>
      <c r="AB956" s="160"/>
      <c r="AC956" s="157">
        <f t="shared" si="121"/>
        <v>0</v>
      </c>
    </row>
    <row r="957" spans="10:29" ht="12.5">
      <c r="J957" s="149"/>
      <c r="K957" s="171">
        <f>MAX(K$827:K956)+1</f>
        <v>131</v>
      </c>
      <c r="L957" s="172">
        <f t="shared" si="122"/>
        <v>1</v>
      </c>
      <c r="M957" s="152"/>
      <c r="N957" s="153"/>
      <c r="O957" s="153"/>
      <c r="P957" s="153"/>
      <c r="Q957" s="153"/>
      <c r="R957" s="153"/>
      <c r="S957" s="154">
        <f t="shared" si="123"/>
        <v>0</v>
      </c>
      <c r="T957" s="153"/>
      <c r="U957" s="169">
        <f t="shared" si="120"/>
        <v>0</v>
      </c>
      <c r="V957" s="156"/>
      <c r="W957" s="158"/>
      <c r="X957" s="158"/>
      <c r="Y957" s="158"/>
      <c r="Z957" s="153"/>
      <c r="AA957" s="159" t="s">
        <v>278</v>
      </c>
      <c r="AB957" s="160"/>
      <c r="AC957" s="157">
        <f t="shared" si="121"/>
        <v>0</v>
      </c>
    </row>
    <row r="958" spans="10:29" ht="12.5">
      <c r="J958" s="149"/>
      <c r="K958" s="171">
        <f>MAX(K$827:K957)+1</f>
        <v>132</v>
      </c>
      <c r="L958" s="172">
        <f t="shared" si="122"/>
        <v>1</v>
      </c>
      <c r="M958" s="152"/>
      <c r="N958" s="153"/>
      <c r="O958" s="153"/>
      <c r="P958" s="153"/>
      <c r="Q958" s="153"/>
      <c r="R958" s="153"/>
      <c r="S958" s="154">
        <f t="shared" si="123"/>
        <v>0</v>
      </c>
      <c r="T958" s="153"/>
      <c r="U958" s="169">
        <f t="shared" si="120"/>
        <v>0</v>
      </c>
      <c r="V958" s="156"/>
      <c r="W958" s="158"/>
      <c r="X958" s="158"/>
      <c r="Y958" s="158"/>
      <c r="Z958" s="153"/>
      <c r="AA958" s="159" t="s">
        <v>278</v>
      </c>
      <c r="AB958" s="160"/>
      <c r="AC958" s="157">
        <f t="shared" si="121"/>
        <v>0</v>
      </c>
    </row>
    <row r="959" spans="10:29" ht="12.5">
      <c r="J959" s="149"/>
      <c r="K959" s="171">
        <f>MAX(K$827:K958)+1</f>
        <v>133</v>
      </c>
      <c r="L959" s="172">
        <f t="shared" si="122"/>
        <v>1</v>
      </c>
      <c r="M959" s="152"/>
      <c r="N959" s="153"/>
      <c r="O959" s="153"/>
      <c r="P959" s="153"/>
      <c r="Q959" s="153"/>
      <c r="R959" s="153"/>
      <c r="S959" s="154">
        <f t="shared" si="123"/>
        <v>0</v>
      </c>
      <c r="T959" s="153"/>
      <c r="U959" s="169">
        <f t="shared" si="120"/>
        <v>0</v>
      </c>
      <c r="V959" s="156"/>
      <c r="W959" s="158"/>
      <c r="X959" s="158"/>
      <c r="Y959" s="158"/>
      <c r="Z959" s="153"/>
      <c r="AA959" s="159" t="s">
        <v>278</v>
      </c>
      <c r="AB959" s="160"/>
      <c r="AC959" s="157">
        <f t="shared" si="121"/>
        <v>0</v>
      </c>
    </row>
    <row r="960" spans="10:29" ht="12.5">
      <c r="J960" s="149"/>
      <c r="K960" s="171">
        <f>MAX(K$827:K959)+1</f>
        <v>134</v>
      </c>
      <c r="L960" s="172">
        <f t="shared" si="122"/>
        <v>1</v>
      </c>
      <c r="M960" s="152"/>
      <c r="N960" s="153"/>
      <c r="O960" s="153"/>
      <c r="P960" s="153"/>
      <c r="Q960" s="153"/>
      <c r="R960" s="153"/>
      <c r="S960" s="154">
        <f t="shared" si="123"/>
        <v>0</v>
      </c>
      <c r="T960" s="153"/>
      <c r="U960" s="169">
        <f t="shared" si="120"/>
        <v>0</v>
      </c>
      <c r="V960" s="156"/>
      <c r="W960" s="158"/>
      <c r="X960" s="158"/>
      <c r="Y960" s="158"/>
      <c r="Z960" s="153"/>
      <c r="AA960" s="159" t="s">
        <v>278</v>
      </c>
      <c r="AB960" s="160"/>
      <c r="AC960" s="157">
        <f t="shared" si="121"/>
        <v>0</v>
      </c>
    </row>
    <row r="961" spans="10:29" ht="12.5">
      <c r="J961" s="149"/>
      <c r="K961" s="171">
        <f>MAX(K$827:K960)+1</f>
        <v>135</v>
      </c>
      <c r="L961" s="172">
        <f t="shared" si="122"/>
        <v>1</v>
      </c>
      <c r="M961" s="152"/>
      <c r="N961" s="153"/>
      <c r="O961" s="153"/>
      <c r="P961" s="153"/>
      <c r="Q961" s="153"/>
      <c r="R961" s="153"/>
      <c r="S961" s="154">
        <f t="shared" si="123"/>
        <v>0</v>
      </c>
      <c r="T961" s="153"/>
      <c r="U961" s="169">
        <f t="shared" si="120"/>
        <v>0</v>
      </c>
      <c r="V961" s="156"/>
      <c r="W961" s="158"/>
      <c r="X961" s="158"/>
      <c r="Y961" s="158"/>
      <c r="Z961" s="153"/>
      <c r="AA961" s="159" t="s">
        <v>278</v>
      </c>
      <c r="AB961" s="160"/>
      <c r="AC961" s="157">
        <f t="shared" si="121"/>
        <v>0</v>
      </c>
    </row>
    <row r="962" spans="10:29" ht="12.5">
      <c r="J962" s="149"/>
      <c r="K962" s="171">
        <f>MAX(K$827:K961)+1</f>
        <v>136</v>
      </c>
      <c r="L962" s="172">
        <f t="shared" si="122"/>
        <v>1</v>
      </c>
      <c r="M962" s="152"/>
      <c r="N962" s="153"/>
      <c r="O962" s="153"/>
      <c r="P962" s="153"/>
      <c r="Q962" s="153"/>
      <c r="R962" s="153"/>
      <c r="S962" s="154">
        <f t="shared" si="123"/>
        <v>0</v>
      </c>
      <c r="T962" s="153"/>
      <c r="U962" s="169">
        <f t="shared" si="120"/>
        <v>0</v>
      </c>
      <c r="V962" s="156"/>
      <c r="W962" s="158"/>
      <c r="X962" s="158"/>
      <c r="Y962" s="158"/>
      <c r="Z962" s="153"/>
      <c r="AA962" s="159" t="s">
        <v>278</v>
      </c>
      <c r="AB962" s="160"/>
      <c r="AC962" s="157">
        <f t="shared" si="121"/>
        <v>0</v>
      </c>
    </row>
    <row r="963" spans="10:29" ht="12.5">
      <c r="J963" s="149"/>
      <c r="K963" s="171">
        <f>MAX(K$827:K962)+1</f>
        <v>137</v>
      </c>
      <c r="L963" s="172">
        <f t="shared" si="122"/>
        <v>1</v>
      </c>
      <c r="M963" s="152"/>
      <c r="N963" s="153"/>
      <c r="O963" s="153"/>
      <c r="P963" s="153"/>
      <c r="Q963" s="153"/>
      <c r="R963" s="153"/>
      <c r="S963" s="154">
        <f t="shared" si="123"/>
        <v>0</v>
      </c>
      <c r="T963" s="153"/>
      <c r="U963" s="169">
        <f t="shared" si="120"/>
        <v>0</v>
      </c>
      <c r="V963" s="156"/>
      <c r="W963" s="158"/>
      <c r="X963" s="158"/>
      <c r="Y963" s="158"/>
      <c r="Z963" s="153"/>
      <c r="AA963" s="159" t="s">
        <v>278</v>
      </c>
      <c r="AB963" s="160"/>
      <c r="AC963" s="157">
        <f t="shared" si="121"/>
        <v>0</v>
      </c>
    </row>
    <row r="964" spans="10:29" ht="12.5">
      <c r="J964" s="149"/>
      <c r="K964" s="171">
        <f>MAX(K$827:K963)+1</f>
        <v>138</v>
      </c>
      <c r="L964" s="172">
        <f t="shared" si="122"/>
        <v>1</v>
      </c>
      <c r="M964" s="152"/>
      <c r="N964" s="153"/>
      <c r="O964" s="153"/>
      <c r="P964" s="153"/>
      <c r="Q964" s="153"/>
      <c r="R964" s="153"/>
      <c r="S964" s="154">
        <f t="shared" si="123"/>
        <v>0</v>
      </c>
      <c r="T964" s="153"/>
      <c r="U964" s="169">
        <f t="shared" si="120"/>
        <v>0</v>
      </c>
      <c r="V964" s="156"/>
      <c r="W964" s="158"/>
      <c r="X964" s="158"/>
      <c r="Y964" s="158"/>
      <c r="Z964" s="153"/>
      <c r="AA964" s="159" t="s">
        <v>278</v>
      </c>
      <c r="AB964" s="160"/>
      <c r="AC964" s="157">
        <f t="shared" si="121"/>
        <v>0</v>
      </c>
    </row>
    <row r="965" spans="10:29" ht="12.5">
      <c r="J965" s="149"/>
      <c r="K965" s="171">
        <f>MAX(K$827:K964)+1</f>
        <v>139</v>
      </c>
      <c r="L965" s="172">
        <f t="shared" si="122"/>
        <v>1</v>
      </c>
      <c r="M965" s="152"/>
      <c r="N965" s="153"/>
      <c r="O965" s="153"/>
      <c r="P965" s="153"/>
      <c r="Q965" s="153"/>
      <c r="R965" s="153"/>
      <c r="S965" s="154">
        <f t="shared" si="123"/>
        <v>0</v>
      </c>
      <c r="T965" s="153"/>
      <c r="U965" s="169">
        <f t="shared" si="120"/>
        <v>0</v>
      </c>
      <c r="V965" s="156"/>
      <c r="W965" s="158"/>
      <c r="X965" s="158"/>
      <c r="Y965" s="158"/>
      <c r="Z965" s="153"/>
      <c r="AA965" s="159" t="s">
        <v>278</v>
      </c>
      <c r="AB965" s="160"/>
      <c r="AC965" s="157">
        <f t="shared" si="121"/>
        <v>0</v>
      </c>
    </row>
    <row r="966" spans="10:29" ht="12.5">
      <c r="J966" s="149"/>
      <c r="K966" s="171">
        <f>MAX(K$827:K965)+1</f>
        <v>140</v>
      </c>
      <c r="L966" s="172">
        <f t="shared" si="122"/>
        <v>1</v>
      </c>
      <c r="M966" s="152"/>
      <c r="N966" s="153"/>
      <c r="O966" s="153"/>
      <c r="P966" s="153"/>
      <c r="Q966" s="153"/>
      <c r="R966" s="153"/>
      <c r="S966" s="154">
        <f t="shared" si="123"/>
        <v>0</v>
      </c>
      <c r="T966" s="153"/>
      <c r="U966" s="169">
        <f t="shared" si="120"/>
        <v>0</v>
      </c>
      <c r="V966" s="156"/>
      <c r="W966" s="158"/>
      <c r="X966" s="158"/>
      <c r="Y966" s="158"/>
      <c r="Z966" s="153"/>
      <c r="AA966" s="159" t="s">
        <v>278</v>
      </c>
      <c r="AB966" s="160"/>
      <c r="AC966" s="157">
        <f t="shared" si="121"/>
        <v>0</v>
      </c>
    </row>
    <row r="967" spans="10:29" ht="12.5">
      <c r="J967" s="149"/>
      <c r="K967" s="171">
        <f>MAX(K$827:K966)+1</f>
        <v>141</v>
      </c>
      <c r="L967" s="172">
        <f t="shared" si="122"/>
        <v>1</v>
      </c>
      <c r="M967" s="152"/>
      <c r="N967" s="153"/>
      <c r="O967" s="153"/>
      <c r="P967" s="153"/>
      <c r="Q967" s="153"/>
      <c r="R967" s="153"/>
      <c r="S967" s="154">
        <f t="shared" si="123"/>
        <v>0</v>
      </c>
      <c r="T967" s="153"/>
      <c r="U967" s="169">
        <f t="shared" si="120"/>
        <v>0</v>
      </c>
      <c r="V967" s="156"/>
      <c r="W967" s="158"/>
      <c r="X967" s="158"/>
      <c r="Y967" s="158"/>
      <c r="Z967" s="153"/>
      <c r="AA967" s="159" t="s">
        <v>278</v>
      </c>
      <c r="AB967" s="160"/>
      <c r="AC967" s="157">
        <f t="shared" si="121"/>
        <v>0</v>
      </c>
    </row>
    <row r="968" spans="10:29" ht="12.5">
      <c r="J968" s="149"/>
      <c r="K968" s="171">
        <f>MAX(K$827:K967)+1</f>
        <v>142</v>
      </c>
      <c r="L968" s="172">
        <f t="shared" si="122"/>
        <v>1</v>
      </c>
      <c r="M968" s="152"/>
      <c r="N968" s="153"/>
      <c r="O968" s="153"/>
      <c r="P968" s="153"/>
      <c r="Q968" s="153"/>
      <c r="R968" s="153"/>
      <c r="S968" s="154">
        <f t="shared" si="123"/>
        <v>0</v>
      </c>
      <c r="T968" s="153"/>
      <c r="U968" s="169">
        <f t="shared" si="120"/>
        <v>0</v>
      </c>
      <c r="V968" s="156"/>
      <c r="W968" s="158"/>
      <c r="X968" s="158"/>
      <c r="Y968" s="158"/>
      <c r="Z968" s="153"/>
      <c r="AA968" s="159" t="s">
        <v>278</v>
      </c>
      <c r="AB968" s="160"/>
      <c r="AC968" s="157">
        <f t="shared" si="121"/>
        <v>0</v>
      </c>
    </row>
    <row r="969" spans="10:29" ht="12.5">
      <c r="J969" s="149"/>
      <c r="K969" s="171">
        <f>MAX(K$827:K968)+1</f>
        <v>143</v>
      </c>
      <c r="L969" s="172">
        <f t="shared" si="122"/>
        <v>1</v>
      </c>
      <c r="M969" s="152"/>
      <c r="N969" s="153"/>
      <c r="O969" s="153"/>
      <c r="P969" s="153"/>
      <c r="Q969" s="153"/>
      <c r="R969" s="153"/>
      <c r="S969" s="154">
        <f t="shared" si="123"/>
        <v>0</v>
      </c>
      <c r="T969" s="153"/>
      <c r="U969" s="169">
        <f t="shared" si="120"/>
        <v>0</v>
      </c>
      <c r="V969" s="156"/>
      <c r="W969" s="158"/>
      <c r="X969" s="158"/>
      <c r="Y969" s="158"/>
      <c r="Z969" s="153"/>
      <c r="AA969" s="159" t="s">
        <v>278</v>
      </c>
      <c r="AB969" s="160"/>
      <c r="AC969" s="157">
        <f t="shared" si="121"/>
        <v>0</v>
      </c>
    </row>
    <row r="970" spans="10:29" ht="12.5">
      <c r="J970" s="149"/>
      <c r="K970" s="171">
        <f>MAX(K$827:K969)+1</f>
        <v>144</v>
      </c>
      <c r="L970" s="172">
        <f t="shared" si="122"/>
        <v>1</v>
      </c>
      <c r="M970" s="152"/>
      <c r="N970" s="153"/>
      <c r="O970" s="153"/>
      <c r="P970" s="153"/>
      <c r="Q970" s="153"/>
      <c r="R970" s="153"/>
      <c r="S970" s="154">
        <f t="shared" si="123"/>
        <v>0</v>
      </c>
      <c r="T970" s="153"/>
      <c r="U970" s="169">
        <f t="shared" si="120"/>
        <v>0</v>
      </c>
      <c r="V970" s="156"/>
      <c r="W970" s="158"/>
      <c r="X970" s="158"/>
      <c r="Y970" s="158"/>
      <c r="Z970" s="153"/>
      <c r="AA970" s="159" t="s">
        <v>278</v>
      </c>
      <c r="AB970" s="160"/>
      <c r="AC970" s="157">
        <f t="shared" si="121"/>
        <v>0</v>
      </c>
    </row>
    <row r="971" spans="10:29" ht="12.5">
      <c r="J971" s="149"/>
      <c r="K971" s="171">
        <f>MAX(K$827:K970)+1</f>
        <v>145</v>
      </c>
      <c r="L971" s="172">
        <f t="shared" si="122"/>
        <v>1</v>
      </c>
      <c r="M971" s="152"/>
      <c r="N971" s="153"/>
      <c r="O971" s="153"/>
      <c r="P971" s="153"/>
      <c r="Q971" s="153"/>
      <c r="R971" s="153"/>
      <c r="S971" s="154">
        <f t="shared" si="123"/>
        <v>0</v>
      </c>
      <c r="T971" s="153"/>
      <c r="U971" s="169">
        <f t="shared" si="120"/>
        <v>0</v>
      </c>
      <c r="V971" s="156"/>
      <c r="W971" s="158"/>
      <c r="X971" s="158"/>
      <c r="Y971" s="158"/>
      <c r="Z971" s="153"/>
      <c r="AA971" s="159" t="s">
        <v>278</v>
      </c>
      <c r="AB971" s="160"/>
      <c r="AC971" s="157">
        <f t="shared" si="121"/>
        <v>0</v>
      </c>
    </row>
    <row r="972" spans="10:29" ht="12.5">
      <c r="J972" s="149"/>
      <c r="K972" s="171">
        <f>MAX(K$827:K971)+1</f>
        <v>146</v>
      </c>
      <c r="L972" s="172">
        <f t="shared" si="122"/>
        <v>1</v>
      </c>
      <c r="M972" s="152"/>
      <c r="N972" s="153"/>
      <c r="O972" s="153"/>
      <c r="P972" s="153"/>
      <c r="Q972" s="153"/>
      <c r="R972" s="153"/>
      <c r="S972" s="154">
        <f t="shared" si="123"/>
        <v>0</v>
      </c>
      <c r="T972" s="153"/>
      <c r="U972" s="169">
        <f t="shared" si="120"/>
        <v>0</v>
      </c>
      <c r="V972" s="156"/>
      <c r="W972" s="158"/>
      <c r="X972" s="158"/>
      <c r="Y972" s="158"/>
      <c r="Z972" s="153"/>
      <c r="AA972" s="159" t="s">
        <v>278</v>
      </c>
      <c r="AB972" s="160"/>
      <c r="AC972" s="157">
        <f t="shared" si="121"/>
        <v>0</v>
      </c>
    </row>
    <row r="973" spans="10:29" ht="12.5">
      <c r="J973" s="149"/>
      <c r="K973" s="171">
        <f>MAX(K$827:K972)+1</f>
        <v>147</v>
      </c>
      <c r="L973" s="172">
        <f t="shared" si="122"/>
        <v>1</v>
      </c>
      <c r="M973" s="152"/>
      <c r="N973" s="153"/>
      <c r="O973" s="153"/>
      <c r="P973" s="153"/>
      <c r="Q973" s="153"/>
      <c r="R973" s="153"/>
      <c r="S973" s="154">
        <f t="shared" si="123"/>
        <v>0</v>
      </c>
      <c r="T973" s="153"/>
      <c r="U973" s="169">
        <f t="shared" si="120"/>
        <v>0</v>
      </c>
      <c r="V973" s="156"/>
      <c r="W973" s="158"/>
      <c r="X973" s="158"/>
      <c r="Y973" s="158"/>
      <c r="Z973" s="153"/>
      <c r="AA973" s="159" t="s">
        <v>278</v>
      </c>
      <c r="AB973" s="160"/>
      <c r="AC973" s="157">
        <f t="shared" si="121"/>
        <v>0</v>
      </c>
    </row>
    <row r="974" spans="10:29" ht="12.5">
      <c r="J974" s="149"/>
      <c r="K974" s="171">
        <f>MAX(K$827:K973)+1</f>
        <v>148</v>
      </c>
      <c r="L974" s="172">
        <f t="shared" si="122"/>
        <v>1</v>
      </c>
      <c r="M974" s="152"/>
      <c r="N974" s="153"/>
      <c r="O974" s="153"/>
      <c r="P974" s="153"/>
      <c r="Q974" s="153"/>
      <c r="R974" s="153"/>
      <c r="S974" s="154">
        <f t="shared" si="123"/>
        <v>0</v>
      </c>
      <c r="T974" s="153"/>
      <c r="U974" s="169">
        <f t="shared" si="120"/>
        <v>0</v>
      </c>
      <c r="V974" s="156"/>
      <c r="W974" s="158"/>
      <c r="X974" s="158"/>
      <c r="Y974" s="158"/>
      <c r="Z974" s="153"/>
      <c r="AA974" s="159" t="s">
        <v>278</v>
      </c>
      <c r="AB974" s="160"/>
      <c r="AC974" s="157">
        <f t="shared" si="121"/>
        <v>0</v>
      </c>
    </row>
    <row r="975" spans="10:29" ht="12.5">
      <c r="J975" s="149"/>
      <c r="K975" s="171">
        <f>MAX(K$827:K974)+1</f>
        <v>149</v>
      </c>
      <c r="L975" s="172">
        <f t="shared" si="122"/>
        <v>1</v>
      </c>
      <c r="M975" s="152"/>
      <c r="N975" s="153"/>
      <c r="O975" s="153"/>
      <c r="P975" s="153"/>
      <c r="Q975" s="153"/>
      <c r="R975" s="153"/>
      <c r="S975" s="154">
        <f t="shared" si="123"/>
        <v>0</v>
      </c>
      <c r="T975" s="153"/>
      <c r="U975" s="169">
        <f t="shared" si="120"/>
        <v>0</v>
      </c>
      <c r="V975" s="156"/>
      <c r="W975" s="158"/>
      <c r="X975" s="158"/>
      <c r="Y975" s="158"/>
      <c r="Z975" s="153"/>
      <c r="AA975" s="159" t="s">
        <v>278</v>
      </c>
      <c r="AB975" s="160"/>
      <c r="AC975" s="157">
        <f t="shared" si="121"/>
        <v>0</v>
      </c>
    </row>
    <row r="976" spans="10:29" ht="12.5">
      <c r="J976" s="149"/>
      <c r="K976" s="171">
        <f>MAX(K$827:K975)+1</f>
        <v>150</v>
      </c>
      <c r="L976" s="172">
        <f t="shared" si="122"/>
        <v>1</v>
      </c>
      <c r="M976" s="152"/>
      <c r="N976" s="153"/>
      <c r="O976" s="153"/>
      <c r="P976" s="153"/>
      <c r="Q976" s="153"/>
      <c r="R976" s="153"/>
      <c r="S976" s="154">
        <f t="shared" si="123"/>
        <v>0</v>
      </c>
      <c r="T976" s="153"/>
      <c r="U976" s="169">
        <f t="shared" si="120"/>
        <v>0</v>
      </c>
      <c r="V976" s="156"/>
      <c r="W976" s="158"/>
      <c r="X976" s="158"/>
      <c r="Y976" s="158"/>
      <c r="Z976" s="153"/>
      <c r="AA976" s="159" t="s">
        <v>278</v>
      </c>
      <c r="AB976" s="160"/>
      <c r="AC976" s="157">
        <f t="shared" si="121"/>
        <v>0</v>
      </c>
    </row>
    <row r="977" spans="10:29" ht="12.5">
      <c r="J977" s="149"/>
      <c r="K977" s="171">
        <f>MAX(K$827:K976)+1</f>
        <v>151</v>
      </c>
      <c r="L977" s="172">
        <f t="shared" si="122"/>
        <v>1</v>
      </c>
      <c r="M977" s="152"/>
      <c r="N977" s="153"/>
      <c r="O977" s="153"/>
      <c r="P977" s="153"/>
      <c r="Q977" s="153"/>
      <c r="R977" s="153"/>
      <c r="S977" s="154">
        <f t="shared" si="123"/>
        <v>0</v>
      </c>
      <c r="T977" s="153"/>
      <c r="U977" s="169">
        <f t="shared" si="120"/>
        <v>0</v>
      </c>
      <c r="V977" s="156"/>
      <c r="W977" s="158"/>
      <c r="X977" s="158"/>
      <c r="Y977" s="158"/>
      <c r="Z977" s="153"/>
      <c r="AA977" s="159" t="s">
        <v>278</v>
      </c>
      <c r="AB977" s="160"/>
      <c r="AC977" s="157">
        <f t="shared" si="121"/>
        <v>0</v>
      </c>
    </row>
    <row r="978" spans="10:29" ht="12.5">
      <c r="J978" s="149"/>
      <c r="K978" s="171">
        <f>MAX(K$827:K977)+1</f>
        <v>152</v>
      </c>
      <c r="L978" s="172">
        <f t="shared" si="122"/>
        <v>1</v>
      </c>
      <c r="M978" s="152"/>
      <c r="N978" s="153"/>
      <c r="O978" s="153"/>
      <c r="P978" s="153"/>
      <c r="Q978" s="153"/>
      <c r="R978" s="153"/>
      <c r="S978" s="154">
        <f t="shared" si="123"/>
        <v>0</v>
      </c>
      <c r="T978" s="153"/>
      <c r="U978" s="169">
        <f t="shared" si="120"/>
        <v>0</v>
      </c>
      <c r="V978" s="156"/>
      <c r="W978" s="158"/>
      <c r="X978" s="158"/>
      <c r="Y978" s="158"/>
      <c r="Z978" s="153"/>
      <c r="AA978" s="159" t="s">
        <v>278</v>
      </c>
      <c r="AB978" s="160"/>
      <c r="AC978" s="157">
        <f t="shared" si="121"/>
        <v>0</v>
      </c>
    </row>
    <row r="979" spans="10:29" ht="12.5">
      <c r="J979" s="149"/>
      <c r="K979" s="171">
        <f>MAX(K$827:K978)+1</f>
        <v>153</v>
      </c>
      <c r="L979" s="172">
        <f t="shared" si="122"/>
        <v>1</v>
      </c>
      <c r="M979" s="152"/>
      <c r="N979" s="153"/>
      <c r="O979" s="153"/>
      <c r="P979" s="153"/>
      <c r="Q979" s="153"/>
      <c r="R979" s="153"/>
      <c r="S979" s="154">
        <f t="shared" si="123"/>
        <v>0</v>
      </c>
      <c r="T979" s="153"/>
      <c r="U979" s="169">
        <f t="shared" si="120"/>
        <v>0</v>
      </c>
      <c r="V979" s="156"/>
      <c r="W979" s="158"/>
      <c r="X979" s="158"/>
      <c r="Y979" s="158"/>
      <c r="Z979" s="153"/>
      <c r="AA979" s="159" t="s">
        <v>278</v>
      </c>
      <c r="AB979" s="160"/>
      <c r="AC979" s="157">
        <f t="shared" si="121"/>
        <v>0</v>
      </c>
    </row>
    <row r="980" spans="10:29" ht="12.5">
      <c r="J980" s="149"/>
      <c r="K980" s="171">
        <f>MAX(K$827:K979)+1</f>
        <v>154</v>
      </c>
      <c r="L980" s="172">
        <f t="shared" si="122"/>
        <v>1</v>
      </c>
      <c r="M980" s="152"/>
      <c r="N980" s="153"/>
      <c r="O980" s="153"/>
      <c r="P980" s="153"/>
      <c r="Q980" s="153"/>
      <c r="R980" s="153"/>
      <c r="S980" s="154">
        <f t="shared" si="123"/>
        <v>0</v>
      </c>
      <c r="T980" s="153"/>
      <c r="U980" s="169">
        <f t="shared" si="120"/>
        <v>0</v>
      </c>
      <c r="V980" s="156"/>
      <c r="W980" s="158"/>
      <c r="X980" s="158"/>
      <c r="Y980" s="158"/>
      <c r="Z980" s="153"/>
      <c r="AA980" s="159" t="s">
        <v>278</v>
      </c>
      <c r="AB980" s="160"/>
      <c r="AC980" s="157">
        <f t="shared" si="121"/>
        <v>0</v>
      </c>
    </row>
    <row r="981" spans="10:29" ht="12.5">
      <c r="J981" s="149"/>
      <c r="K981" s="171">
        <f>MAX(K$827:K980)+1</f>
        <v>155</v>
      </c>
      <c r="L981" s="172">
        <f t="shared" si="122"/>
        <v>1</v>
      </c>
      <c r="M981" s="152"/>
      <c r="N981" s="153"/>
      <c r="O981" s="153"/>
      <c r="P981" s="153"/>
      <c r="Q981" s="153"/>
      <c r="R981" s="153"/>
      <c r="S981" s="154">
        <f t="shared" si="123"/>
        <v>0</v>
      </c>
      <c r="T981" s="153"/>
      <c r="U981" s="169">
        <f t="shared" ref="U981:U1044" si="124">T981+S981</f>
        <v>0</v>
      </c>
      <c r="V981" s="156"/>
      <c r="W981" s="158"/>
      <c r="X981" s="158"/>
      <c r="Y981" s="158"/>
      <c r="Z981" s="153"/>
      <c r="AA981" s="159" t="s">
        <v>278</v>
      </c>
      <c r="AB981" s="160"/>
      <c r="AC981" s="157">
        <f t="shared" si="121"/>
        <v>0</v>
      </c>
    </row>
    <row r="982" spans="10:29" ht="12.5">
      <c r="J982" s="149"/>
      <c r="K982" s="171">
        <f>MAX(K$827:K981)+1</f>
        <v>156</v>
      </c>
      <c r="L982" s="172">
        <f t="shared" si="122"/>
        <v>1</v>
      </c>
      <c r="M982" s="152"/>
      <c r="N982" s="153"/>
      <c r="O982" s="153"/>
      <c r="P982" s="153"/>
      <c r="Q982" s="153"/>
      <c r="R982" s="153"/>
      <c r="S982" s="154">
        <f t="shared" si="123"/>
        <v>0</v>
      </c>
      <c r="T982" s="153"/>
      <c r="U982" s="169">
        <f t="shared" si="124"/>
        <v>0</v>
      </c>
      <c r="V982" s="156"/>
      <c r="W982" s="158"/>
      <c r="X982" s="158"/>
      <c r="Y982" s="158"/>
      <c r="Z982" s="153"/>
      <c r="AA982" s="159" t="s">
        <v>278</v>
      </c>
      <c r="AB982" s="160"/>
      <c r="AC982" s="157">
        <f t="shared" si="121"/>
        <v>0</v>
      </c>
    </row>
    <row r="983" spans="10:29" ht="12.5">
      <c r="J983" s="149"/>
      <c r="K983" s="171">
        <f>MAX(K$827:K982)+1</f>
        <v>157</v>
      </c>
      <c r="L983" s="172">
        <f t="shared" si="122"/>
        <v>1</v>
      </c>
      <c r="M983" s="152"/>
      <c r="N983" s="153"/>
      <c r="O983" s="153"/>
      <c r="P983" s="153"/>
      <c r="Q983" s="153"/>
      <c r="R983" s="153"/>
      <c r="S983" s="154">
        <f t="shared" si="123"/>
        <v>0</v>
      </c>
      <c r="T983" s="153"/>
      <c r="U983" s="169">
        <f t="shared" si="124"/>
        <v>0</v>
      </c>
      <c r="V983" s="156"/>
      <c r="W983" s="158"/>
      <c r="X983" s="158"/>
      <c r="Y983" s="158"/>
      <c r="Z983" s="153"/>
      <c r="AA983" s="159" t="s">
        <v>278</v>
      </c>
      <c r="AB983" s="160"/>
      <c r="AC983" s="157">
        <f t="shared" si="121"/>
        <v>0</v>
      </c>
    </row>
    <row r="984" spans="10:29" ht="12.5">
      <c r="J984" s="149"/>
      <c r="K984" s="171">
        <f>MAX(K$827:K983)+1</f>
        <v>158</v>
      </c>
      <c r="L984" s="172">
        <f t="shared" si="122"/>
        <v>1</v>
      </c>
      <c r="M984" s="152"/>
      <c r="N984" s="153"/>
      <c r="O984" s="153"/>
      <c r="P984" s="153"/>
      <c r="Q984" s="153"/>
      <c r="R984" s="153"/>
      <c r="S984" s="154">
        <f t="shared" si="123"/>
        <v>0</v>
      </c>
      <c r="T984" s="153"/>
      <c r="U984" s="169">
        <f t="shared" si="124"/>
        <v>0</v>
      </c>
      <c r="V984" s="156"/>
      <c r="W984" s="158"/>
      <c r="X984" s="158"/>
      <c r="Y984" s="158"/>
      <c r="Z984" s="153"/>
      <c r="AA984" s="159" t="s">
        <v>278</v>
      </c>
      <c r="AB984" s="160"/>
      <c r="AC984" s="157">
        <f t="shared" si="121"/>
        <v>0</v>
      </c>
    </row>
    <row r="985" spans="10:29" ht="12.5">
      <c r="J985" s="149"/>
      <c r="K985" s="171">
        <f>MAX(K$827:K984)+1</f>
        <v>159</v>
      </c>
      <c r="L985" s="172">
        <f t="shared" si="122"/>
        <v>1</v>
      </c>
      <c r="M985" s="152"/>
      <c r="N985" s="153"/>
      <c r="O985" s="153"/>
      <c r="P985" s="153"/>
      <c r="Q985" s="153"/>
      <c r="R985" s="153"/>
      <c r="S985" s="154">
        <f t="shared" si="123"/>
        <v>0</v>
      </c>
      <c r="T985" s="153"/>
      <c r="U985" s="169">
        <f t="shared" si="124"/>
        <v>0</v>
      </c>
      <c r="V985" s="156"/>
      <c r="W985" s="158"/>
      <c r="X985" s="158"/>
      <c r="Y985" s="158"/>
      <c r="Z985" s="153"/>
      <c r="AA985" s="159" t="s">
        <v>278</v>
      </c>
      <c r="AB985" s="160"/>
      <c r="AC985" s="157">
        <f t="shared" si="121"/>
        <v>0</v>
      </c>
    </row>
    <row r="986" spans="10:29" ht="12.5">
      <c r="J986" s="149"/>
      <c r="K986" s="171">
        <f>MAX(K$827:K985)+1</f>
        <v>160</v>
      </c>
      <c r="L986" s="172">
        <f t="shared" si="122"/>
        <v>1</v>
      </c>
      <c r="M986" s="152"/>
      <c r="N986" s="153"/>
      <c r="O986" s="153"/>
      <c r="P986" s="153"/>
      <c r="Q986" s="153"/>
      <c r="R986" s="153"/>
      <c r="S986" s="154">
        <f t="shared" si="123"/>
        <v>0</v>
      </c>
      <c r="T986" s="153"/>
      <c r="U986" s="169">
        <f t="shared" si="124"/>
        <v>0</v>
      </c>
      <c r="V986" s="156"/>
      <c r="W986" s="158"/>
      <c r="X986" s="158"/>
      <c r="Y986" s="158"/>
      <c r="Z986" s="153"/>
      <c r="AA986" s="159" t="s">
        <v>278</v>
      </c>
      <c r="AB986" s="160"/>
      <c r="AC986" s="157">
        <f t="shared" si="121"/>
        <v>0</v>
      </c>
    </row>
    <row r="987" spans="10:29" ht="12.5">
      <c r="J987" s="149"/>
      <c r="K987" s="171">
        <f>MAX(K$827:K986)+1</f>
        <v>161</v>
      </c>
      <c r="L987" s="172">
        <f t="shared" si="122"/>
        <v>1</v>
      </c>
      <c r="M987" s="152"/>
      <c r="N987" s="153"/>
      <c r="O987" s="153"/>
      <c r="P987" s="153"/>
      <c r="Q987" s="153"/>
      <c r="R987" s="153"/>
      <c r="S987" s="154">
        <f t="shared" si="123"/>
        <v>0</v>
      </c>
      <c r="T987" s="153"/>
      <c r="U987" s="169">
        <f t="shared" si="124"/>
        <v>0</v>
      </c>
      <c r="V987" s="156"/>
      <c r="W987" s="158"/>
      <c r="X987" s="158"/>
      <c r="Y987" s="158"/>
      <c r="Z987" s="153"/>
      <c r="AA987" s="159" t="s">
        <v>278</v>
      </c>
      <c r="AB987" s="160"/>
      <c r="AC987" s="157">
        <f t="shared" si="121"/>
        <v>0</v>
      </c>
    </row>
    <row r="988" spans="10:29" ht="12.5">
      <c r="J988" s="149"/>
      <c r="K988" s="171">
        <f>MAX(K$827:K987)+1</f>
        <v>162</v>
      </c>
      <c r="L988" s="172">
        <f t="shared" si="122"/>
        <v>1</v>
      </c>
      <c r="M988" s="152"/>
      <c r="N988" s="153"/>
      <c r="O988" s="153"/>
      <c r="P988" s="153"/>
      <c r="Q988" s="153"/>
      <c r="R988" s="153"/>
      <c r="S988" s="154">
        <f t="shared" si="123"/>
        <v>0</v>
      </c>
      <c r="T988" s="153"/>
      <c r="U988" s="169">
        <f t="shared" si="124"/>
        <v>0</v>
      </c>
      <c r="V988" s="156"/>
      <c r="W988" s="158"/>
      <c r="X988" s="158"/>
      <c r="Y988" s="158"/>
      <c r="Z988" s="153"/>
      <c r="AA988" s="159" t="s">
        <v>278</v>
      </c>
      <c r="AB988" s="160"/>
      <c r="AC988" s="157">
        <f t="shared" si="121"/>
        <v>0</v>
      </c>
    </row>
    <row r="989" spans="10:29" ht="12.5">
      <c r="J989" s="149"/>
      <c r="K989" s="171">
        <f>MAX(K$827:K988)+1</f>
        <v>163</v>
      </c>
      <c r="L989" s="172">
        <f t="shared" si="122"/>
        <v>1</v>
      </c>
      <c r="M989" s="152"/>
      <c r="N989" s="153"/>
      <c r="O989" s="153"/>
      <c r="P989" s="153"/>
      <c r="Q989" s="153"/>
      <c r="R989" s="153"/>
      <c r="S989" s="154">
        <f t="shared" si="123"/>
        <v>0</v>
      </c>
      <c r="T989" s="153"/>
      <c r="U989" s="169">
        <f t="shared" si="124"/>
        <v>0</v>
      </c>
      <c r="V989" s="156"/>
      <c r="W989" s="158"/>
      <c r="X989" s="158"/>
      <c r="Y989" s="158"/>
      <c r="Z989" s="153"/>
      <c r="AA989" s="159" t="s">
        <v>278</v>
      </c>
      <c r="AB989" s="160"/>
      <c r="AC989" s="157">
        <f t="shared" si="121"/>
        <v>0</v>
      </c>
    </row>
    <row r="990" spans="10:29" ht="12.5">
      <c r="J990" s="149"/>
      <c r="K990" s="171">
        <f>MAX(K$827:K989)+1</f>
        <v>164</v>
      </c>
      <c r="L990" s="172">
        <f t="shared" si="122"/>
        <v>1</v>
      </c>
      <c r="M990" s="152"/>
      <c r="N990" s="153"/>
      <c r="O990" s="153"/>
      <c r="P990" s="153"/>
      <c r="Q990" s="153"/>
      <c r="R990" s="153"/>
      <c r="S990" s="154">
        <f t="shared" si="123"/>
        <v>0</v>
      </c>
      <c r="T990" s="153"/>
      <c r="U990" s="169">
        <f t="shared" si="124"/>
        <v>0</v>
      </c>
      <c r="V990" s="156"/>
      <c r="W990" s="158"/>
      <c r="X990" s="158"/>
      <c r="Y990" s="158"/>
      <c r="Z990" s="153"/>
      <c r="AA990" s="159" t="s">
        <v>278</v>
      </c>
      <c r="AB990" s="160"/>
      <c r="AC990" s="157">
        <f t="shared" si="121"/>
        <v>0</v>
      </c>
    </row>
    <row r="991" spans="10:29" ht="12.5">
      <c r="J991" s="149"/>
      <c r="K991" s="171">
        <f>MAX(K$827:K990)+1</f>
        <v>165</v>
      </c>
      <c r="L991" s="172">
        <f t="shared" si="122"/>
        <v>1</v>
      </c>
      <c r="M991" s="152"/>
      <c r="N991" s="153"/>
      <c r="O991" s="153"/>
      <c r="P991" s="153"/>
      <c r="Q991" s="153"/>
      <c r="R991" s="153"/>
      <c r="S991" s="154">
        <f t="shared" si="123"/>
        <v>0</v>
      </c>
      <c r="T991" s="153"/>
      <c r="U991" s="169">
        <f t="shared" si="124"/>
        <v>0</v>
      </c>
      <c r="V991" s="156"/>
      <c r="W991" s="158"/>
      <c r="X991" s="158"/>
      <c r="Y991" s="158"/>
      <c r="Z991" s="153"/>
      <c r="AA991" s="159" t="s">
        <v>278</v>
      </c>
      <c r="AB991" s="160"/>
      <c r="AC991" s="157">
        <f t="shared" si="121"/>
        <v>0</v>
      </c>
    </row>
    <row r="992" spans="10:29" ht="12.5">
      <c r="J992" s="149"/>
      <c r="K992" s="171">
        <f>MAX(K$827:K991)+1</f>
        <v>166</v>
      </c>
      <c r="L992" s="172">
        <f t="shared" si="122"/>
        <v>1</v>
      </c>
      <c r="M992" s="152"/>
      <c r="N992" s="153"/>
      <c r="O992" s="153"/>
      <c r="P992" s="153"/>
      <c r="Q992" s="153"/>
      <c r="R992" s="153"/>
      <c r="S992" s="154">
        <f t="shared" si="123"/>
        <v>0</v>
      </c>
      <c r="T992" s="153"/>
      <c r="U992" s="169">
        <f t="shared" si="124"/>
        <v>0</v>
      </c>
      <c r="V992" s="156"/>
      <c r="W992" s="158"/>
      <c r="X992" s="158"/>
      <c r="Y992" s="158"/>
      <c r="Z992" s="153"/>
      <c r="AA992" s="159" t="s">
        <v>278</v>
      </c>
      <c r="AB992" s="160"/>
      <c r="AC992" s="157">
        <f t="shared" si="121"/>
        <v>0</v>
      </c>
    </row>
    <row r="993" spans="10:29" ht="12.5">
      <c r="J993" s="149"/>
      <c r="K993" s="171">
        <f>MAX(K$827:K992)+1</f>
        <v>167</v>
      </c>
      <c r="L993" s="172">
        <f t="shared" si="122"/>
        <v>1</v>
      </c>
      <c r="M993" s="152"/>
      <c r="N993" s="153"/>
      <c r="O993" s="153"/>
      <c r="P993" s="153"/>
      <c r="Q993" s="153"/>
      <c r="R993" s="153"/>
      <c r="S993" s="154">
        <f t="shared" si="123"/>
        <v>0</v>
      </c>
      <c r="T993" s="153"/>
      <c r="U993" s="169">
        <f t="shared" si="124"/>
        <v>0</v>
      </c>
      <c r="V993" s="156"/>
      <c r="W993" s="158"/>
      <c r="X993" s="158"/>
      <c r="Y993" s="158"/>
      <c r="Z993" s="153"/>
      <c r="AA993" s="159" t="s">
        <v>278</v>
      </c>
      <c r="AB993" s="160"/>
      <c r="AC993" s="157">
        <f t="shared" si="121"/>
        <v>0</v>
      </c>
    </row>
    <row r="994" spans="10:29" ht="12.5">
      <c r="J994" s="149"/>
      <c r="K994" s="171">
        <f>MAX(K$827:K993)+1</f>
        <v>168</v>
      </c>
      <c r="L994" s="172">
        <f t="shared" si="122"/>
        <v>1</v>
      </c>
      <c r="M994" s="152"/>
      <c r="N994" s="153"/>
      <c r="O994" s="153"/>
      <c r="P994" s="153"/>
      <c r="Q994" s="153"/>
      <c r="R994" s="153"/>
      <c r="S994" s="154">
        <f t="shared" si="123"/>
        <v>0</v>
      </c>
      <c r="T994" s="153"/>
      <c r="U994" s="169">
        <f t="shared" si="124"/>
        <v>0</v>
      </c>
      <c r="V994" s="156"/>
      <c r="W994" s="158"/>
      <c r="X994" s="158"/>
      <c r="Y994" s="158"/>
      <c r="Z994" s="153"/>
      <c r="AA994" s="159" t="s">
        <v>278</v>
      </c>
      <c r="AB994" s="160"/>
      <c r="AC994" s="157">
        <f t="shared" si="121"/>
        <v>0</v>
      </c>
    </row>
    <row r="995" spans="10:29" ht="12.5">
      <c r="J995" s="149"/>
      <c r="K995" s="171">
        <f>MAX(K$827:K994)+1</f>
        <v>169</v>
      </c>
      <c r="L995" s="172">
        <f t="shared" si="122"/>
        <v>1</v>
      </c>
      <c r="M995" s="152"/>
      <c r="N995" s="153"/>
      <c r="O995" s="153"/>
      <c r="P995" s="153"/>
      <c r="Q995" s="153"/>
      <c r="R995" s="153"/>
      <c r="S995" s="154">
        <f t="shared" si="123"/>
        <v>0</v>
      </c>
      <c r="T995" s="153"/>
      <c r="U995" s="169">
        <f t="shared" si="124"/>
        <v>0</v>
      </c>
      <c r="V995" s="156"/>
      <c r="W995" s="158"/>
      <c r="X995" s="158"/>
      <c r="Y995" s="158"/>
      <c r="Z995" s="153"/>
      <c r="AA995" s="159" t="s">
        <v>278</v>
      </c>
      <c r="AB995" s="160"/>
      <c r="AC995" s="157">
        <f t="shared" si="121"/>
        <v>0</v>
      </c>
    </row>
    <row r="996" spans="10:29" ht="12.5">
      <c r="J996" s="149"/>
      <c r="K996" s="171">
        <f>MAX(K$827:K995)+1</f>
        <v>170</v>
      </c>
      <c r="L996" s="172">
        <f t="shared" si="122"/>
        <v>1</v>
      </c>
      <c r="M996" s="152"/>
      <c r="N996" s="153"/>
      <c r="O996" s="153"/>
      <c r="P996" s="153"/>
      <c r="Q996" s="153"/>
      <c r="R996" s="153"/>
      <c r="S996" s="154">
        <f t="shared" si="123"/>
        <v>0</v>
      </c>
      <c r="T996" s="153"/>
      <c r="U996" s="169">
        <f t="shared" si="124"/>
        <v>0</v>
      </c>
      <c r="V996" s="156"/>
      <c r="W996" s="158"/>
      <c r="X996" s="158"/>
      <c r="Y996" s="158"/>
      <c r="Z996" s="153"/>
      <c r="AA996" s="159" t="s">
        <v>278</v>
      </c>
      <c r="AB996" s="160"/>
      <c r="AC996" s="157">
        <f t="shared" si="121"/>
        <v>0</v>
      </c>
    </row>
    <row r="997" spans="10:29" ht="12.5">
      <c r="J997" s="149"/>
      <c r="K997" s="171">
        <f>MAX(K$827:K996)+1</f>
        <v>171</v>
      </c>
      <c r="L997" s="172">
        <f t="shared" si="122"/>
        <v>1</v>
      </c>
      <c r="M997" s="152"/>
      <c r="N997" s="153"/>
      <c r="O997" s="153"/>
      <c r="P997" s="153"/>
      <c r="Q997" s="153"/>
      <c r="R997" s="153"/>
      <c r="S997" s="154">
        <f t="shared" si="123"/>
        <v>0</v>
      </c>
      <c r="T997" s="153"/>
      <c r="U997" s="169">
        <f t="shared" si="124"/>
        <v>0</v>
      </c>
      <c r="V997" s="156"/>
      <c r="W997" s="158"/>
      <c r="X997" s="158"/>
      <c r="Y997" s="158"/>
      <c r="Z997" s="153"/>
      <c r="AA997" s="159" t="s">
        <v>278</v>
      </c>
      <c r="AB997" s="160"/>
      <c r="AC997" s="157">
        <f t="shared" ref="AC997:AC1060" si="125">INDEX(Y997:Z997,1,MATCH(_WellBasketSelection,$Y$826:$Z$826,0))*U997</f>
        <v>0</v>
      </c>
    </row>
    <row r="998" spans="10:29" ht="12.5">
      <c r="J998" s="149"/>
      <c r="K998" s="171">
        <f>MAX(K$827:K997)+1</f>
        <v>172</v>
      </c>
      <c r="L998" s="172">
        <f t="shared" si="122"/>
        <v>1</v>
      </c>
      <c r="M998" s="152"/>
      <c r="N998" s="153"/>
      <c r="O998" s="153"/>
      <c r="P998" s="153"/>
      <c r="Q998" s="153"/>
      <c r="R998" s="153"/>
      <c r="S998" s="154">
        <f t="shared" si="123"/>
        <v>0</v>
      </c>
      <c r="T998" s="153"/>
      <c r="U998" s="169">
        <f t="shared" si="124"/>
        <v>0</v>
      </c>
      <c r="V998" s="156"/>
      <c r="W998" s="158"/>
      <c r="X998" s="158"/>
      <c r="Y998" s="158"/>
      <c r="Z998" s="153"/>
      <c r="AA998" s="159" t="s">
        <v>278</v>
      </c>
      <c r="AB998" s="160"/>
      <c r="AC998" s="157">
        <f t="shared" si="125"/>
        <v>0</v>
      </c>
    </row>
    <row r="999" spans="10:29" ht="12.5">
      <c r="J999" s="149"/>
      <c r="K999" s="171">
        <f>MAX(K$827:K998)+1</f>
        <v>173</v>
      </c>
      <c r="L999" s="172">
        <f t="shared" si="122"/>
        <v>1</v>
      </c>
      <c r="M999" s="152"/>
      <c r="N999" s="153"/>
      <c r="O999" s="153"/>
      <c r="P999" s="153"/>
      <c r="Q999" s="153"/>
      <c r="R999" s="153"/>
      <c r="S999" s="154">
        <f t="shared" si="123"/>
        <v>0</v>
      </c>
      <c r="T999" s="153"/>
      <c r="U999" s="169">
        <f t="shared" si="124"/>
        <v>0</v>
      </c>
      <c r="V999" s="156"/>
      <c r="W999" s="158"/>
      <c r="X999" s="158"/>
      <c r="Y999" s="158"/>
      <c r="Z999" s="153"/>
      <c r="AA999" s="159" t="s">
        <v>278</v>
      </c>
      <c r="AB999" s="160"/>
      <c r="AC999" s="157">
        <f t="shared" si="125"/>
        <v>0</v>
      </c>
    </row>
    <row r="1000" spans="10:29" ht="12.5">
      <c r="J1000" s="149"/>
      <c r="K1000" s="171">
        <f>MAX(K$827:K999)+1</f>
        <v>174</v>
      </c>
      <c r="L1000" s="172">
        <f t="shared" si="122"/>
        <v>1</v>
      </c>
      <c r="M1000" s="152"/>
      <c r="N1000" s="153"/>
      <c r="O1000" s="153"/>
      <c r="P1000" s="153"/>
      <c r="Q1000" s="153"/>
      <c r="R1000" s="153"/>
      <c r="S1000" s="154">
        <f t="shared" si="123"/>
        <v>0</v>
      </c>
      <c r="T1000" s="153"/>
      <c r="U1000" s="169">
        <f t="shared" si="124"/>
        <v>0</v>
      </c>
      <c r="V1000" s="156"/>
      <c r="W1000" s="158"/>
      <c r="X1000" s="158"/>
      <c r="Y1000" s="158"/>
      <c r="Z1000" s="153"/>
      <c r="AA1000" s="159" t="s">
        <v>278</v>
      </c>
      <c r="AB1000" s="160"/>
      <c r="AC1000" s="157">
        <f t="shared" si="125"/>
        <v>0</v>
      </c>
    </row>
    <row r="1001" spans="10:29" ht="12.5">
      <c r="J1001" s="149"/>
      <c r="K1001" s="171">
        <f>MAX(K$827:K1000)+1</f>
        <v>175</v>
      </c>
      <c r="L1001" s="172">
        <f t="shared" si="122"/>
        <v>1</v>
      </c>
      <c r="M1001" s="152"/>
      <c r="N1001" s="153"/>
      <c r="O1001" s="153"/>
      <c r="P1001" s="153"/>
      <c r="Q1001" s="153"/>
      <c r="R1001" s="153"/>
      <c r="S1001" s="154">
        <f t="shared" si="123"/>
        <v>0</v>
      </c>
      <c r="T1001" s="153"/>
      <c r="U1001" s="169">
        <f t="shared" si="124"/>
        <v>0</v>
      </c>
      <c r="V1001" s="156"/>
      <c r="W1001" s="158"/>
      <c r="X1001" s="158"/>
      <c r="Y1001" s="158"/>
      <c r="Z1001" s="153"/>
      <c r="AA1001" s="159" t="s">
        <v>278</v>
      </c>
      <c r="AB1001" s="160"/>
      <c r="AC1001" s="157">
        <f t="shared" si="125"/>
        <v>0</v>
      </c>
    </row>
    <row r="1002" spans="10:29" ht="12.5">
      <c r="J1002" s="149"/>
      <c r="K1002" s="171">
        <f>MAX(K$827:K1001)+1</f>
        <v>176</v>
      </c>
      <c r="L1002" s="172">
        <f t="shared" si="122"/>
        <v>1</v>
      </c>
      <c r="M1002" s="152"/>
      <c r="N1002" s="153"/>
      <c r="O1002" s="153"/>
      <c r="P1002" s="153"/>
      <c r="Q1002" s="153"/>
      <c r="R1002" s="153"/>
      <c r="S1002" s="154">
        <f t="shared" si="123"/>
        <v>0</v>
      </c>
      <c r="T1002" s="153"/>
      <c r="U1002" s="169">
        <f t="shared" si="124"/>
        <v>0</v>
      </c>
      <c r="V1002" s="156"/>
      <c r="W1002" s="158"/>
      <c r="X1002" s="158"/>
      <c r="Y1002" s="158"/>
      <c r="Z1002" s="153"/>
      <c r="AA1002" s="159" t="s">
        <v>278</v>
      </c>
      <c r="AB1002" s="160"/>
      <c r="AC1002" s="157">
        <f t="shared" si="125"/>
        <v>0</v>
      </c>
    </row>
    <row r="1003" spans="10:29" ht="12.5">
      <c r="J1003" s="149"/>
      <c r="K1003" s="171">
        <f>MAX(K$827:K1002)+1</f>
        <v>177</v>
      </c>
      <c r="L1003" s="172">
        <f t="shared" si="122"/>
        <v>1</v>
      </c>
      <c r="M1003" s="152"/>
      <c r="N1003" s="153"/>
      <c r="O1003" s="153"/>
      <c r="P1003" s="153"/>
      <c r="Q1003" s="153"/>
      <c r="R1003" s="153"/>
      <c r="S1003" s="154">
        <f t="shared" si="123"/>
        <v>0</v>
      </c>
      <c r="T1003" s="153"/>
      <c r="U1003" s="169">
        <f t="shared" si="124"/>
        <v>0</v>
      </c>
      <c r="V1003" s="156"/>
      <c r="W1003" s="158"/>
      <c r="X1003" s="158"/>
      <c r="Y1003" s="158"/>
      <c r="Z1003" s="153"/>
      <c r="AA1003" s="159" t="s">
        <v>278</v>
      </c>
      <c r="AB1003" s="160"/>
      <c r="AC1003" s="157">
        <f t="shared" si="125"/>
        <v>0</v>
      </c>
    </row>
    <row r="1004" spans="10:29" ht="12.5">
      <c r="J1004" s="149"/>
      <c r="K1004" s="171">
        <f>MAX(K$827:K1003)+1</f>
        <v>178</v>
      </c>
      <c r="L1004" s="172">
        <f t="shared" si="122"/>
        <v>1</v>
      </c>
      <c r="M1004" s="152"/>
      <c r="N1004" s="153"/>
      <c r="O1004" s="153"/>
      <c r="P1004" s="153"/>
      <c r="Q1004" s="153"/>
      <c r="R1004" s="153"/>
      <c r="S1004" s="154">
        <f t="shared" si="123"/>
        <v>0</v>
      </c>
      <c r="T1004" s="153"/>
      <c r="U1004" s="169">
        <f t="shared" si="124"/>
        <v>0</v>
      </c>
      <c r="V1004" s="156"/>
      <c r="W1004" s="158"/>
      <c r="X1004" s="158"/>
      <c r="Y1004" s="158"/>
      <c r="Z1004" s="153"/>
      <c r="AA1004" s="159" t="s">
        <v>278</v>
      </c>
      <c r="AB1004" s="160"/>
      <c r="AC1004" s="157">
        <f t="shared" si="125"/>
        <v>0</v>
      </c>
    </row>
    <row r="1005" spans="10:29" ht="12.5">
      <c r="J1005" s="149"/>
      <c r="K1005" s="171">
        <f>MAX(K$827:K1004)+1</f>
        <v>179</v>
      </c>
      <c r="L1005" s="172">
        <f t="shared" si="122"/>
        <v>1</v>
      </c>
      <c r="M1005" s="152"/>
      <c r="N1005" s="153"/>
      <c r="O1005" s="153"/>
      <c r="P1005" s="153"/>
      <c r="Q1005" s="153"/>
      <c r="R1005" s="153"/>
      <c r="S1005" s="154">
        <f t="shared" si="123"/>
        <v>0</v>
      </c>
      <c r="T1005" s="153"/>
      <c r="U1005" s="169">
        <f t="shared" si="124"/>
        <v>0</v>
      </c>
      <c r="V1005" s="156"/>
      <c r="W1005" s="158"/>
      <c r="X1005" s="158"/>
      <c r="Y1005" s="158"/>
      <c r="Z1005" s="153"/>
      <c r="AA1005" s="159" t="s">
        <v>278</v>
      </c>
      <c r="AB1005" s="160"/>
      <c r="AC1005" s="157">
        <f t="shared" si="125"/>
        <v>0</v>
      </c>
    </row>
    <row r="1006" spans="10:29" ht="12.5">
      <c r="J1006" s="149"/>
      <c r="K1006" s="171">
        <f>MAX(K$827:K1005)+1</f>
        <v>180</v>
      </c>
      <c r="L1006" s="172">
        <f t="shared" si="122"/>
        <v>1</v>
      </c>
      <c r="M1006" s="152"/>
      <c r="N1006" s="153"/>
      <c r="O1006" s="153"/>
      <c r="P1006" s="153"/>
      <c r="Q1006" s="153"/>
      <c r="R1006" s="153"/>
      <c r="S1006" s="154">
        <f t="shared" si="123"/>
        <v>0</v>
      </c>
      <c r="T1006" s="153"/>
      <c r="U1006" s="169">
        <f t="shared" si="124"/>
        <v>0</v>
      </c>
      <c r="V1006" s="156"/>
      <c r="W1006" s="158"/>
      <c r="X1006" s="158"/>
      <c r="Y1006" s="158"/>
      <c r="Z1006" s="153"/>
      <c r="AA1006" s="159" t="s">
        <v>278</v>
      </c>
      <c r="AB1006" s="160"/>
      <c r="AC1006" s="157">
        <f t="shared" si="125"/>
        <v>0</v>
      </c>
    </row>
    <row r="1007" spans="10:29" ht="12.5">
      <c r="J1007" s="149"/>
      <c r="K1007" s="171">
        <f>MAX(K$827:K1006)+1</f>
        <v>181</v>
      </c>
      <c r="L1007" s="172">
        <f t="shared" si="122"/>
        <v>1</v>
      </c>
      <c r="M1007" s="152"/>
      <c r="N1007" s="153"/>
      <c r="O1007" s="153"/>
      <c r="P1007" s="153"/>
      <c r="Q1007" s="153"/>
      <c r="R1007" s="153"/>
      <c r="S1007" s="154">
        <f t="shared" si="123"/>
        <v>0</v>
      </c>
      <c r="T1007" s="153"/>
      <c r="U1007" s="169">
        <f t="shared" si="124"/>
        <v>0</v>
      </c>
      <c r="V1007" s="156"/>
      <c r="W1007" s="158"/>
      <c r="X1007" s="158"/>
      <c r="Y1007" s="158"/>
      <c r="Z1007" s="153"/>
      <c r="AA1007" s="159" t="s">
        <v>278</v>
      </c>
      <c r="AB1007" s="160"/>
      <c r="AC1007" s="157">
        <f t="shared" si="125"/>
        <v>0</v>
      </c>
    </row>
    <row r="1008" spans="10:29" ht="12.5">
      <c r="J1008" s="149"/>
      <c r="K1008" s="171">
        <f>MAX(K$827:K1007)+1</f>
        <v>182</v>
      </c>
      <c r="L1008" s="172">
        <f t="shared" si="122"/>
        <v>1</v>
      </c>
      <c r="M1008" s="152"/>
      <c r="N1008" s="153"/>
      <c r="O1008" s="153"/>
      <c r="P1008" s="153"/>
      <c r="Q1008" s="153"/>
      <c r="R1008" s="153"/>
      <c r="S1008" s="154">
        <f t="shared" si="123"/>
        <v>0</v>
      </c>
      <c r="T1008" s="153"/>
      <c r="U1008" s="169">
        <f t="shared" si="124"/>
        <v>0</v>
      </c>
      <c r="V1008" s="156"/>
      <c r="W1008" s="158"/>
      <c r="X1008" s="158"/>
      <c r="Y1008" s="158"/>
      <c r="Z1008" s="153"/>
      <c r="AA1008" s="159" t="s">
        <v>278</v>
      </c>
      <c r="AB1008" s="160"/>
      <c r="AC1008" s="157">
        <f t="shared" si="125"/>
        <v>0</v>
      </c>
    </row>
    <row r="1009" spans="10:29" ht="12.5">
      <c r="J1009" s="149"/>
      <c r="K1009" s="171">
        <f>MAX(K$827:K1008)+1</f>
        <v>183</v>
      </c>
      <c r="L1009" s="172">
        <f t="shared" si="122"/>
        <v>1</v>
      </c>
      <c r="M1009" s="152"/>
      <c r="N1009" s="153"/>
      <c r="O1009" s="153"/>
      <c r="P1009" s="153"/>
      <c r="Q1009" s="153"/>
      <c r="R1009" s="153"/>
      <c r="S1009" s="154">
        <f t="shared" si="123"/>
        <v>0</v>
      </c>
      <c r="T1009" s="153"/>
      <c r="U1009" s="169">
        <f t="shared" si="124"/>
        <v>0</v>
      </c>
      <c r="V1009" s="156"/>
      <c r="W1009" s="158"/>
      <c r="X1009" s="158"/>
      <c r="Y1009" s="158"/>
      <c r="Z1009" s="153"/>
      <c r="AA1009" s="159" t="s">
        <v>278</v>
      </c>
      <c r="AB1009" s="160"/>
      <c r="AC1009" s="157">
        <f t="shared" si="125"/>
        <v>0</v>
      </c>
    </row>
    <row r="1010" spans="10:29" ht="12.5">
      <c r="J1010" s="149"/>
      <c r="K1010" s="171">
        <f>MAX(K$827:K1009)+1</f>
        <v>184</v>
      </c>
      <c r="L1010" s="172">
        <f t="shared" si="122"/>
        <v>1</v>
      </c>
      <c r="M1010" s="152"/>
      <c r="N1010" s="153"/>
      <c r="O1010" s="153"/>
      <c r="P1010" s="153"/>
      <c r="Q1010" s="153"/>
      <c r="R1010" s="153"/>
      <c r="S1010" s="154">
        <f t="shared" si="123"/>
        <v>0</v>
      </c>
      <c r="T1010" s="153"/>
      <c r="U1010" s="169">
        <f t="shared" si="124"/>
        <v>0</v>
      </c>
      <c r="V1010" s="156"/>
      <c r="W1010" s="158"/>
      <c r="X1010" s="158"/>
      <c r="Y1010" s="158"/>
      <c r="Z1010" s="153"/>
      <c r="AA1010" s="159" t="s">
        <v>278</v>
      </c>
      <c r="AB1010" s="160"/>
      <c r="AC1010" s="157">
        <f t="shared" si="125"/>
        <v>0</v>
      </c>
    </row>
    <row r="1011" spans="10:29" ht="12.5">
      <c r="J1011" s="149"/>
      <c r="K1011" s="171">
        <f>MAX(K$827:K1010)+1</f>
        <v>185</v>
      </c>
      <c r="L1011" s="172">
        <f t="shared" si="122"/>
        <v>1</v>
      </c>
      <c r="M1011" s="152"/>
      <c r="N1011" s="153"/>
      <c r="O1011" s="153"/>
      <c r="P1011" s="153"/>
      <c r="Q1011" s="153"/>
      <c r="R1011" s="153"/>
      <c r="S1011" s="154">
        <f t="shared" si="123"/>
        <v>0</v>
      </c>
      <c r="T1011" s="153"/>
      <c r="U1011" s="169">
        <f t="shared" si="124"/>
        <v>0</v>
      </c>
      <c r="V1011" s="156"/>
      <c r="W1011" s="158"/>
      <c r="X1011" s="158"/>
      <c r="Y1011" s="158"/>
      <c r="Z1011" s="153"/>
      <c r="AA1011" s="159" t="s">
        <v>278</v>
      </c>
      <c r="AB1011" s="160"/>
      <c r="AC1011" s="157">
        <f t="shared" si="125"/>
        <v>0</v>
      </c>
    </row>
    <row r="1012" spans="10:29" ht="12.5">
      <c r="J1012" s="149"/>
      <c r="K1012" s="171">
        <f>MAX(K$827:K1011)+1</f>
        <v>186</v>
      </c>
      <c r="L1012" s="172">
        <f t="shared" si="122"/>
        <v>1</v>
      </c>
      <c r="M1012" s="152"/>
      <c r="N1012" s="153"/>
      <c r="O1012" s="153"/>
      <c r="P1012" s="153"/>
      <c r="Q1012" s="153"/>
      <c r="R1012" s="153"/>
      <c r="S1012" s="154">
        <f t="shared" si="123"/>
        <v>0</v>
      </c>
      <c r="T1012" s="153"/>
      <c r="U1012" s="169">
        <f t="shared" si="124"/>
        <v>0</v>
      </c>
      <c r="V1012" s="156"/>
      <c r="W1012" s="158"/>
      <c r="X1012" s="158"/>
      <c r="Y1012" s="158"/>
      <c r="Z1012" s="153"/>
      <c r="AA1012" s="159" t="s">
        <v>278</v>
      </c>
      <c r="AB1012" s="160"/>
      <c r="AC1012" s="157">
        <f t="shared" si="125"/>
        <v>0</v>
      </c>
    </row>
    <row r="1013" spans="10:29" ht="12.5">
      <c r="J1013" s="149"/>
      <c r="K1013" s="171">
        <f>MAX(K$827:K1012)+1</f>
        <v>187</v>
      </c>
      <c r="L1013" s="172">
        <f t="shared" si="122"/>
        <v>1</v>
      </c>
      <c r="M1013" s="152"/>
      <c r="N1013" s="153"/>
      <c r="O1013" s="153"/>
      <c r="P1013" s="153"/>
      <c r="Q1013" s="153"/>
      <c r="R1013" s="153"/>
      <c r="S1013" s="154">
        <f t="shared" si="123"/>
        <v>0</v>
      </c>
      <c r="T1013" s="153"/>
      <c r="U1013" s="169">
        <f t="shared" si="124"/>
        <v>0</v>
      </c>
      <c r="V1013" s="156"/>
      <c r="W1013" s="158"/>
      <c r="X1013" s="158"/>
      <c r="Y1013" s="158"/>
      <c r="Z1013" s="153"/>
      <c r="AA1013" s="159" t="s">
        <v>278</v>
      </c>
      <c r="AB1013" s="160"/>
      <c r="AC1013" s="157">
        <f t="shared" si="125"/>
        <v>0</v>
      </c>
    </row>
    <row r="1014" spans="10:29" ht="12.5">
      <c r="J1014" s="149"/>
      <c r="K1014" s="171">
        <f>MAX(K$827:K1013)+1</f>
        <v>188</v>
      </c>
      <c r="L1014" s="172">
        <f t="shared" si="122"/>
        <v>1</v>
      </c>
      <c r="M1014" s="152"/>
      <c r="N1014" s="153"/>
      <c r="O1014" s="153"/>
      <c r="P1014" s="153"/>
      <c r="Q1014" s="153"/>
      <c r="R1014" s="153"/>
      <c r="S1014" s="154">
        <f t="shared" si="123"/>
        <v>0</v>
      </c>
      <c r="T1014" s="153"/>
      <c r="U1014" s="169">
        <f t="shared" si="124"/>
        <v>0</v>
      </c>
      <c r="V1014" s="156"/>
      <c r="W1014" s="158"/>
      <c r="X1014" s="158"/>
      <c r="Y1014" s="158"/>
      <c r="Z1014" s="153"/>
      <c r="AA1014" s="159" t="s">
        <v>278</v>
      </c>
      <c r="AB1014" s="160"/>
      <c r="AC1014" s="157">
        <f t="shared" si="125"/>
        <v>0</v>
      </c>
    </row>
    <row r="1015" spans="10:29" ht="12.5">
      <c r="J1015" s="149"/>
      <c r="K1015" s="171">
        <f>MAX(K$827:K1014)+1</f>
        <v>189</v>
      </c>
      <c r="L1015" s="172">
        <f t="shared" si="122"/>
        <v>1</v>
      </c>
      <c r="M1015" s="152"/>
      <c r="N1015" s="153"/>
      <c r="O1015" s="153"/>
      <c r="P1015" s="153"/>
      <c r="Q1015" s="153"/>
      <c r="R1015" s="153"/>
      <c r="S1015" s="154">
        <f t="shared" si="123"/>
        <v>0</v>
      </c>
      <c r="T1015" s="153"/>
      <c r="U1015" s="169">
        <f t="shared" si="124"/>
        <v>0</v>
      </c>
      <c r="V1015" s="156"/>
      <c r="W1015" s="158"/>
      <c r="X1015" s="158"/>
      <c r="Y1015" s="158"/>
      <c r="Z1015" s="153"/>
      <c r="AA1015" s="159" t="s">
        <v>278</v>
      </c>
      <c r="AB1015" s="160"/>
      <c r="AC1015" s="157">
        <f t="shared" si="125"/>
        <v>0</v>
      </c>
    </row>
    <row r="1016" spans="10:29" ht="12.5">
      <c r="J1016" s="149"/>
      <c r="K1016" s="171">
        <f>MAX(K$827:K1015)+1</f>
        <v>190</v>
      </c>
      <c r="L1016" s="172">
        <f t="shared" si="122"/>
        <v>1</v>
      </c>
      <c r="M1016" s="152"/>
      <c r="N1016" s="153"/>
      <c r="O1016" s="153"/>
      <c r="P1016" s="153"/>
      <c r="Q1016" s="153"/>
      <c r="R1016" s="153"/>
      <c r="S1016" s="154">
        <f t="shared" si="123"/>
        <v>0</v>
      </c>
      <c r="T1016" s="153"/>
      <c r="U1016" s="169">
        <f t="shared" si="124"/>
        <v>0</v>
      </c>
      <c r="V1016" s="156"/>
      <c r="W1016" s="158"/>
      <c r="X1016" s="158"/>
      <c r="Y1016" s="158"/>
      <c r="Z1016" s="153"/>
      <c r="AA1016" s="159" t="s">
        <v>278</v>
      </c>
      <c r="AB1016" s="160"/>
      <c r="AC1016" s="157">
        <f t="shared" si="125"/>
        <v>0</v>
      </c>
    </row>
    <row r="1017" spans="10:29" ht="12.5">
      <c r="J1017" s="149"/>
      <c r="K1017" s="171">
        <f>MAX(K$827:K1016)+1</f>
        <v>191</v>
      </c>
      <c r="L1017" s="172">
        <f t="shared" si="122"/>
        <v>1</v>
      </c>
      <c r="M1017" s="152"/>
      <c r="N1017" s="153"/>
      <c r="O1017" s="153"/>
      <c r="P1017" s="153"/>
      <c r="Q1017" s="153"/>
      <c r="R1017" s="153"/>
      <c r="S1017" s="154">
        <f t="shared" si="123"/>
        <v>0</v>
      </c>
      <c r="T1017" s="153"/>
      <c r="U1017" s="169">
        <f t="shared" si="124"/>
        <v>0</v>
      </c>
      <c r="V1017" s="156"/>
      <c r="W1017" s="158"/>
      <c r="X1017" s="158"/>
      <c r="Y1017" s="158"/>
      <c r="Z1017" s="153"/>
      <c r="AA1017" s="159" t="s">
        <v>278</v>
      </c>
      <c r="AB1017" s="160"/>
      <c r="AC1017" s="157">
        <f t="shared" si="125"/>
        <v>0</v>
      </c>
    </row>
    <row r="1018" spans="10:29" ht="12.5">
      <c r="J1018" s="149"/>
      <c r="K1018" s="171">
        <f>MAX(K$827:K1017)+1</f>
        <v>192</v>
      </c>
      <c r="L1018" s="172">
        <f t="shared" si="122"/>
        <v>1</v>
      </c>
      <c r="M1018" s="152"/>
      <c r="N1018" s="153"/>
      <c r="O1018" s="153"/>
      <c r="P1018" s="153"/>
      <c r="Q1018" s="153"/>
      <c r="R1018" s="153"/>
      <c r="S1018" s="154">
        <f t="shared" si="123"/>
        <v>0</v>
      </c>
      <c r="T1018" s="153"/>
      <c r="U1018" s="169">
        <f t="shared" si="124"/>
        <v>0</v>
      </c>
      <c r="V1018" s="156"/>
      <c r="W1018" s="158"/>
      <c r="X1018" s="158"/>
      <c r="Y1018" s="158"/>
      <c r="Z1018" s="153"/>
      <c r="AA1018" s="159" t="s">
        <v>278</v>
      </c>
      <c r="AB1018" s="160"/>
      <c r="AC1018" s="157">
        <f t="shared" si="125"/>
        <v>0</v>
      </c>
    </row>
    <row r="1019" spans="10:29" ht="12.5">
      <c r="J1019" s="149"/>
      <c r="K1019" s="171">
        <f>MAX(K$827:K1018)+1</f>
        <v>193</v>
      </c>
      <c r="L1019" s="172">
        <f t="shared" si="122"/>
        <v>1</v>
      </c>
      <c r="M1019" s="152"/>
      <c r="N1019" s="153"/>
      <c r="O1019" s="153"/>
      <c r="P1019" s="153"/>
      <c r="Q1019" s="153"/>
      <c r="R1019" s="153"/>
      <c r="S1019" s="154">
        <f t="shared" si="123"/>
        <v>0</v>
      </c>
      <c r="T1019" s="153"/>
      <c r="U1019" s="169">
        <f t="shared" si="124"/>
        <v>0</v>
      </c>
      <c r="V1019" s="156"/>
      <c r="W1019" s="158"/>
      <c r="X1019" s="158"/>
      <c r="Y1019" s="158"/>
      <c r="Z1019" s="153"/>
      <c r="AA1019" s="159" t="s">
        <v>278</v>
      </c>
      <c r="AB1019" s="160"/>
      <c r="AC1019" s="157">
        <f t="shared" si="125"/>
        <v>0</v>
      </c>
    </row>
    <row r="1020" spans="10:29" ht="12.5">
      <c r="J1020" s="149"/>
      <c r="K1020" s="171">
        <f>MAX(K$827:K1019)+1</f>
        <v>194</v>
      </c>
      <c r="L1020" s="172">
        <f t="shared" ref="L1020:L1083" si="126">IF(J1019="",L1019,L1019+1)</f>
        <v>1</v>
      </c>
      <c r="M1020" s="152"/>
      <c r="N1020" s="153"/>
      <c r="O1020" s="153"/>
      <c r="P1020" s="153"/>
      <c r="Q1020" s="153"/>
      <c r="R1020" s="153"/>
      <c r="S1020" s="154">
        <f t="shared" ref="S1020:S1083" si="127">SUM(N1020:R1020)</f>
        <v>0</v>
      </c>
      <c r="T1020" s="153"/>
      <c r="U1020" s="169">
        <f t="shared" si="124"/>
        <v>0</v>
      </c>
      <c r="V1020" s="156"/>
      <c r="W1020" s="158"/>
      <c r="X1020" s="158"/>
      <c r="Y1020" s="158"/>
      <c r="Z1020" s="153"/>
      <c r="AA1020" s="159" t="s">
        <v>278</v>
      </c>
      <c r="AB1020" s="160"/>
      <c r="AC1020" s="157">
        <f t="shared" si="125"/>
        <v>0</v>
      </c>
    </row>
    <row r="1021" spans="10:29" ht="12.5">
      <c r="J1021" s="149"/>
      <c r="K1021" s="171">
        <f>MAX(K$827:K1020)+1</f>
        <v>195</v>
      </c>
      <c r="L1021" s="172">
        <f t="shared" si="126"/>
        <v>1</v>
      </c>
      <c r="M1021" s="152"/>
      <c r="N1021" s="153"/>
      <c r="O1021" s="153"/>
      <c r="P1021" s="153"/>
      <c r="Q1021" s="153"/>
      <c r="R1021" s="153"/>
      <c r="S1021" s="154">
        <f t="shared" si="127"/>
        <v>0</v>
      </c>
      <c r="T1021" s="153"/>
      <c r="U1021" s="169">
        <f t="shared" si="124"/>
        <v>0</v>
      </c>
      <c r="V1021" s="156"/>
      <c r="W1021" s="158"/>
      <c r="X1021" s="158"/>
      <c r="Y1021" s="158"/>
      <c r="Z1021" s="153"/>
      <c r="AA1021" s="159" t="s">
        <v>278</v>
      </c>
      <c r="AB1021" s="160"/>
      <c r="AC1021" s="157">
        <f t="shared" si="125"/>
        <v>0</v>
      </c>
    </row>
    <row r="1022" spans="10:29" ht="12.5">
      <c r="J1022" s="149"/>
      <c r="K1022" s="171">
        <f>MAX(K$827:K1021)+1</f>
        <v>196</v>
      </c>
      <c r="L1022" s="172">
        <f t="shared" si="126"/>
        <v>1</v>
      </c>
      <c r="M1022" s="152"/>
      <c r="N1022" s="153"/>
      <c r="O1022" s="153"/>
      <c r="P1022" s="153"/>
      <c r="Q1022" s="153"/>
      <c r="R1022" s="153"/>
      <c r="S1022" s="154">
        <f t="shared" si="127"/>
        <v>0</v>
      </c>
      <c r="T1022" s="153"/>
      <c r="U1022" s="169">
        <f t="shared" si="124"/>
        <v>0</v>
      </c>
      <c r="V1022" s="156"/>
      <c r="W1022" s="158"/>
      <c r="X1022" s="158"/>
      <c r="Y1022" s="158"/>
      <c r="Z1022" s="153"/>
      <c r="AA1022" s="159" t="s">
        <v>278</v>
      </c>
      <c r="AB1022" s="160"/>
      <c r="AC1022" s="157">
        <f t="shared" si="125"/>
        <v>0</v>
      </c>
    </row>
    <row r="1023" spans="10:29" ht="12.5">
      <c r="J1023" s="149"/>
      <c r="K1023" s="171">
        <f>MAX(K$827:K1022)+1</f>
        <v>197</v>
      </c>
      <c r="L1023" s="172">
        <f t="shared" si="126"/>
        <v>1</v>
      </c>
      <c r="M1023" s="152"/>
      <c r="N1023" s="153"/>
      <c r="O1023" s="153"/>
      <c r="P1023" s="153"/>
      <c r="Q1023" s="153"/>
      <c r="R1023" s="153"/>
      <c r="S1023" s="154">
        <f t="shared" si="127"/>
        <v>0</v>
      </c>
      <c r="T1023" s="153"/>
      <c r="U1023" s="169">
        <f t="shared" si="124"/>
        <v>0</v>
      </c>
      <c r="V1023" s="156"/>
      <c r="W1023" s="158"/>
      <c r="X1023" s="158"/>
      <c r="Y1023" s="158"/>
      <c r="Z1023" s="153"/>
      <c r="AA1023" s="159" t="s">
        <v>278</v>
      </c>
      <c r="AB1023" s="160"/>
      <c r="AC1023" s="157">
        <f t="shared" si="125"/>
        <v>0</v>
      </c>
    </row>
    <row r="1024" spans="10:29" ht="12.5">
      <c r="J1024" s="149"/>
      <c r="K1024" s="171">
        <f>MAX(K$827:K1023)+1</f>
        <v>198</v>
      </c>
      <c r="L1024" s="172">
        <f t="shared" si="126"/>
        <v>1</v>
      </c>
      <c r="M1024" s="152"/>
      <c r="N1024" s="153"/>
      <c r="O1024" s="153"/>
      <c r="P1024" s="153"/>
      <c r="Q1024" s="153"/>
      <c r="R1024" s="153"/>
      <c r="S1024" s="154">
        <f t="shared" si="127"/>
        <v>0</v>
      </c>
      <c r="T1024" s="153"/>
      <c r="U1024" s="169">
        <f t="shared" si="124"/>
        <v>0</v>
      </c>
      <c r="V1024" s="156"/>
      <c r="W1024" s="158"/>
      <c r="X1024" s="158"/>
      <c r="Y1024" s="158"/>
      <c r="Z1024" s="153"/>
      <c r="AA1024" s="159" t="s">
        <v>278</v>
      </c>
      <c r="AB1024" s="160"/>
      <c r="AC1024" s="157">
        <f t="shared" si="125"/>
        <v>0</v>
      </c>
    </row>
    <row r="1025" spans="10:30" ht="12.5">
      <c r="J1025" s="149"/>
      <c r="K1025" s="171">
        <f>MAX(K$827:K1024)+1</f>
        <v>199</v>
      </c>
      <c r="L1025" s="172">
        <f t="shared" si="126"/>
        <v>1</v>
      </c>
      <c r="M1025" s="152"/>
      <c r="N1025" s="153"/>
      <c r="O1025" s="153"/>
      <c r="P1025" s="153"/>
      <c r="Q1025" s="153"/>
      <c r="R1025" s="153"/>
      <c r="S1025" s="154">
        <f t="shared" si="127"/>
        <v>0</v>
      </c>
      <c r="T1025" s="153"/>
      <c r="U1025" s="169">
        <f t="shared" si="124"/>
        <v>0</v>
      </c>
      <c r="V1025" s="156"/>
      <c r="W1025" s="158"/>
      <c r="X1025" s="158"/>
      <c r="Y1025" s="158"/>
      <c r="Z1025" s="153"/>
      <c r="AA1025" s="159" t="s">
        <v>278</v>
      </c>
      <c r="AB1025" s="160"/>
      <c r="AC1025" s="157">
        <f t="shared" si="125"/>
        <v>0</v>
      </c>
    </row>
    <row r="1026" spans="10:30" ht="12.5">
      <c r="J1026" s="149"/>
      <c r="K1026" s="171">
        <f>MAX(K$827:K1025)+1</f>
        <v>200</v>
      </c>
      <c r="L1026" s="172">
        <f t="shared" si="126"/>
        <v>1</v>
      </c>
      <c r="M1026" s="152"/>
      <c r="N1026" s="153"/>
      <c r="O1026" s="153"/>
      <c r="P1026" s="153"/>
      <c r="Q1026" s="153"/>
      <c r="R1026" s="153"/>
      <c r="S1026" s="154">
        <f t="shared" si="127"/>
        <v>0</v>
      </c>
      <c r="T1026" s="153"/>
      <c r="U1026" s="169">
        <f t="shared" si="124"/>
        <v>0</v>
      </c>
      <c r="V1026" s="156"/>
      <c r="W1026" s="158"/>
      <c r="X1026" s="158"/>
      <c r="Y1026" s="158"/>
      <c r="Z1026" s="153"/>
      <c r="AA1026" s="159" t="s">
        <v>278</v>
      </c>
      <c r="AB1026" s="160"/>
      <c r="AC1026" s="157">
        <f t="shared" si="125"/>
        <v>0</v>
      </c>
    </row>
    <row r="1027" spans="10:30" ht="12.5" hidden="1">
      <c r="J1027" s="149"/>
      <c r="K1027" s="171">
        <f>MAX(K$827:K1026)+1</f>
        <v>201</v>
      </c>
      <c r="L1027" s="172">
        <f t="shared" si="126"/>
        <v>1</v>
      </c>
      <c r="M1027" s="152" t="s">
        <v>325</v>
      </c>
      <c r="N1027" s="153"/>
      <c r="O1027" s="153"/>
      <c r="P1027" s="153"/>
      <c r="Q1027" s="153"/>
      <c r="R1027" s="153"/>
      <c r="S1027" s="154">
        <f t="shared" si="127"/>
        <v>0</v>
      </c>
      <c r="T1027" s="153"/>
      <c r="U1027" s="169">
        <f t="shared" si="124"/>
        <v>0</v>
      </c>
      <c r="V1027" s="156"/>
      <c r="W1027" s="158"/>
      <c r="X1027" s="158"/>
      <c r="Y1027" s="158"/>
      <c r="Z1027" s="153"/>
      <c r="AA1027" s="159" t="s">
        <v>278</v>
      </c>
      <c r="AB1027" s="160"/>
      <c r="AC1027" s="157">
        <f t="shared" si="125"/>
        <v>0</v>
      </c>
    </row>
    <row r="1028" spans="10:30" ht="12.5" hidden="1">
      <c r="J1028" s="149"/>
      <c r="K1028" s="171">
        <f>MAX(K$827:K1027)+1</f>
        <v>202</v>
      </c>
      <c r="L1028" s="172">
        <f t="shared" si="126"/>
        <v>1</v>
      </c>
      <c r="M1028" s="152" t="s">
        <v>326</v>
      </c>
      <c r="N1028" s="153"/>
      <c r="O1028" s="153"/>
      <c r="P1028" s="153"/>
      <c r="Q1028" s="153"/>
      <c r="R1028" s="153"/>
      <c r="S1028" s="154">
        <f t="shared" si="127"/>
        <v>0</v>
      </c>
      <c r="T1028" s="153"/>
      <c r="U1028" s="169">
        <f t="shared" si="124"/>
        <v>0</v>
      </c>
      <c r="V1028" s="156"/>
      <c r="W1028" s="158"/>
      <c r="X1028" s="158"/>
      <c r="Y1028" s="158"/>
      <c r="Z1028" s="153"/>
      <c r="AA1028" s="159" t="s">
        <v>278</v>
      </c>
      <c r="AB1028" s="160"/>
      <c r="AC1028" s="157">
        <f t="shared" si="125"/>
        <v>0</v>
      </c>
    </row>
    <row r="1029" spans="10:30" ht="12.5" hidden="1">
      <c r="J1029" s="149"/>
      <c r="K1029" s="171">
        <f>MAX(K$827:K1028)+1</f>
        <v>203</v>
      </c>
      <c r="L1029" s="172">
        <f t="shared" si="126"/>
        <v>1</v>
      </c>
      <c r="M1029" s="152" t="s">
        <v>327</v>
      </c>
      <c r="N1029" s="153"/>
      <c r="O1029" s="153"/>
      <c r="P1029" s="153"/>
      <c r="Q1029" s="153"/>
      <c r="R1029" s="153"/>
      <c r="S1029" s="154">
        <f t="shared" si="127"/>
        <v>0</v>
      </c>
      <c r="T1029" s="153"/>
      <c r="U1029" s="169">
        <f t="shared" si="124"/>
        <v>0</v>
      </c>
      <c r="V1029" s="156"/>
      <c r="W1029" s="158"/>
      <c r="X1029" s="158"/>
      <c r="Y1029" s="158"/>
      <c r="Z1029" s="153"/>
      <c r="AA1029" s="159" t="s">
        <v>278</v>
      </c>
      <c r="AB1029" s="160"/>
      <c r="AC1029" s="157">
        <f t="shared" si="125"/>
        <v>0</v>
      </c>
    </row>
    <row r="1030" spans="10:30" ht="12.5" hidden="1">
      <c r="J1030" s="149"/>
      <c r="K1030" s="171">
        <f>MAX(K$827:K1029)+1</f>
        <v>204</v>
      </c>
      <c r="L1030" s="172">
        <f t="shared" si="126"/>
        <v>1</v>
      </c>
      <c r="M1030" s="152" t="s">
        <v>328</v>
      </c>
      <c r="N1030" s="153"/>
      <c r="O1030" s="153"/>
      <c r="P1030" s="153"/>
      <c r="Q1030" s="153"/>
      <c r="R1030" s="153"/>
      <c r="S1030" s="154">
        <f t="shared" si="127"/>
        <v>0</v>
      </c>
      <c r="T1030" s="153"/>
      <c r="U1030" s="169">
        <f t="shared" si="124"/>
        <v>0</v>
      </c>
      <c r="V1030" s="156"/>
      <c r="W1030" s="158"/>
      <c r="X1030" s="158"/>
      <c r="Y1030" s="158"/>
      <c r="Z1030" s="153"/>
      <c r="AA1030" s="159" t="s">
        <v>278</v>
      </c>
      <c r="AB1030" s="160"/>
      <c r="AC1030" s="157">
        <f t="shared" si="125"/>
        <v>0</v>
      </c>
    </row>
    <row r="1031" spans="10:30" ht="12.5" hidden="1">
      <c r="J1031" s="149"/>
      <c r="K1031" s="171">
        <f>MAX(K$827:K1030)+1</f>
        <v>205</v>
      </c>
      <c r="L1031" s="172">
        <f t="shared" si="126"/>
        <v>1</v>
      </c>
      <c r="M1031" s="152" t="s">
        <v>329</v>
      </c>
      <c r="N1031" s="153"/>
      <c r="O1031" s="153"/>
      <c r="P1031" s="153"/>
      <c r="Q1031" s="153"/>
      <c r="R1031" s="153"/>
      <c r="S1031" s="154">
        <f t="shared" si="127"/>
        <v>0</v>
      </c>
      <c r="T1031" s="153"/>
      <c r="U1031" s="169">
        <f t="shared" si="124"/>
        <v>0</v>
      </c>
      <c r="V1031" s="156"/>
      <c r="W1031" s="158"/>
      <c r="X1031" s="158"/>
      <c r="Y1031" s="158"/>
      <c r="Z1031" s="153"/>
      <c r="AA1031" s="159" t="s">
        <v>278</v>
      </c>
      <c r="AB1031" s="160"/>
      <c r="AC1031" s="157">
        <f t="shared" si="125"/>
        <v>0</v>
      </c>
    </row>
    <row r="1032" spans="10:30" ht="12.5" hidden="1">
      <c r="J1032" s="149"/>
      <c r="K1032" s="171">
        <f>MAX(K$827:K1031)+1</f>
        <v>206</v>
      </c>
      <c r="L1032" s="172">
        <f t="shared" si="126"/>
        <v>1</v>
      </c>
      <c r="M1032" s="152" t="s">
        <v>330</v>
      </c>
      <c r="N1032" s="153"/>
      <c r="O1032" s="153"/>
      <c r="P1032" s="153"/>
      <c r="Q1032" s="153"/>
      <c r="R1032" s="153"/>
      <c r="S1032" s="154">
        <f t="shared" si="127"/>
        <v>0</v>
      </c>
      <c r="T1032" s="153"/>
      <c r="U1032" s="169">
        <f t="shared" si="124"/>
        <v>0</v>
      </c>
      <c r="V1032" s="156"/>
      <c r="W1032" s="158"/>
      <c r="X1032" s="158"/>
      <c r="Y1032" s="158"/>
      <c r="Z1032" s="153"/>
      <c r="AA1032" s="159" t="s">
        <v>278</v>
      </c>
      <c r="AB1032" s="160"/>
      <c r="AC1032" s="157">
        <f t="shared" si="125"/>
        <v>0</v>
      </c>
    </row>
    <row r="1033" spans="10:30" ht="12.5" hidden="1">
      <c r="J1033" s="149"/>
      <c r="K1033" s="171">
        <f>MAX(K$827:K1032)+1</f>
        <v>207</v>
      </c>
      <c r="L1033" s="172">
        <f t="shared" si="126"/>
        <v>1</v>
      </c>
      <c r="M1033" s="152" t="s">
        <v>331</v>
      </c>
      <c r="N1033" s="153"/>
      <c r="O1033" s="153"/>
      <c r="P1033" s="153"/>
      <c r="Q1033" s="153"/>
      <c r="R1033" s="153"/>
      <c r="S1033" s="154">
        <f t="shared" si="127"/>
        <v>0</v>
      </c>
      <c r="T1033" s="153"/>
      <c r="U1033" s="169">
        <f t="shared" si="124"/>
        <v>0</v>
      </c>
      <c r="V1033" s="156"/>
      <c r="W1033" s="158"/>
      <c r="X1033" s="158"/>
      <c r="Y1033" s="158"/>
      <c r="Z1033" s="153"/>
      <c r="AA1033" s="159" t="s">
        <v>278</v>
      </c>
      <c r="AB1033" s="160"/>
      <c r="AC1033" s="157">
        <f t="shared" si="125"/>
        <v>0</v>
      </c>
    </row>
    <row r="1034" spans="10:30" ht="12.5" hidden="1">
      <c r="J1034" s="149"/>
      <c r="K1034" s="171">
        <f>MAX(K$827:K1033)+1</f>
        <v>208</v>
      </c>
      <c r="L1034" s="172">
        <f t="shared" si="126"/>
        <v>1</v>
      </c>
      <c r="M1034" s="152" t="s">
        <v>332</v>
      </c>
      <c r="N1034" s="153"/>
      <c r="O1034" s="153"/>
      <c r="P1034" s="153"/>
      <c r="Q1034" s="153"/>
      <c r="R1034" s="153"/>
      <c r="S1034" s="154">
        <f t="shared" si="127"/>
        <v>0</v>
      </c>
      <c r="T1034" s="153"/>
      <c r="U1034" s="169">
        <f t="shared" si="124"/>
        <v>0</v>
      </c>
      <c r="V1034" s="156"/>
      <c r="W1034" s="158"/>
      <c r="X1034" s="158"/>
      <c r="Y1034" s="158"/>
      <c r="Z1034" s="153"/>
      <c r="AA1034" s="159" t="s">
        <v>278</v>
      </c>
      <c r="AB1034" s="160"/>
      <c r="AC1034" s="157">
        <f t="shared" si="125"/>
        <v>0</v>
      </c>
    </row>
    <row r="1035" spans="10:30" ht="12.5" hidden="1">
      <c r="J1035" s="149"/>
      <c r="K1035" s="171">
        <f>MAX(K$827:K1034)+1</f>
        <v>209</v>
      </c>
      <c r="L1035" s="172">
        <f t="shared" si="126"/>
        <v>1</v>
      </c>
      <c r="M1035" s="152" t="s">
        <v>333</v>
      </c>
      <c r="N1035" s="153"/>
      <c r="O1035" s="153"/>
      <c r="P1035" s="153"/>
      <c r="Q1035" s="153"/>
      <c r="R1035" s="153"/>
      <c r="S1035" s="154">
        <f t="shared" si="127"/>
        <v>0</v>
      </c>
      <c r="T1035" s="153"/>
      <c r="U1035" s="169">
        <f t="shared" si="124"/>
        <v>0</v>
      </c>
      <c r="V1035" s="156"/>
      <c r="W1035" s="158"/>
      <c r="X1035" s="158"/>
      <c r="Y1035" s="158"/>
      <c r="Z1035" s="153"/>
      <c r="AA1035" s="159" t="s">
        <v>278</v>
      </c>
      <c r="AB1035" s="160"/>
      <c r="AC1035" s="157">
        <f t="shared" si="125"/>
        <v>0</v>
      </c>
    </row>
    <row r="1036" spans="10:30" ht="12.5" hidden="1">
      <c r="J1036" s="149"/>
      <c r="K1036" s="171">
        <f>MAX(K$827:K1035)+1</f>
        <v>210</v>
      </c>
      <c r="L1036" s="172">
        <f t="shared" si="126"/>
        <v>1</v>
      </c>
      <c r="M1036" s="152" t="s">
        <v>334</v>
      </c>
      <c r="N1036" s="153"/>
      <c r="O1036" s="153"/>
      <c r="P1036" s="153"/>
      <c r="Q1036" s="153"/>
      <c r="R1036" s="153"/>
      <c r="S1036" s="154">
        <f t="shared" si="127"/>
        <v>0</v>
      </c>
      <c r="T1036" s="153"/>
      <c r="U1036" s="169">
        <f t="shared" si="124"/>
        <v>0</v>
      </c>
      <c r="V1036" s="156"/>
      <c r="W1036" s="158"/>
      <c r="X1036" s="158"/>
      <c r="Y1036" s="158"/>
      <c r="Z1036" s="153"/>
      <c r="AA1036" s="159" t="s">
        <v>278</v>
      </c>
      <c r="AB1036" s="160"/>
      <c r="AC1036" s="157">
        <f t="shared" si="125"/>
        <v>0</v>
      </c>
    </row>
    <row r="1037" spans="10:30" ht="12.5" hidden="1">
      <c r="J1037" s="149"/>
      <c r="K1037" s="171">
        <f>MAX(K$827:K1036)+1</f>
        <v>211</v>
      </c>
      <c r="L1037" s="172">
        <f t="shared" si="126"/>
        <v>1</v>
      </c>
      <c r="M1037" s="152" t="s">
        <v>335</v>
      </c>
      <c r="N1037" s="153"/>
      <c r="O1037" s="153"/>
      <c r="P1037" s="153"/>
      <c r="Q1037" s="153"/>
      <c r="R1037" s="153"/>
      <c r="S1037" s="154">
        <f t="shared" si="127"/>
        <v>0</v>
      </c>
      <c r="T1037" s="153"/>
      <c r="U1037" s="169">
        <f t="shared" si="124"/>
        <v>0</v>
      </c>
      <c r="V1037" s="156"/>
      <c r="W1037" s="158"/>
      <c r="X1037" s="158"/>
      <c r="Y1037" s="158"/>
      <c r="Z1037" s="153"/>
      <c r="AA1037" s="159" t="s">
        <v>278</v>
      </c>
      <c r="AB1037" s="160"/>
      <c r="AC1037" s="157">
        <f t="shared" si="125"/>
        <v>0</v>
      </c>
      <c r="AD1037" s="131"/>
    </row>
    <row r="1038" spans="10:30" ht="12.5" hidden="1">
      <c r="J1038" s="149"/>
      <c r="K1038" s="171">
        <f>MAX(K$827:K1037)+1</f>
        <v>212</v>
      </c>
      <c r="L1038" s="172">
        <f t="shared" si="126"/>
        <v>1</v>
      </c>
      <c r="M1038" s="152" t="s">
        <v>336</v>
      </c>
      <c r="N1038" s="153"/>
      <c r="O1038" s="153"/>
      <c r="P1038" s="153"/>
      <c r="Q1038" s="153"/>
      <c r="R1038" s="153"/>
      <c r="S1038" s="154">
        <f t="shared" si="127"/>
        <v>0</v>
      </c>
      <c r="T1038" s="153"/>
      <c r="U1038" s="169">
        <f t="shared" si="124"/>
        <v>0</v>
      </c>
      <c r="V1038" s="156"/>
      <c r="W1038" s="158"/>
      <c r="X1038" s="158"/>
      <c r="Y1038" s="158"/>
      <c r="Z1038" s="153"/>
      <c r="AA1038" s="159" t="s">
        <v>278</v>
      </c>
      <c r="AB1038" s="160"/>
      <c r="AC1038" s="157">
        <f t="shared" si="125"/>
        <v>0</v>
      </c>
    </row>
    <row r="1039" spans="10:30" ht="12.5" hidden="1">
      <c r="J1039" s="149"/>
      <c r="K1039" s="171">
        <f>MAX(K$827:K1038)+1</f>
        <v>213</v>
      </c>
      <c r="L1039" s="172">
        <f t="shared" si="126"/>
        <v>1</v>
      </c>
      <c r="M1039" s="152" t="s">
        <v>337</v>
      </c>
      <c r="N1039" s="153"/>
      <c r="O1039" s="153"/>
      <c r="P1039" s="153"/>
      <c r="Q1039" s="153"/>
      <c r="R1039" s="153"/>
      <c r="S1039" s="154">
        <f t="shared" si="127"/>
        <v>0</v>
      </c>
      <c r="T1039" s="153"/>
      <c r="U1039" s="169">
        <f t="shared" si="124"/>
        <v>0</v>
      </c>
      <c r="V1039" s="156"/>
      <c r="W1039" s="158"/>
      <c r="X1039" s="158"/>
      <c r="Y1039" s="158"/>
      <c r="Z1039" s="153"/>
      <c r="AA1039" s="159" t="s">
        <v>278</v>
      </c>
      <c r="AB1039" s="160"/>
      <c r="AC1039" s="157">
        <f t="shared" si="125"/>
        <v>0</v>
      </c>
    </row>
    <row r="1040" spans="10:30" ht="12.5" hidden="1">
      <c r="J1040" s="149"/>
      <c r="K1040" s="171">
        <f>MAX(K$827:K1039)+1</f>
        <v>214</v>
      </c>
      <c r="L1040" s="172">
        <f t="shared" si="126"/>
        <v>1</v>
      </c>
      <c r="M1040" s="152" t="s">
        <v>338</v>
      </c>
      <c r="N1040" s="153"/>
      <c r="O1040" s="153"/>
      <c r="P1040" s="153"/>
      <c r="Q1040" s="153"/>
      <c r="R1040" s="153"/>
      <c r="S1040" s="154">
        <f t="shared" si="127"/>
        <v>0</v>
      </c>
      <c r="T1040" s="153"/>
      <c r="U1040" s="169">
        <f t="shared" si="124"/>
        <v>0</v>
      </c>
      <c r="V1040" s="156"/>
      <c r="W1040" s="158"/>
      <c r="X1040" s="158"/>
      <c r="Y1040" s="158"/>
      <c r="Z1040" s="153"/>
      <c r="AA1040" s="159" t="s">
        <v>278</v>
      </c>
      <c r="AB1040" s="160"/>
      <c r="AC1040" s="157">
        <f t="shared" si="125"/>
        <v>0</v>
      </c>
    </row>
    <row r="1041" spans="10:29" ht="12.5" hidden="1">
      <c r="J1041" s="149"/>
      <c r="K1041" s="171">
        <f>MAX(K$827:K1040)+1</f>
        <v>215</v>
      </c>
      <c r="L1041" s="172">
        <f t="shared" si="126"/>
        <v>1</v>
      </c>
      <c r="M1041" s="152" t="s">
        <v>339</v>
      </c>
      <c r="N1041" s="153"/>
      <c r="O1041" s="153"/>
      <c r="P1041" s="153"/>
      <c r="Q1041" s="153"/>
      <c r="R1041" s="153"/>
      <c r="S1041" s="154">
        <f t="shared" si="127"/>
        <v>0</v>
      </c>
      <c r="T1041" s="153"/>
      <c r="U1041" s="169">
        <f t="shared" si="124"/>
        <v>0</v>
      </c>
      <c r="V1041" s="156"/>
      <c r="W1041" s="158"/>
      <c r="X1041" s="158"/>
      <c r="Y1041" s="158"/>
      <c r="Z1041" s="153"/>
      <c r="AA1041" s="159" t="s">
        <v>278</v>
      </c>
      <c r="AB1041" s="160"/>
      <c r="AC1041" s="157">
        <f t="shared" si="125"/>
        <v>0</v>
      </c>
    </row>
    <row r="1042" spans="10:29" ht="12.5" hidden="1">
      <c r="J1042" s="149"/>
      <c r="K1042" s="171">
        <f>MAX(K$827:K1041)+1</f>
        <v>216</v>
      </c>
      <c r="L1042" s="172">
        <f t="shared" si="126"/>
        <v>1</v>
      </c>
      <c r="M1042" s="152" t="s">
        <v>340</v>
      </c>
      <c r="N1042" s="153"/>
      <c r="O1042" s="153"/>
      <c r="P1042" s="153"/>
      <c r="Q1042" s="153"/>
      <c r="R1042" s="153"/>
      <c r="S1042" s="154">
        <f t="shared" si="127"/>
        <v>0</v>
      </c>
      <c r="T1042" s="153"/>
      <c r="U1042" s="169">
        <f t="shared" si="124"/>
        <v>0</v>
      </c>
      <c r="V1042" s="156"/>
      <c r="W1042" s="158"/>
      <c r="X1042" s="158"/>
      <c r="Y1042" s="158"/>
      <c r="Z1042" s="153"/>
      <c r="AA1042" s="159" t="s">
        <v>278</v>
      </c>
      <c r="AB1042" s="160"/>
      <c r="AC1042" s="157">
        <f t="shared" si="125"/>
        <v>0</v>
      </c>
    </row>
    <row r="1043" spans="10:29" ht="12.5" hidden="1">
      <c r="J1043" s="149"/>
      <c r="K1043" s="171">
        <f>MAX(K$827:K1042)+1</f>
        <v>217</v>
      </c>
      <c r="L1043" s="172">
        <f t="shared" si="126"/>
        <v>1</v>
      </c>
      <c r="M1043" s="152" t="s">
        <v>341</v>
      </c>
      <c r="N1043" s="153"/>
      <c r="O1043" s="153"/>
      <c r="P1043" s="153"/>
      <c r="Q1043" s="153"/>
      <c r="R1043" s="153"/>
      <c r="S1043" s="154">
        <f t="shared" si="127"/>
        <v>0</v>
      </c>
      <c r="T1043" s="153"/>
      <c r="U1043" s="169">
        <f t="shared" si="124"/>
        <v>0</v>
      </c>
      <c r="V1043" s="156"/>
      <c r="W1043" s="158"/>
      <c r="X1043" s="158"/>
      <c r="Y1043" s="158"/>
      <c r="Z1043" s="153"/>
      <c r="AA1043" s="159" t="s">
        <v>278</v>
      </c>
      <c r="AB1043" s="160"/>
      <c r="AC1043" s="157">
        <f t="shared" si="125"/>
        <v>0</v>
      </c>
    </row>
    <row r="1044" spans="10:29" ht="12.5" hidden="1">
      <c r="J1044" s="149"/>
      <c r="K1044" s="171">
        <f>MAX(K$827:K1043)+1</f>
        <v>218</v>
      </c>
      <c r="L1044" s="172">
        <f t="shared" si="126"/>
        <v>1</v>
      </c>
      <c r="M1044" s="152" t="s">
        <v>342</v>
      </c>
      <c r="N1044" s="153"/>
      <c r="O1044" s="153"/>
      <c r="P1044" s="153"/>
      <c r="Q1044" s="153"/>
      <c r="R1044" s="153"/>
      <c r="S1044" s="154">
        <f t="shared" si="127"/>
        <v>0</v>
      </c>
      <c r="T1044" s="153"/>
      <c r="U1044" s="169">
        <f t="shared" si="124"/>
        <v>0</v>
      </c>
      <c r="V1044" s="156"/>
      <c r="W1044" s="158"/>
      <c r="X1044" s="158"/>
      <c r="Y1044" s="158"/>
      <c r="Z1044" s="153"/>
      <c r="AA1044" s="159" t="s">
        <v>278</v>
      </c>
      <c r="AB1044" s="160"/>
      <c r="AC1044" s="157">
        <f t="shared" si="125"/>
        <v>0</v>
      </c>
    </row>
    <row r="1045" spans="10:29" ht="12.5" hidden="1">
      <c r="J1045" s="149"/>
      <c r="K1045" s="171">
        <f>MAX(K$827:K1044)+1</f>
        <v>219</v>
      </c>
      <c r="L1045" s="172">
        <f t="shared" si="126"/>
        <v>1</v>
      </c>
      <c r="M1045" s="152" t="s">
        <v>343</v>
      </c>
      <c r="N1045" s="153"/>
      <c r="O1045" s="153"/>
      <c r="P1045" s="153"/>
      <c r="Q1045" s="153"/>
      <c r="R1045" s="153"/>
      <c r="S1045" s="154">
        <f t="shared" si="127"/>
        <v>0</v>
      </c>
      <c r="T1045" s="153"/>
      <c r="U1045" s="169">
        <f t="shared" ref="U1045:U1108" si="128">T1045+S1045</f>
        <v>0</v>
      </c>
      <c r="V1045" s="156"/>
      <c r="W1045" s="158"/>
      <c r="X1045" s="158"/>
      <c r="Y1045" s="158"/>
      <c r="Z1045" s="153"/>
      <c r="AA1045" s="159" t="s">
        <v>278</v>
      </c>
      <c r="AB1045" s="160"/>
      <c r="AC1045" s="157">
        <f t="shared" si="125"/>
        <v>0</v>
      </c>
    </row>
    <row r="1046" spans="10:29" ht="12.5" hidden="1">
      <c r="J1046" s="149"/>
      <c r="K1046" s="171">
        <f>MAX(K$827:K1045)+1</f>
        <v>220</v>
      </c>
      <c r="L1046" s="172">
        <f t="shared" si="126"/>
        <v>1</v>
      </c>
      <c r="M1046" s="152" t="s">
        <v>344</v>
      </c>
      <c r="N1046" s="153"/>
      <c r="O1046" s="153"/>
      <c r="P1046" s="153"/>
      <c r="Q1046" s="153"/>
      <c r="R1046" s="153"/>
      <c r="S1046" s="154">
        <f t="shared" si="127"/>
        <v>0</v>
      </c>
      <c r="T1046" s="153"/>
      <c r="U1046" s="169">
        <f t="shared" si="128"/>
        <v>0</v>
      </c>
      <c r="V1046" s="156"/>
      <c r="W1046" s="158"/>
      <c r="X1046" s="158"/>
      <c r="Y1046" s="158"/>
      <c r="Z1046" s="153"/>
      <c r="AA1046" s="159" t="s">
        <v>278</v>
      </c>
      <c r="AB1046" s="160"/>
      <c r="AC1046" s="157">
        <f t="shared" si="125"/>
        <v>0</v>
      </c>
    </row>
    <row r="1047" spans="10:29" ht="12.5" hidden="1">
      <c r="J1047" s="149"/>
      <c r="K1047" s="171">
        <f>MAX(K$827:K1046)+1</f>
        <v>221</v>
      </c>
      <c r="L1047" s="172">
        <f t="shared" si="126"/>
        <v>1</v>
      </c>
      <c r="M1047" s="152" t="s">
        <v>345</v>
      </c>
      <c r="N1047" s="153"/>
      <c r="O1047" s="153"/>
      <c r="P1047" s="153"/>
      <c r="Q1047" s="153"/>
      <c r="R1047" s="153"/>
      <c r="S1047" s="154">
        <f t="shared" si="127"/>
        <v>0</v>
      </c>
      <c r="T1047" s="153"/>
      <c r="U1047" s="169">
        <f t="shared" si="128"/>
        <v>0</v>
      </c>
      <c r="V1047" s="156"/>
      <c r="W1047" s="158"/>
      <c r="X1047" s="158"/>
      <c r="Y1047" s="158"/>
      <c r="Z1047" s="153"/>
      <c r="AA1047" s="159" t="s">
        <v>278</v>
      </c>
      <c r="AB1047" s="160"/>
      <c r="AC1047" s="157">
        <f t="shared" si="125"/>
        <v>0</v>
      </c>
    </row>
    <row r="1048" spans="10:29" ht="12.5" hidden="1">
      <c r="J1048" s="149"/>
      <c r="K1048" s="171">
        <f>MAX(K$827:K1047)+1</f>
        <v>222</v>
      </c>
      <c r="L1048" s="172">
        <f t="shared" si="126"/>
        <v>1</v>
      </c>
      <c r="M1048" s="152" t="s">
        <v>346</v>
      </c>
      <c r="N1048" s="153"/>
      <c r="O1048" s="153"/>
      <c r="P1048" s="153"/>
      <c r="Q1048" s="153"/>
      <c r="R1048" s="153"/>
      <c r="S1048" s="154">
        <f t="shared" si="127"/>
        <v>0</v>
      </c>
      <c r="T1048" s="153"/>
      <c r="U1048" s="169">
        <f t="shared" si="128"/>
        <v>0</v>
      </c>
      <c r="V1048" s="156"/>
      <c r="W1048" s="158"/>
      <c r="X1048" s="158"/>
      <c r="Y1048" s="158"/>
      <c r="Z1048" s="153"/>
      <c r="AA1048" s="159" t="s">
        <v>278</v>
      </c>
      <c r="AB1048" s="160"/>
      <c r="AC1048" s="157">
        <f t="shared" si="125"/>
        <v>0</v>
      </c>
    </row>
    <row r="1049" spans="10:29" ht="12.5" hidden="1">
      <c r="J1049" s="149"/>
      <c r="K1049" s="171">
        <f>MAX(K$827:K1048)+1</f>
        <v>223</v>
      </c>
      <c r="L1049" s="172">
        <f t="shared" si="126"/>
        <v>1</v>
      </c>
      <c r="M1049" s="152" t="s">
        <v>347</v>
      </c>
      <c r="N1049" s="153"/>
      <c r="O1049" s="153"/>
      <c r="P1049" s="153"/>
      <c r="Q1049" s="153"/>
      <c r="R1049" s="153"/>
      <c r="S1049" s="154">
        <f t="shared" si="127"/>
        <v>0</v>
      </c>
      <c r="T1049" s="153"/>
      <c r="U1049" s="169">
        <f t="shared" si="128"/>
        <v>0</v>
      </c>
      <c r="V1049" s="156"/>
      <c r="W1049" s="158"/>
      <c r="X1049" s="158"/>
      <c r="Y1049" s="158"/>
      <c r="Z1049" s="153"/>
      <c r="AA1049" s="159" t="s">
        <v>278</v>
      </c>
      <c r="AB1049" s="160"/>
      <c r="AC1049" s="157">
        <f t="shared" si="125"/>
        <v>0</v>
      </c>
    </row>
    <row r="1050" spans="10:29" ht="12.5" hidden="1">
      <c r="J1050" s="149"/>
      <c r="K1050" s="171">
        <f>MAX(K$827:K1049)+1</f>
        <v>224</v>
      </c>
      <c r="L1050" s="172">
        <f t="shared" si="126"/>
        <v>1</v>
      </c>
      <c r="M1050" s="152" t="s">
        <v>348</v>
      </c>
      <c r="N1050" s="153"/>
      <c r="O1050" s="153"/>
      <c r="P1050" s="153"/>
      <c r="Q1050" s="153"/>
      <c r="R1050" s="153"/>
      <c r="S1050" s="154">
        <f t="shared" si="127"/>
        <v>0</v>
      </c>
      <c r="T1050" s="153"/>
      <c r="U1050" s="169">
        <f t="shared" si="128"/>
        <v>0</v>
      </c>
      <c r="V1050" s="156"/>
      <c r="W1050" s="158"/>
      <c r="X1050" s="158"/>
      <c r="Y1050" s="158"/>
      <c r="Z1050" s="153"/>
      <c r="AA1050" s="159" t="s">
        <v>278</v>
      </c>
      <c r="AB1050" s="160"/>
      <c r="AC1050" s="157">
        <f t="shared" si="125"/>
        <v>0</v>
      </c>
    </row>
    <row r="1051" spans="10:29" ht="12.5" hidden="1">
      <c r="J1051" s="149"/>
      <c r="K1051" s="171">
        <f>MAX(K$827:K1050)+1</f>
        <v>225</v>
      </c>
      <c r="L1051" s="172">
        <f t="shared" si="126"/>
        <v>1</v>
      </c>
      <c r="M1051" s="152" t="s">
        <v>349</v>
      </c>
      <c r="N1051" s="153"/>
      <c r="O1051" s="153"/>
      <c r="P1051" s="153"/>
      <c r="Q1051" s="153"/>
      <c r="R1051" s="153"/>
      <c r="S1051" s="154">
        <f t="shared" si="127"/>
        <v>0</v>
      </c>
      <c r="T1051" s="153"/>
      <c r="U1051" s="169">
        <f t="shared" si="128"/>
        <v>0</v>
      </c>
      <c r="V1051" s="156"/>
      <c r="W1051" s="158"/>
      <c r="X1051" s="158"/>
      <c r="Y1051" s="158"/>
      <c r="Z1051" s="153"/>
      <c r="AA1051" s="159" t="s">
        <v>278</v>
      </c>
      <c r="AB1051" s="160"/>
      <c r="AC1051" s="157">
        <f t="shared" si="125"/>
        <v>0</v>
      </c>
    </row>
    <row r="1052" spans="10:29" ht="12.5" hidden="1">
      <c r="J1052" s="149"/>
      <c r="K1052" s="171">
        <f>MAX(K$827:K1051)+1</f>
        <v>226</v>
      </c>
      <c r="L1052" s="172">
        <f t="shared" si="126"/>
        <v>1</v>
      </c>
      <c r="M1052" s="152" t="s">
        <v>350</v>
      </c>
      <c r="N1052" s="153"/>
      <c r="O1052" s="153"/>
      <c r="P1052" s="153"/>
      <c r="Q1052" s="153"/>
      <c r="R1052" s="153"/>
      <c r="S1052" s="154">
        <f t="shared" si="127"/>
        <v>0</v>
      </c>
      <c r="T1052" s="153"/>
      <c r="U1052" s="169">
        <f t="shared" si="128"/>
        <v>0</v>
      </c>
      <c r="V1052" s="156"/>
      <c r="W1052" s="158"/>
      <c r="X1052" s="158"/>
      <c r="Y1052" s="158"/>
      <c r="Z1052" s="153"/>
      <c r="AA1052" s="159" t="s">
        <v>278</v>
      </c>
      <c r="AB1052" s="160"/>
      <c r="AC1052" s="157">
        <f t="shared" si="125"/>
        <v>0</v>
      </c>
    </row>
    <row r="1053" spans="10:29" ht="12.5" hidden="1">
      <c r="J1053" s="149"/>
      <c r="K1053" s="171">
        <f>MAX(K$827:K1052)+1</f>
        <v>227</v>
      </c>
      <c r="L1053" s="172">
        <f t="shared" si="126"/>
        <v>1</v>
      </c>
      <c r="M1053" s="152" t="s">
        <v>351</v>
      </c>
      <c r="N1053" s="153"/>
      <c r="O1053" s="153"/>
      <c r="P1053" s="153"/>
      <c r="Q1053" s="153"/>
      <c r="R1053" s="153"/>
      <c r="S1053" s="154">
        <f t="shared" si="127"/>
        <v>0</v>
      </c>
      <c r="T1053" s="153"/>
      <c r="U1053" s="169">
        <f t="shared" si="128"/>
        <v>0</v>
      </c>
      <c r="V1053" s="156"/>
      <c r="W1053" s="158"/>
      <c r="X1053" s="158"/>
      <c r="Y1053" s="158"/>
      <c r="Z1053" s="153"/>
      <c r="AA1053" s="159" t="s">
        <v>278</v>
      </c>
      <c r="AB1053" s="160"/>
      <c r="AC1053" s="157">
        <f t="shared" si="125"/>
        <v>0</v>
      </c>
    </row>
    <row r="1054" spans="10:29" ht="12.5" hidden="1">
      <c r="J1054" s="149"/>
      <c r="K1054" s="171">
        <f>MAX(K$827:K1053)+1</f>
        <v>228</v>
      </c>
      <c r="L1054" s="172">
        <f t="shared" si="126"/>
        <v>1</v>
      </c>
      <c r="M1054" s="152" t="s">
        <v>352</v>
      </c>
      <c r="N1054" s="153"/>
      <c r="O1054" s="153"/>
      <c r="P1054" s="153"/>
      <c r="Q1054" s="153"/>
      <c r="R1054" s="153"/>
      <c r="S1054" s="154">
        <f t="shared" si="127"/>
        <v>0</v>
      </c>
      <c r="T1054" s="153"/>
      <c r="U1054" s="169">
        <f t="shared" si="128"/>
        <v>0</v>
      </c>
      <c r="V1054" s="156"/>
      <c r="W1054" s="158"/>
      <c r="X1054" s="158"/>
      <c r="Y1054" s="158"/>
      <c r="Z1054" s="153"/>
      <c r="AA1054" s="159" t="s">
        <v>278</v>
      </c>
      <c r="AB1054" s="160"/>
      <c r="AC1054" s="157">
        <f t="shared" si="125"/>
        <v>0</v>
      </c>
    </row>
    <row r="1055" spans="10:29" ht="12.5" hidden="1">
      <c r="J1055" s="149"/>
      <c r="K1055" s="171">
        <f>MAX(K$827:K1054)+1</f>
        <v>229</v>
      </c>
      <c r="L1055" s="172">
        <f t="shared" si="126"/>
        <v>1</v>
      </c>
      <c r="M1055" s="152" t="s">
        <v>353</v>
      </c>
      <c r="N1055" s="153"/>
      <c r="O1055" s="153"/>
      <c r="P1055" s="153"/>
      <c r="Q1055" s="153"/>
      <c r="R1055" s="153"/>
      <c r="S1055" s="154">
        <f t="shared" si="127"/>
        <v>0</v>
      </c>
      <c r="T1055" s="153"/>
      <c r="U1055" s="169">
        <f t="shared" si="128"/>
        <v>0</v>
      </c>
      <c r="V1055" s="156"/>
      <c r="W1055" s="158"/>
      <c r="X1055" s="158"/>
      <c r="Y1055" s="158"/>
      <c r="Z1055" s="153"/>
      <c r="AA1055" s="159" t="s">
        <v>278</v>
      </c>
      <c r="AB1055" s="160"/>
      <c r="AC1055" s="157">
        <f t="shared" si="125"/>
        <v>0</v>
      </c>
    </row>
    <row r="1056" spans="10:29" ht="12.5" hidden="1">
      <c r="J1056" s="149"/>
      <c r="K1056" s="171">
        <f>MAX(K$827:K1055)+1</f>
        <v>230</v>
      </c>
      <c r="L1056" s="172">
        <f t="shared" si="126"/>
        <v>1</v>
      </c>
      <c r="M1056" s="152" t="s">
        <v>354</v>
      </c>
      <c r="N1056" s="153"/>
      <c r="O1056" s="153"/>
      <c r="P1056" s="153"/>
      <c r="Q1056" s="153"/>
      <c r="R1056" s="153"/>
      <c r="S1056" s="154">
        <f t="shared" si="127"/>
        <v>0</v>
      </c>
      <c r="T1056" s="153"/>
      <c r="U1056" s="169">
        <f t="shared" si="128"/>
        <v>0</v>
      </c>
      <c r="V1056" s="156"/>
      <c r="W1056" s="158"/>
      <c r="X1056" s="158"/>
      <c r="Y1056" s="158"/>
      <c r="Z1056" s="153"/>
      <c r="AA1056" s="159" t="s">
        <v>278</v>
      </c>
      <c r="AB1056" s="160"/>
      <c r="AC1056" s="157">
        <f t="shared" si="125"/>
        <v>0</v>
      </c>
    </row>
    <row r="1057" spans="10:29" ht="12.5" hidden="1">
      <c r="J1057" s="149"/>
      <c r="K1057" s="171">
        <f>MAX(K$827:K1056)+1</f>
        <v>231</v>
      </c>
      <c r="L1057" s="172">
        <f t="shared" si="126"/>
        <v>1</v>
      </c>
      <c r="M1057" s="152" t="s">
        <v>355</v>
      </c>
      <c r="N1057" s="153"/>
      <c r="O1057" s="153"/>
      <c r="P1057" s="153"/>
      <c r="Q1057" s="153"/>
      <c r="R1057" s="153"/>
      <c r="S1057" s="154">
        <f t="shared" si="127"/>
        <v>0</v>
      </c>
      <c r="T1057" s="153"/>
      <c r="U1057" s="169">
        <f t="shared" si="128"/>
        <v>0</v>
      </c>
      <c r="V1057" s="156"/>
      <c r="W1057" s="158"/>
      <c r="X1057" s="158"/>
      <c r="Y1057" s="158"/>
      <c r="Z1057" s="153"/>
      <c r="AA1057" s="159" t="s">
        <v>278</v>
      </c>
      <c r="AB1057" s="160"/>
      <c r="AC1057" s="157">
        <f t="shared" si="125"/>
        <v>0</v>
      </c>
    </row>
    <row r="1058" spans="10:29" ht="12.5" hidden="1">
      <c r="J1058" s="149"/>
      <c r="K1058" s="171">
        <f>MAX(K$827:K1057)+1</f>
        <v>232</v>
      </c>
      <c r="L1058" s="172">
        <f t="shared" si="126"/>
        <v>1</v>
      </c>
      <c r="M1058" s="152" t="s">
        <v>356</v>
      </c>
      <c r="N1058" s="153"/>
      <c r="O1058" s="153"/>
      <c r="P1058" s="153"/>
      <c r="Q1058" s="153"/>
      <c r="R1058" s="153"/>
      <c r="S1058" s="154">
        <f t="shared" si="127"/>
        <v>0</v>
      </c>
      <c r="T1058" s="153"/>
      <c r="U1058" s="169">
        <f t="shared" si="128"/>
        <v>0</v>
      </c>
      <c r="V1058" s="156"/>
      <c r="W1058" s="158"/>
      <c r="X1058" s="158"/>
      <c r="Y1058" s="158"/>
      <c r="Z1058" s="153"/>
      <c r="AA1058" s="159" t="s">
        <v>278</v>
      </c>
      <c r="AB1058" s="160"/>
      <c r="AC1058" s="157">
        <f t="shared" si="125"/>
        <v>0</v>
      </c>
    </row>
    <row r="1059" spans="10:29" ht="12.5" hidden="1">
      <c r="J1059" s="149"/>
      <c r="K1059" s="171">
        <f>MAX(K$827:K1058)+1</f>
        <v>233</v>
      </c>
      <c r="L1059" s="172">
        <f t="shared" si="126"/>
        <v>1</v>
      </c>
      <c r="M1059" s="152" t="s">
        <v>357</v>
      </c>
      <c r="N1059" s="153"/>
      <c r="O1059" s="153"/>
      <c r="P1059" s="153"/>
      <c r="Q1059" s="153"/>
      <c r="R1059" s="153"/>
      <c r="S1059" s="154">
        <f t="shared" si="127"/>
        <v>0</v>
      </c>
      <c r="T1059" s="153"/>
      <c r="U1059" s="169">
        <f t="shared" si="128"/>
        <v>0</v>
      </c>
      <c r="V1059" s="156"/>
      <c r="W1059" s="158"/>
      <c r="X1059" s="158"/>
      <c r="Y1059" s="158"/>
      <c r="Z1059" s="153"/>
      <c r="AA1059" s="159" t="s">
        <v>278</v>
      </c>
      <c r="AB1059" s="160"/>
      <c r="AC1059" s="157">
        <f t="shared" si="125"/>
        <v>0</v>
      </c>
    </row>
    <row r="1060" spans="10:29" ht="12.5" hidden="1">
      <c r="J1060" s="149"/>
      <c r="K1060" s="171">
        <f>MAX(K$827:K1059)+1</f>
        <v>234</v>
      </c>
      <c r="L1060" s="172">
        <f t="shared" si="126"/>
        <v>1</v>
      </c>
      <c r="M1060" s="152" t="s">
        <v>358</v>
      </c>
      <c r="N1060" s="153"/>
      <c r="O1060" s="153"/>
      <c r="P1060" s="153"/>
      <c r="Q1060" s="153"/>
      <c r="R1060" s="153"/>
      <c r="S1060" s="154">
        <f t="shared" si="127"/>
        <v>0</v>
      </c>
      <c r="T1060" s="153"/>
      <c r="U1060" s="169">
        <f t="shared" si="128"/>
        <v>0</v>
      </c>
      <c r="V1060" s="156"/>
      <c r="W1060" s="158"/>
      <c r="X1060" s="158"/>
      <c r="Y1060" s="158"/>
      <c r="Z1060" s="153"/>
      <c r="AA1060" s="159" t="s">
        <v>278</v>
      </c>
      <c r="AB1060" s="160"/>
      <c r="AC1060" s="157">
        <f t="shared" si="125"/>
        <v>0</v>
      </c>
    </row>
    <row r="1061" spans="10:29" ht="12.5" hidden="1">
      <c r="J1061" s="149"/>
      <c r="K1061" s="171">
        <f>MAX(K$827:K1060)+1</f>
        <v>235</v>
      </c>
      <c r="L1061" s="172">
        <f t="shared" si="126"/>
        <v>1</v>
      </c>
      <c r="M1061" s="152" t="s">
        <v>359</v>
      </c>
      <c r="N1061" s="153"/>
      <c r="O1061" s="153"/>
      <c r="P1061" s="153"/>
      <c r="Q1061" s="153"/>
      <c r="R1061" s="153"/>
      <c r="S1061" s="154">
        <f t="shared" si="127"/>
        <v>0</v>
      </c>
      <c r="T1061" s="153"/>
      <c r="U1061" s="169">
        <f t="shared" si="128"/>
        <v>0</v>
      </c>
      <c r="V1061" s="156"/>
      <c r="W1061" s="158"/>
      <c r="X1061" s="158"/>
      <c r="Y1061" s="158"/>
      <c r="Z1061" s="153"/>
      <c r="AA1061" s="159" t="s">
        <v>278</v>
      </c>
      <c r="AB1061" s="160"/>
      <c r="AC1061" s="157">
        <f t="shared" ref="AC1061:AC1124" si="129">INDEX(Y1061:Z1061,1,MATCH(_WellBasketSelection,$Y$826:$Z$826,0))*U1061</f>
        <v>0</v>
      </c>
    </row>
    <row r="1062" spans="10:29" ht="12.5" hidden="1">
      <c r="J1062" s="149"/>
      <c r="K1062" s="171">
        <f>MAX(K$827:K1061)+1</f>
        <v>236</v>
      </c>
      <c r="L1062" s="172">
        <f t="shared" si="126"/>
        <v>1</v>
      </c>
      <c r="M1062" s="152" t="s">
        <v>360</v>
      </c>
      <c r="N1062" s="153"/>
      <c r="O1062" s="153"/>
      <c r="P1062" s="153"/>
      <c r="Q1062" s="153"/>
      <c r="R1062" s="153"/>
      <c r="S1062" s="154">
        <f t="shared" si="127"/>
        <v>0</v>
      </c>
      <c r="T1062" s="153"/>
      <c r="U1062" s="169">
        <f t="shared" si="128"/>
        <v>0</v>
      </c>
      <c r="V1062" s="156"/>
      <c r="W1062" s="158"/>
      <c r="X1062" s="158"/>
      <c r="Y1062" s="158"/>
      <c r="Z1062" s="153"/>
      <c r="AA1062" s="159" t="s">
        <v>278</v>
      </c>
      <c r="AB1062" s="160"/>
      <c r="AC1062" s="157">
        <f t="shared" si="129"/>
        <v>0</v>
      </c>
    </row>
    <row r="1063" spans="10:29" ht="12.5" hidden="1">
      <c r="J1063" s="149"/>
      <c r="K1063" s="171">
        <f>MAX(K$827:K1062)+1</f>
        <v>237</v>
      </c>
      <c r="L1063" s="172">
        <f t="shared" si="126"/>
        <v>1</v>
      </c>
      <c r="M1063" s="152" t="s">
        <v>361</v>
      </c>
      <c r="N1063" s="153"/>
      <c r="O1063" s="153"/>
      <c r="P1063" s="153"/>
      <c r="Q1063" s="153"/>
      <c r="R1063" s="153"/>
      <c r="S1063" s="154">
        <f t="shared" si="127"/>
        <v>0</v>
      </c>
      <c r="T1063" s="153"/>
      <c r="U1063" s="169">
        <f t="shared" si="128"/>
        <v>0</v>
      </c>
      <c r="V1063" s="156"/>
      <c r="W1063" s="158"/>
      <c r="X1063" s="158"/>
      <c r="Y1063" s="158"/>
      <c r="Z1063" s="153"/>
      <c r="AA1063" s="159" t="s">
        <v>278</v>
      </c>
      <c r="AB1063" s="160"/>
      <c r="AC1063" s="157">
        <f t="shared" si="129"/>
        <v>0</v>
      </c>
    </row>
    <row r="1064" spans="10:29" ht="12.5" hidden="1">
      <c r="J1064" s="149"/>
      <c r="K1064" s="171">
        <f>MAX(K$827:K1063)+1</f>
        <v>238</v>
      </c>
      <c r="L1064" s="172">
        <f t="shared" si="126"/>
        <v>1</v>
      </c>
      <c r="M1064" s="152" t="s">
        <v>362</v>
      </c>
      <c r="N1064" s="153"/>
      <c r="O1064" s="153"/>
      <c r="P1064" s="153"/>
      <c r="Q1064" s="153"/>
      <c r="R1064" s="153"/>
      <c r="S1064" s="154">
        <f t="shared" si="127"/>
        <v>0</v>
      </c>
      <c r="T1064" s="153"/>
      <c r="U1064" s="169">
        <f t="shared" si="128"/>
        <v>0</v>
      </c>
      <c r="V1064" s="156"/>
      <c r="W1064" s="158"/>
      <c r="X1064" s="158"/>
      <c r="Y1064" s="158"/>
      <c r="Z1064" s="153"/>
      <c r="AA1064" s="159" t="s">
        <v>278</v>
      </c>
      <c r="AB1064" s="160"/>
      <c r="AC1064" s="157">
        <f t="shared" si="129"/>
        <v>0</v>
      </c>
    </row>
    <row r="1065" spans="10:29" ht="12.5" hidden="1">
      <c r="J1065" s="149"/>
      <c r="K1065" s="171">
        <f>MAX(K$827:K1064)+1</f>
        <v>239</v>
      </c>
      <c r="L1065" s="172">
        <f t="shared" si="126"/>
        <v>1</v>
      </c>
      <c r="M1065" s="152" t="s">
        <v>363</v>
      </c>
      <c r="N1065" s="153"/>
      <c r="O1065" s="153"/>
      <c r="P1065" s="153"/>
      <c r="Q1065" s="153"/>
      <c r="R1065" s="153"/>
      <c r="S1065" s="154">
        <f t="shared" si="127"/>
        <v>0</v>
      </c>
      <c r="T1065" s="153"/>
      <c r="U1065" s="169">
        <f t="shared" si="128"/>
        <v>0</v>
      </c>
      <c r="V1065" s="156"/>
      <c r="W1065" s="158"/>
      <c r="X1065" s="158"/>
      <c r="Y1065" s="158"/>
      <c r="Z1065" s="153"/>
      <c r="AA1065" s="159" t="s">
        <v>278</v>
      </c>
      <c r="AB1065" s="160"/>
      <c r="AC1065" s="157">
        <f t="shared" si="129"/>
        <v>0</v>
      </c>
    </row>
    <row r="1066" spans="10:29" ht="12.5" hidden="1">
      <c r="J1066" s="149"/>
      <c r="K1066" s="171">
        <f>MAX(K$827:K1065)+1</f>
        <v>240</v>
      </c>
      <c r="L1066" s="172">
        <f t="shared" si="126"/>
        <v>1</v>
      </c>
      <c r="M1066" s="152" t="s">
        <v>364</v>
      </c>
      <c r="N1066" s="153"/>
      <c r="O1066" s="153"/>
      <c r="P1066" s="153"/>
      <c r="Q1066" s="153"/>
      <c r="R1066" s="153"/>
      <c r="S1066" s="154">
        <f t="shared" si="127"/>
        <v>0</v>
      </c>
      <c r="T1066" s="153"/>
      <c r="U1066" s="169">
        <f t="shared" si="128"/>
        <v>0</v>
      </c>
      <c r="V1066" s="156"/>
      <c r="W1066" s="158"/>
      <c r="X1066" s="158"/>
      <c r="Y1066" s="158"/>
      <c r="Z1066" s="153"/>
      <c r="AA1066" s="159" t="s">
        <v>278</v>
      </c>
      <c r="AB1066" s="160"/>
      <c r="AC1066" s="157">
        <f t="shared" si="129"/>
        <v>0</v>
      </c>
    </row>
    <row r="1067" spans="10:29" ht="12.5" hidden="1">
      <c r="J1067" s="149"/>
      <c r="K1067" s="171">
        <f>MAX(K$827:K1066)+1</f>
        <v>241</v>
      </c>
      <c r="L1067" s="172">
        <f t="shared" si="126"/>
        <v>1</v>
      </c>
      <c r="M1067" s="152" t="s">
        <v>365</v>
      </c>
      <c r="N1067" s="153"/>
      <c r="O1067" s="153"/>
      <c r="P1067" s="153"/>
      <c r="Q1067" s="153"/>
      <c r="R1067" s="153"/>
      <c r="S1067" s="154">
        <f t="shared" si="127"/>
        <v>0</v>
      </c>
      <c r="T1067" s="153"/>
      <c r="U1067" s="169">
        <f t="shared" si="128"/>
        <v>0</v>
      </c>
      <c r="V1067" s="156"/>
      <c r="W1067" s="158"/>
      <c r="X1067" s="158"/>
      <c r="Y1067" s="158"/>
      <c r="Z1067" s="153"/>
      <c r="AA1067" s="159" t="s">
        <v>278</v>
      </c>
      <c r="AB1067" s="160"/>
      <c r="AC1067" s="157">
        <f t="shared" si="129"/>
        <v>0</v>
      </c>
    </row>
    <row r="1068" spans="10:29" ht="12.5" hidden="1">
      <c r="J1068" s="149"/>
      <c r="K1068" s="171">
        <f>MAX(K$827:K1067)+1</f>
        <v>242</v>
      </c>
      <c r="L1068" s="172">
        <f t="shared" si="126"/>
        <v>1</v>
      </c>
      <c r="M1068" s="152" t="s">
        <v>366</v>
      </c>
      <c r="N1068" s="153"/>
      <c r="O1068" s="153"/>
      <c r="P1068" s="153"/>
      <c r="Q1068" s="153"/>
      <c r="R1068" s="153"/>
      <c r="S1068" s="154">
        <f t="shared" si="127"/>
        <v>0</v>
      </c>
      <c r="T1068" s="153"/>
      <c r="U1068" s="169">
        <f t="shared" si="128"/>
        <v>0</v>
      </c>
      <c r="V1068" s="156"/>
      <c r="W1068" s="158"/>
      <c r="X1068" s="158"/>
      <c r="Y1068" s="158"/>
      <c r="Z1068" s="153"/>
      <c r="AA1068" s="159" t="s">
        <v>278</v>
      </c>
      <c r="AB1068" s="160"/>
      <c r="AC1068" s="157">
        <f t="shared" si="129"/>
        <v>0</v>
      </c>
    </row>
    <row r="1069" spans="10:29" ht="12.5" hidden="1">
      <c r="J1069" s="149"/>
      <c r="K1069" s="171">
        <f>MAX(K$827:K1068)+1</f>
        <v>243</v>
      </c>
      <c r="L1069" s="172">
        <f t="shared" si="126"/>
        <v>1</v>
      </c>
      <c r="M1069" s="152" t="s">
        <v>367</v>
      </c>
      <c r="N1069" s="153"/>
      <c r="O1069" s="153"/>
      <c r="P1069" s="153"/>
      <c r="Q1069" s="153"/>
      <c r="R1069" s="153"/>
      <c r="S1069" s="154">
        <f t="shared" si="127"/>
        <v>0</v>
      </c>
      <c r="T1069" s="153"/>
      <c r="U1069" s="169">
        <f t="shared" si="128"/>
        <v>0</v>
      </c>
      <c r="V1069" s="156"/>
      <c r="W1069" s="158"/>
      <c r="X1069" s="158"/>
      <c r="Y1069" s="158"/>
      <c r="Z1069" s="153"/>
      <c r="AA1069" s="159" t="s">
        <v>278</v>
      </c>
      <c r="AB1069" s="160"/>
      <c r="AC1069" s="157">
        <f t="shared" si="129"/>
        <v>0</v>
      </c>
    </row>
    <row r="1070" spans="10:29" ht="12.5" hidden="1">
      <c r="J1070" s="149"/>
      <c r="K1070" s="171">
        <f>MAX(K$827:K1069)+1</f>
        <v>244</v>
      </c>
      <c r="L1070" s="172">
        <f t="shared" si="126"/>
        <v>1</v>
      </c>
      <c r="M1070" s="152" t="s">
        <v>368</v>
      </c>
      <c r="N1070" s="153"/>
      <c r="O1070" s="153"/>
      <c r="P1070" s="153"/>
      <c r="Q1070" s="153"/>
      <c r="R1070" s="153"/>
      <c r="S1070" s="154">
        <f t="shared" si="127"/>
        <v>0</v>
      </c>
      <c r="T1070" s="153"/>
      <c r="U1070" s="169">
        <f t="shared" si="128"/>
        <v>0</v>
      </c>
      <c r="V1070" s="156"/>
      <c r="W1070" s="158"/>
      <c r="X1070" s="158"/>
      <c r="Y1070" s="158"/>
      <c r="Z1070" s="153"/>
      <c r="AA1070" s="159" t="s">
        <v>278</v>
      </c>
      <c r="AB1070" s="160"/>
      <c r="AC1070" s="157">
        <f t="shared" si="129"/>
        <v>0</v>
      </c>
    </row>
    <row r="1071" spans="10:29" ht="12.5" hidden="1">
      <c r="J1071" s="149"/>
      <c r="K1071" s="171">
        <f>MAX(K$827:K1070)+1</f>
        <v>245</v>
      </c>
      <c r="L1071" s="172">
        <f t="shared" si="126"/>
        <v>1</v>
      </c>
      <c r="M1071" s="152" t="s">
        <v>369</v>
      </c>
      <c r="N1071" s="153"/>
      <c r="O1071" s="153"/>
      <c r="P1071" s="153"/>
      <c r="Q1071" s="153"/>
      <c r="R1071" s="153"/>
      <c r="S1071" s="154">
        <f t="shared" si="127"/>
        <v>0</v>
      </c>
      <c r="T1071" s="153"/>
      <c r="U1071" s="169">
        <f t="shared" si="128"/>
        <v>0</v>
      </c>
      <c r="V1071" s="156"/>
      <c r="W1071" s="158"/>
      <c r="X1071" s="158"/>
      <c r="Y1071" s="158"/>
      <c r="Z1071" s="153"/>
      <c r="AA1071" s="159" t="s">
        <v>278</v>
      </c>
      <c r="AB1071" s="160"/>
      <c r="AC1071" s="157">
        <f t="shared" si="129"/>
        <v>0</v>
      </c>
    </row>
    <row r="1072" spans="10:29" ht="12.5" hidden="1">
      <c r="J1072" s="149"/>
      <c r="K1072" s="171">
        <f>MAX(K$827:K1071)+1</f>
        <v>246</v>
      </c>
      <c r="L1072" s="172">
        <f t="shared" si="126"/>
        <v>1</v>
      </c>
      <c r="M1072" s="152" t="s">
        <v>370</v>
      </c>
      <c r="N1072" s="153"/>
      <c r="O1072" s="153"/>
      <c r="P1072" s="153"/>
      <c r="Q1072" s="153"/>
      <c r="R1072" s="153"/>
      <c r="S1072" s="154">
        <f t="shared" si="127"/>
        <v>0</v>
      </c>
      <c r="T1072" s="153"/>
      <c r="U1072" s="169">
        <f t="shared" si="128"/>
        <v>0</v>
      </c>
      <c r="V1072" s="156"/>
      <c r="W1072" s="158"/>
      <c r="X1072" s="158"/>
      <c r="Y1072" s="158"/>
      <c r="Z1072" s="153"/>
      <c r="AA1072" s="159" t="s">
        <v>278</v>
      </c>
      <c r="AB1072" s="160"/>
      <c r="AC1072" s="157">
        <f t="shared" si="129"/>
        <v>0</v>
      </c>
    </row>
    <row r="1073" spans="10:29" ht="12.5" hidden="1">
      <c r="J1073" s="149"/>
      <c r="K1073" s="171">
        <f>MAX(K$827:K1072)+1</f>
        <v>247</v>
      </c>
      <c r="L1073" s="172">
        <f t="shared" si="126"/>
        <v>1</v>
      </c>
      <c r="M1073" s="152" t="s">
        <v>371</v>
      </c>
      <c r="N1073" s="153"/>
      <c r="O1073" s="153"/>
      <c r="P1073" s="153"/>
      <c r="Q1073" s="153"/>
      <c r="R1073" s="153"/>
      <c r="S1073" s="154">
        <f t="shared" si="127"/>
        <v>0</v>
      </c>
      <c r="T1073" s="153"/>
      <c r="U1073" s="169">
        <f t="shared" si="128"/>
        <v>0</v>
      </c>
      <c r="V1073" s="156"/>
      <c r="W1073" s="158"/>
      <c r="X1073" s="158"/>
      <c r="Y1073" s="158"/>
      <c r="Z1073" s="153"/>
      <c r="AA1073" s="159" t="s">
        <v>278</v>
      </c>
      <c r="AB1073" s="160"/>
      <c r="AC1073" s="157">
        <f t="shared" si="129"/>
        <v>0</v>
      </c>
    </row>
    <row r="1074" spans="10:29" ht="12.5" hidden="1">
      <c r="J1074" s="149"/>
      <c r="K1074" s="171">
        <f>MAX(K$827:K1073)+1</f>
        <v>248</v>
      </c>
      <c r="L1074" s="172">
        <f t="shared" si="126"/>
        <v>1</v>
      </c>
      <c r="M1074" s="152" t="s">
        <v>372</v>
      </c>
      <c r="N1074" s="153"/>
      <c r="O1074" s="153"/>
      <c r="P1074" s="153"/>
      <c r="Q1074" s="153"/>
      <c r="R1074" s="153"/>
      <c r="S1074" s="154">
        <f t="shared" si="127"/>
        <v>0</v>
      </c>
      <c r="T1074" s="153"/>
      <c r="U1074" s="169">
        <f t="shared" si="128"/>
        <v>0</v>
      </c>
      <c r="V1074" s="156"/>
      <c r="W1074" s="158"/>
      <c r="X1074" s="158"/>
      <c r="Y1074" s="158"/>
      <c r="Z1074" s="153"/>
      <c r="AA1074" s="159" t="s">
        <v>278</v>
      </c>
      <c r="AB1074" s="160"/>
      <c r="AC1074" s="157">
        <f t="shared" si="129"/>
        <v>0</v>
      </c>
    </row>
    <row r="1075" spans="10:29" ht="12.5" hidden="1">
      <c r="J1075" s="149"/>
      <c r="K1075" s="171">
        <f>MAX(K$827:K1074)+1</f>
        <v>249</v>
      </c>
      <c r="L1075" s="172">
        <f t="shared" si="126"/>
        <v>1</v>
      </c>
      <c r="M1075" s="152" t="s">
        <v>373</v>
      </c>
      <c r="N1075" s="153"/>
      <c r="O1075" s="153"/>
      <c r="P1075" s="153"/>
      <c r="Q1075" s="153"/>
      <c r="R1075" s="153"/>
      <c r="S1075" s="154">
        <f t="shared" si="127"/>
        <v>0</v>
      </c>
      <c r="T1075" s="153"/>
      <c r="U1075" s="169">
        <f t="shared" si="128"/>
        <v>0</v>
      </c>
      <c r="V1075" s="156"/>
      <c r="W1075" s="158"/>
      <c r="X1075" s="158"/>
      <c r="Y1075" s="158"/>
      <c r="Z1075" s="153"/>
      <c r="AA1075" s="159" t="s">
        <v>278</v>
      </c>
      <c r="AB1075" s="160"/>
      <c r="AC1075" s="157">
        <f t="shared" si="129"/>
        <v>0</v>
      </c>
    </row>
    <row r="1076" spans="10:29" ht="12.5" hidden="1">
      <c r="J1076" s="149"/>
      <c r="K1076" s="171">
        <f>MAX(K$827:K1075)+1</f>
        <v>250</v>
      </c>
      <c r="L1076" s="172">
        <f t="shared" si="126"/>
        <v>1</v>
      </c>
      <c r="M1076" s="152" t="s">
        <v>374</v>
      </c>
      <c r="N1076" s="153"/>
      <c r="O1076" s="153"/>
      <c r="P1076" s="153"/>
      <c r="Q1076" s="153"/>
      <c r="R1076" s="153"/>
      <c r="S1076" s="154">
        <f t="shared" si="127"/>
        <v>0</v>
      </c>
      <c r="T1076" s="153"/>
      <c r="U1076" s="169">
        <f t="shared" si="128"/>
        <v>0</v>
      </c>
      <c r="V1076" s="156"/>
      <c r="W1076" s="158"/>
      <c r="X1076" s="158"/>
      <c r="Y1076" s="158"/>
      <c r="Z1076" s="153"/>
      <c r="AA1076" s="159" t="s">
        <v>278</v>
      </c>
      <c r="AB1076" s="160"/>
      <c r="AC1076" s="157">
        <f t="shared" si="129"/>
        <v>0</v>
      </c>
    </row>
    <row r="1077" spans="10:29" ht="12.5" hidden="1">
      <c r="J1077" s="149"/>
      <c r="K1077" s="171">
        <f>MAX(K$827:K1076)+1</f>
        <v>251</v>
      </c>
      <c r="L1077" s="172">
        <f t="shared" si="126"/>
        <v>1</v>
      </c>
      <c r="M1077" s="152" t="s">
        <v>375</v>
      </c>
      <c r="N1077" s="153"/>
      <c r="O1077" s="153"/>
      <c r="P1077" s="153"/>
      <c r="Q1077" s="153"/>
      <c r="R1077" s="153"/>
      <c r="S1077" s="154">
        <f t="shared" si="127"/>
        <v>0</v>
      </c>
      <c r="T1077" s="153"/>
      <c r="U1077" s="169">
        <f t="shared" si="128"/>
        <v>0</v>
      </c>
      <c r="V1077" s="156"/>
      <c r="W1077" s="158"/>
      <c r="X1077" s="158"/>
      <c r="Y1077" s="158"/>
      <c r="Z1077" s="153"/>
      <c r="AA1077" s="159" t="s">
        <v>278</v>
      </c>
      <c r="AB1077" s="160"/>
      <c r="AC1077" s="157">
        <f t="shared" si="129"/>
        <v>0</v>
      </c>
    </row>
    <row r="1078" spans="10:29" ht="12.5" hidden="1">
      <c r="J1078" s="149"/>
      <c r="K1078" s="171">
        <f>MAX(K$827:K1077)+1</f>
        <v>252</v>
      </c>
      <c r="L1078" s="172">
        <f t="shared" si="126"/>
        <v>1</v>
      </c>
      <c r="M1078" s="152" t="s">
        <v>376</v>
      </c>
      <c r="N1078" s="153"/>
      <c r="O1078" s="153"/>
      <c r="P1078" s="153"/>
      <c r="Q1078" s="153"/>
      <c r="R1078" s="153"/>
      <c r="S1078" s="154">
        <f t="shared" si="127"/>
        <v>0</v>
      </c>
      <c r="T1078" s="153"/>
      <c r="U1078" s="169">
        <f t="shared" si="128"/>
        <v>0</v>
      </c>
      <c r="V1078" s="156"/>
      <c r="W1078" s="158"/>
      <c r="X1078" s="158"/>
      <c r="Y1078" s="158"/>
      <c r="Z1078" s="153"/>
      <c r="AA1078" s="159" t="s">
        <v>278</v>
      </c>
      <c r="AB1078" s="160"/>
      <c r="AC1078" s="157">
        <f t="shared" si="129"/>
        <v>0</v>
      </c>
    </row>
    <row r="1079" spans="10:29" ht="12.5" hidden="1">
      <c r="J1079" s="149"/>
      <c r="K1079" s="171">
        <f>MAX(K$827:K1078)+1</f>
        <v>253</v>
      </c>
      <c r="L1079" s="172">
        <f t="shared" si="126"/>
        <v>1</v>
      </c>
      <c r="M1079" s="152" t="s">
        <v>377</v>
      </c>
      <c r="N1079" s="153"/>
      <c r="O1079" s="153"/>
      <c r="P1079" s="153"/>
      <c r="Q1079" s="153"/>
      <c r="R1079" s="153"/>
      <c r="S1079" s="154">
        <f t="shared" si="127"/>
        <v>0</v>
      </c>
      <c r="T1079" s="153"/>
      <c r="U1079" s="169">
        <f t="shared" si="128"/>
        <v>0</v>
      </c>
      <c r="V1079" s="156"/>
      <c r="W1079" s="158"/>
      <c r="X1079" s="158"/>
      <c r="Y1079" s="158"/>
      <c r="Z1079" s="153"/>
      <c r="AA1079" s="159" t="s">
        <v>278</v>
      </c>
      <c r="AB1079" s="160"/>
      <c r="AC1079" s="157">
        <f t="shared" si="129"/>
        <v>0</v>
      </c>
    </row>
    <row r="1080" spans="10:29" ht="12.5" hidden="1">
      <c r="J1080" s="149"/>
      <c r="K1080" s="171">
        <f>MAX(K$827:K1079)+1</f>
        <v>254</v>
      </c>
      <c r="L1080" s="172">
        <f t="shared" si="126"/>
        <v>1</v>
      </c>
      <c r="M1080" s="152" t="s">
        <v>378</v>
      </c>
      <c r="N1080" s="153"/>
      <c r="O1080" s="153"/>
      <c r="P1080" s="153"/>
      <c r="Q1080" s="153"/>
      <c r="R1080" s="153"/>
      <c r="S1080" s="154">
        <f t="shared" si="127"/>
        <v>0</v>
      </c>
      <c r="T1080" s="153"/>
      <c r="U1080" s="169">
        <f t="shared" si="128"/>
        <v>0</v>
      </c>
      <c r="V1080" s="156"/>
      <c r="W1080" s="158"/>
      <c r="X1080" s="158"/>
      <c r="Y1080" s="158"/>
      <c r="Z1080" s="153"/>
      <c r="AA1080" s="159" t="s">
        <v>278</v>
      </c>
      <c r="AB1080" s="160"/>
      <c r="AC1080" s="157">
        <f t="shared" si="129"/>
        <v>0</v>
      </c>
    </row>
    <row r="1081" spans="10:29" ht="12.5" hidden="1">
      <c r="J1081" s="149"/>
      <c r="K1081" s="171">
        <f>MAX(K$827:K1080)+1</f>
        <v>255</v>
      </c>
      <c r="L1081" s="172">
        <f t="shared" si="126"/>
        <v>1</v>
      </c>
      <c r="M1081" s="152" t="s">
        <v>379</v>
      </c>
      <c r="N1081" s="153"/>
      <c r="O1081" s="153"/>
      <c r="P1081" s="153"/>
      <c r="Q1081" s="153"/>
      <c r="R1081" s="153"/>
      <c r="S1081" s="154">
        <f t="shared" si="127"/>
        <v>0</v>
      </c>
      <c r="T1081" s="153"/>
      <c r="U1081" s="169">
        <f t="shared" si="128"/>
        <v>0</v>
      </c>
      <c r="V1081" s="156"/>
      <c r="W1081" s="158"/>
      <c r="X1081" s="158"/>
      <c r="Y1081" s="158"/>
      <c r="Z1081" s="153"/>
      <c r="AA1081" s="159" t="s">
        <v>278</v>
      </c>
      <c r="AB1081" s="160"/>
      <c r="AC1081" s="157">
        <f t="shared" si="129"/>
        <v>0</v>
      </c>
    </row>
    <row r="1082" spans="10:29" ht="12.5" hidden="1">
      <c r="J1082" s="149"/>
      <c r="K1082" s="171">
        <f>MAX(K$827:K1081)+1</f>
        <v>256</v>
      </c>
      <c r="L1082" s="172">
        <f t="shared" si="126"/>
        <v>1</v>
      </c>
      <c r="M1082" s="152" t="s">
        <v>380</v>
      </c>
      <c r="N1082" s="153"/>
      <c r="O1082" s="153"/>
      <c r="P1082" s="153"/>
      <c r="Q1082" s="153"/>
      <c r="R1082" s="153"/>
      <c r="S1082" s="154">
        <f t="shared" si="127"/>
        <v>0</v>
      </c>
      <c r="T1082" s="153"/>
      <c r="U1082" s="169">
        <f t="shared" si="128"/>
        <v>0</v>
      </c>
      <c r="V1082" s="156"/>
      <c r="W1082" s="158"/>
      <c r="X1082" s="158"/>
      <c r="Y1082" s="158"/>
      <c r="Z1082" s="153"/>
      <c r="AA1082" s="159" t="s">
        <v>278</v>
      </c>
      <c r="AB1082" s="160"/>
      <c r="AC1082" s="157">
        <f t="shared" si="129"/>
        <v>0</v>
      </c>
    </row>
    <row r="1083" spans="10:29" ht="12.5" hidden="1">
      <c r="J1083" s="149"/>
      <c r="K1083" s="171">
        <f>MAX(K$827:K1082)+1</f>
        <v>257</v>
      </c>
      <c r="L1083" s="172">
        <f t="shared" si="126"/>
        <v>1</v>
      </c>
      <c r="M1083" s="152" t="s">
        <v>381</v>
      </c>
      <c r="N1083" s="153"/>
      <c r="O1083" s="153"/>
      <c r="P1083" s="153"/>
      <c r="Q1083" s="153"/>
      <c r="R1083" s="153"/>
      <c r="S1083" s="154">
        <f t="shared" si="127"/>
        <v>0</v>
      </c>
      <c r="T1083" s="153"/>
      <c r="U1083" s="169">
        <f t="shared" si="128"/>
        <v>0</v>
      </c>
      <c r="V1083" s="156"/>
      <c r="W1083" s="158"/>
      <c r="X1083" s="158"/>
      <c r="Y1083" s="158"/>
      <c r="Z1083" s="153"/>
      <c r="AA1083" s="159" t="s">
        <v>278</v>
      </c>
      <c r="AB1083" s="160"/>
      <c r="AC1083" s="157">
        <f t="shared" si="129"/>
        <v>0</v>
      </c>
    </row>
    <row r="1084" spans="10:29" ht="12.5" hidden="1">
      <c r="J1084" s="149"/>
      <c r="K1084" s="171">
        <f>MAX(K$827:K1083)+1</f>
        <v>258</v>
      </c>
      <c r="L1084" s="172">
        <f t="shared" ref="L1084:L1147" si="130">IF(J1083="",L1083,L1083+1)</f>
        <v>1</v>
      </c>
      <c r="M1084" s="152" t="s">
        <v>382</v>
      </c>
      <c r="N1084" s="153"/>
      <c r="O1084" s="153"/>
      <c r="P1084" s="153"/>
      <c r="Q1084" s="153"/>
      <c r="R1084" s="153"/>
      <c r="S1084" s="154">
        <f t="shared" ref="S1084:S1147" si="131">SUM(N1084:R1084)</f>
        <v>0</v>
      </c>
      <c r="T1084" s="153"/>
      <c r="U1084" s="169">
        <f t="shared" si="128"/>
        <v>0</v>
      </c>
      <c r="V1084" s="156"/>
      <c r="W1084" s="158"/>
      <c r="X1084" s="158"/>
      <c r="Y1084" s="158"/>
      <c r="Z1084" s="153"/>
      <c r="AA1084" s="159" t="s">
        <v>278</v>
      </c>
      <c r="AB1084" s="160"/>
      <c r="AC1084" s="157">
        <f t="shared" si="129"/>
        <v>0</v>
      </c>
    </row>
    <row r="1085" spans="10:29" ht="12.5" hidden="1">
      <c r="J1085" s="149"/>
      <c r="K1085" s="171">
        <f>MAX(K$827:K1084)+1</f>
        <v>259</v>
      </c>
      <c r="L1085" s="172">
        <f t="shared" si="130"/>
        <v>1</v>
      </c>
      <c r="M1085" s="152" t="s">
        <v>383</v>
      </c>
      <c r="N1085" s="153"/>
      <c r="O1085" s="153"/>
      <c r="P1085" s="153"/>
      <c r="Q1085" s="153"/>
      <c r="R1085" s="153"/>
      <c r="S1085" s="154">
        <f t="shared" si="131"/>
        <v>0</v>
      </c>
      <c r="T1085" s="153"/>
      <c r="U1085" s="169">
        <f t="shared" si="128"/>
        <v>0</v>
      </c>
      <c r="V1085" s="156"/>
      <c r="W1085" s="158"/>
      <c r="X1085" s="158"/>
      <c r="Y1085" s="158"/>
      <c r="Z1085" s="153"/>
      <c r="AA1085" s="159" t="s">
        <v>278</v>
      </c>
      <c r="AB1085" s="160"/>
      <c r="AC1085" s="157">
        <f t="shared" si="129"/>
        <v>0</v>
      </c>
    </row>
    <row r="1086" spans="10:29" ht="12.5" hidden="1">
      <c r="J1086" s="149"/>
      <c r="K1086" s="171">
        <f>MAX(K$827:K1085)+1</f>
        <v>260</v>
      </c>
      <c r="L1086" s="172">
        <f t="shared" si="130"/>
        <v>1</v>
      </c>
      <c r="M1086" s="152" t="s">
        <v>384</v>
      </c>
      <c r="N1086" s="153"/>
      <c r="O1086" s="153"/>
      <c r="P1086" s="153"/>
      <c r="Q1086" s="153"/>
      <c r="R1086" s="153"/>
      <c r="S1086" s="154">
        <f t="shared" si="131"/>
        <v>0</v>
      </c>
      <c r="T1086" s="153"/>
      <c r="U1086" s="169">
        <f t="shared" si="128"/>
        <v>0</v>
      </c>
      <c r="V1086" s="156"/>
      <c r="W1086" s="158"/>
      <c r="X1086" s="158"/>
      <c r="Y1086" s="158"/>
      <c r="Z1086" s="153"/>
      <c r="AA1086" s="159" t="s">
        <v>278</v>
      </c>
      <c r="AB1086" s="160"/>
      <c r="AC1086" s="157">
        <f t="shared" si="129"/>
        <v>0</v>
      </c>
    </row>
    <row r="1087" spans="10:29" ht="12.5" hidden="1">
      <c r="J1087" s="149"/>
      <c r="K1087" s="171">
        <f>MAX(K$827:K1086)+1</f>
        <v>261</v>
      </c>
      <c r="L1087" s="172">
        <f t="shared" si="130"/>
        <v>1</v>
      </c>
      <c r="M1087" s="152" t="s">
        <v>385</v>
      </c>
      <c r="N1087" s="153"/>
      <c r="O1087" s="153"/>
      <c r="P1087" s="153"/>
      <c r="Q1087" s="153"/>
      <c r="R1087" s="153"/>
      <c r="S1087" s="154">
        <f t="shared" si="131"/>
        <v>0</v>
      </c>
      <c r="T1087" s="153"/>
      <c r="U1087" s="169">
        <f t="shared" si="128"/>
        <v>0</v>
      </c>
      <c r="V1087" s="156"/>
      <c r="W1087" s="158"/>
      <c r="X1087" s="158"/>
      <c r="Y1087" s="158"/>
      <c r="Z1087" s="153"/>
      <c r="AA1087" s="159" t="s">
        <v>278</v>
      </c>
      <c r="AB1087" s="160"/>
      <c r="AC1087" s="157">
        <f t="shared" si="129"/>
        <v>0</v>
      </c>
    </row>
    <row r="1088" spans="10:29" ht="12.5" hidden="1">
      <c r="J1088" s="149"/>
      <c r="K1088" s="171">
        <f>MAX(K$827:K1087)+1</f>
        <v>262</v>
      </c>
      <c r="L1088" s="172">
        <f t="shared" si="130"/>
        <v>1</v>
      </c>
      <c r="M1088" s="152" t="s">
        <v>386</v>
      </c>
      <c r="N1088" s="153"/>
      <c r="O1088" s="153"/>
      <c r="P1088" s="153"/>
      <c r="Q1088" s="153"/>
      <c r="R1088" s="153"/>
      <c r="S1088" s="154">
        <f t="shared" si="131"/>
        <v>0</v>
      </c>
      <c r="T1088" s="153"/>
      <c r="U1088" s="169">
        <f t="shared" si="128"/>
        <v>0</v>
      </c>
      <c r="V1088" s="156"/>
      <c r="W1088" s="158"/>
      <c r="X1088" s="158"/>
      <c r="Y1088" s="158"/>
      <c r="Z1088" s="153"/>
      <c r="AA1088" s="159" t="s">
        <v>278</v>
      </c>
      <c r="AB1088" s="160"/>
      <c r="AC1088" s="157">
        <f t="shared" si="129"/>
        <v>0</v>
      </c>
    </row>
    <row r="1089" spans="10:29" ht="12.5" hidden="1">
      <c r="J1089" s="149"/>
      <c r="K1089" s="171">
        <f>MAX(K$827:K1088)+1</f>
        <v>263</v>
      </c>
      <c r="L1089" s="172">
        <f t="shared" si="130"/>
        <v>1</v>
      </c>
      <c r="M1089" s="152" t="s">
        <v>387</v>
      </c>
      <c r="N1089" s="153"/>
      <c r="O1089" s="153"/>
      <c r="P1089" s="153"/>
      <c r="Q1089" s="153"/>
      <c r="R1089" s="153"/>
      <c r="S1089" s="154">
        <f t="shared" si="131"/>
        <v>0</v>
      </c>
      <c r="T1089" s="153"/>
      <c r="U1089" s="169">
        <f t="shared" si="128"/>
        <v>0</v>
      </c>
      <c r="V1089" s="156"/>
      <c r="W1089" s="158"/>
      <c r="X1089" s="158"/>
      <c r="Y1089" s="158"/>
      <c r="Z1089" s="153"/>
      <c r="AA1089" s="159" t="s">
        <v>278</v>
      </c>
      <c r="AB1089" s="160"/>
      <c r="AC1089" s="157">
        <f t="shared" si="129"/>
        <v>0</v>
      </c>
    </row>
    <row r="1090" spans="10:29" ht="12.5" hidden="1">
      <c r="J1090" s="149"/>
      <c r="K1090" s="171">
        <f>MAX(K$827:K1089)+1</f>
        <v>264</v>
      </c>
      <c r="L1090" s="172">
        <f t="shared" si="130"/>
        <v>1</v>
      </c>
      <c r="M1090" s="152" t="s">
        <v>388</v>
      </c>
      <c r="N1090" s="153"/>
      <c r="O1090" s="153"/>
      <c r="P1090" s="153"/>
      <c r="Q1090" s="153"/>
      <c r="R1090" s="153"/>
      <c r="S1090" s="154">
        <f t="shared" si="131"/>
        <v>0</v>
      </c>
      <c r="T1090" s="153"/>
      <c r="U1090" s="169">
        <f t="shared" si="128"/>
        <v>0</v>
      </c>
      <c r="V1090" s="156"/>
      <c r="W1090" s="158"/>
      <c r="X1090" s="158"/>
      <c r="Y1090" s="158"/>
      <c r="Z1090" s="153"/>
      <c r="AA1090" s="159" t="s">
        <v>278</v>
      </c>
      <c r="AB1090" s="160"/>
      <c r="AC1090" s="157">
        <f t="shared" si="129"/>
        <v>0</v>
      </c>
    </row>
    <row r="1091" spans="10:29" ht="12.5" hidden="1">
      <c r="J1091" s="149"/>
      <c r="K1091" s="171">
        <f>MAX(K$827:K1090)+1</f>
        <v>265</v>
      </c>
      <c r="L1091" s="172">
        <f t="shared" si="130"/>
        <v>1</v>
      </c>
      <c r="M1091" s="152" t="s">
        <v>389</v>
      </c>
      <c r="N1091" s="153"/>
      <c r="O1091" s="153"/>
      <c r="P1091" s="153"/>
      <c r="Q1091" s="153"/>
      <c r="R1091" s="153"/>
      <c r="S1091" s="154">
        <f t="shared" si="131"/>
        <v>0</v>
      </c>
      <c r="T1091" s="153"/>
      <c r="U1091" s="169">
        <f t="shared" si="128"/>
        <v>0</v>
      </c>
      <c r="V1091" s="156"/>
      <c r="W1091" s="158"/>
      <c r="X1091" s="158"/>
      <c r="Y1091" s="158"/>
      <c r="Z1091" s="153"/>
      <c r="AA1091" s="159" t="s">
        <v>278</v>
      </c>
      <c r="AB1091" s="160"/>
      <c r="AC1091" s="157">
        <f t="shared" si="129"/>
        <v>0</v>
      </c>
    </row>
    <row r="1092" spans="10:29" ht="12.5" hidden="1">
      <c r="J1092" s="149"/>
      <c r="K1092" s="171">
        <f>MAX(K$827:K1091)+1</f>
        <v>266</v>
      </c>
      <c r="L1092" s="172">
        <f t="shared" si="130"/>
        <v>1</v>
      </c>
      <c r="M1092" s="152" t="s">
        <v>390</v>
      </c>
      <c r="N1092" s="153"/>
      <c r="O1092" s="153"/>
      <c r="P1092" s="153"/>
      <c r="Q1092" s="153"/>
      <c r="R1092" s="153"/>
      <c r="S1092" s="154">
        <f t="shared" si="131"/>
        <v>0</v>
      </c>
      <c r="T1092" s="153"/>
      <c r="U1092" s="169">
        <f t="shared" si="128"/>
        <v>0</v>
      </c>
      <c r="V1092" s="156"/>
      <c r="W1092" s="158"/>
      <c r="X1092" s="158"/>
      <c r="Y1092" s="158"/>
      <c r="Z1092" s="153"/>
      <c r="AA1092" s="159" t="s">
        <v>278</v>
      </c>
      <c r="AB1092" s="160"/>
      <c r="AC1092" s="157">
        <f t="shared" si="129"/>
        <v>0</v>
      </c>
    </row>
    <row r="1093" spans="10:29" ht="12.5" hidden="1">
      <c r="J1093" s="149"/>
      <c r="K1093" s="171">
        <f>MAX(K$827:K1092)+1</f>
        <v>267</v>
      </c>
      <c r="L1093" s="172">
        <f t="shared" si="130"/>
        <v>1</v>
      </c>
      <c r="M1093" s="152" t="s">
        <v>391</v>
      </c>
      <c r="N1093" s="153"/>
      <c r="O1093" s="153"/>
      <c r="P1093" s="153"/>
      <c r="Q1093" s="153"/>
      <c r="R1093" s="153"/>
      <c r="S1093" s="154">
        <f t="shared" si="131"/>
        <v>0</v>
      </c>
      <c r="T1093" s="153"/>
      <c r="U1093" s="169">
        <f t="shared" si="128"/>
        <v>0</v>
      </c>
      <c r="V1093" s="156"/>
      <c r="W1093" s="158"/>
      <c r="X1093" s="158"/>
      <c r="Y1093" s="158"/>
      <c r="Z1093" s="153"/>
      <c r="AA1093" s="159" t="s">
        <v>278</v>
      </c>
      <c r="AB1093" s="160"/>
      <c r="AC1093" s="157">
        <f t="shared" si="129"/>
        <v>0</v>
      </c>
    </row>
    <row r="1094" spans="10:29" ht="12.5" hidden="1">
      <c r="J1094" s="149"/>
      <c r="K1094" s="171">
        <f>MAX(K$827:K1093)+1</f>
        <v>268</v>
      </c>
      <c r="L1094" s="172">
        <f t="shared" si="130"/>
        <v>1</v>
      </c>
      <c r="M1094" s="152" t="s">
        <v>392</v>
      </c>
      <c r="N1094" s="153"/>
      <c r="O1094" s="153"/>
      <c r="P1094" s="153"/>
      <c r="Q1094" s="153"/>
      <c r="R1094" s="153"/>
      <c r="S1094" s="154">
        <f t="shared" si="131"/>
        <v>0</v>
      </c>
      <c r="T1094" s="153"/>
      <c r="U1094" s="169">
        <f t="shared" si="128"/>
        <v>0</v>
      </c>
      <c r="V1094" s="156"/>
      <c r="W1094" s="158"/>
      <c r="X1094" s="158"/>
      <c r="Y1094" s="158"/>
      <c r="Z1094" s="153"/>
      <c r="AA1094" s="159" t="s">
        <v>278</v>
      </c>
      <c r="AB1094" s="160"/>
      <c r="AC1094" s="157">
        <f t="shared" si="129"/>
        <v>0</v>
      </c>
    </row>
    <row r="1095" spans="10:29" ht="12.5" hidden="1">
      <c r="J1095" s="149"/>
      <c r="K1095" s="171">
        <f>MAX(K$827:K1094)+1</f>
        <v>269</v>
      </c>
      <c r="L1095" s="172">
        <f t="shared" si="130"/>
        <v>1</v>
      </c>
      <c r="M1095" s="152" t="s">
        <v>393</v>
      </c>
      <c r="N1095" s="153"/>
      <c r="O1095" s="153"/>
      <c r="P1095" s="153"/>
      <c r="Q1095" s="153"/>
      <c r="R1095" s="153"/>
      <c r="S1095" s="154">
        <f t="shared" si="131"/>
        <v>0</v>
      </c>
      <c r="T1095" s="153"/>
      <c r="U1095" s="169">
        <f t="shared" si="128"/>
        <v>0</v>
      </c>
      <c r="V1095" s="156"/>
      <c r="W1095" s="158"/>
      <c r="X1095" s="158"/>
      <c r="Y1095" s="158"/>
      <c r="Z1095" s="153"/>
      <c r="AA1095" s="159" t="s">
        <v>278</v>
      </c>
      <c r="AB1095" s="160"/>
      <c r="AC1095" s="157">
        <f t="shared" si="129"/>
        <v>0</v>
      </c>
    </row>
    <row r="1096" spans="10:29" ht="12.5" hidden="1">
      <c r="J1096" s="149"/>
      <c r="K1096" s="171">
        <f>MAX(K$827:K1095)+1</f>
        <v>270</v>
      </c>
      <c r="L1096" s="172">
        <f t="shared" si="130"/>
        <v>1</v>
      </c>
      <c r="M1096" s="152" t="s">
        <v>394</v>
      </c>
      <c r="N1096" s="153"/>
      <c r="O1096" s="153"/>
      <c r="P1096" s="153"/>
      <c r="Q1096" s="153"/>
      <c r="R1096" s="153"/>
      <c r="S1096" s="154">
        <f t="shared" si="131"/>
        <v>0</v>
      </c>
      <c r="T1096" s="153"/>
      <c r="U1096" s="169">
        <f t="shared" si="128"/>
        <v>0</v>
      </c>
      <c r="V1096" s="156"/>
      <c r="W1096" s="158"/>
      <c r="X1096" s="158"/>
      <c r="Y1096" s="158"/>
      <c r="Z1096" s="153"/>
      <c r="AA1096" s="159" t="s">
        <v>278</v>
      </c>
      <c r="AB1096" s="160"/>
      <c r="AC1096" s="157">
        <f t="shared" si="129"/>
        <v>0</v>
      </c>
    </row>
    <row r="1097" spans="10:29" ht="12.5" hidden="1">
      <c r="J1097" s="149"/>
      <c r="K1097" s="171">
        <f>MAX(K$827:K1096)+1</f>
        <v>271</v>
      </c>
      <c r="L1097" s="172">
        <f t="shared" si="130"/>
        <v>1</v>
      </c>
      <c r="M1097" s="152" t="s">
        <v>395</v>
      </c>
      <c r="N1097" s="153"/>
      <c r="O1097" s="153"/>
      <c r="P1097" s="153"/>
      <c r="Q1097" s="153"/>
      <c r="R1097" s="153"/>
      <c r="S1097" s="154">
        <f t="shared" si="131"/>
        <v>0</v>
      </c>
      <c r="T1097" s="153"/>
      <c r="U1097" s="169">
        <f t="shared" si="128"/>
        <v>0</v>
      </c>
      <c r="V1097" s="156"/>
      <c r="W1097" s="158"/>
      <c r="X1097" s="158"/>
      <c r="Y1097" s="158"/>
      <c r="Z1097" s="153"/>
      <c r="AA1097" s="159" t="s">
        <v>278</v>
      </c>
      <c r="AB1097" s="160"/>
      <c r="AC1097" s="157">
        <f t="shared" si="129"/>
        <v>0</v>
      </c>
    </row>
    <row r="1098" spans="10:29" ht="12.5" hidden="1">
      <c r="J1098" s="149"/>
      <c r="K1098" s="171">
        <f>MAX(K$827:K1097)+1</f>
        <v>272</v>
      </c>
      <c r="L1098" s="172">
        <f t="shared" si="130"/>
        <v>1</v>
      </c>
      <c r="M1098" s="152" t="s">
        <v>396</v>
      </c>
      <c r="N1098" s="153"/>
      <c r="O1098" s="153"/>
      <c r="P1098" s="153"/>
      <c r="Q1098" s="153"/>
      <c r="R1098" s="153"/>
      <c r="S1098" s="154">
        <f t="shared" si="131"/>
        <v>0</v>
      </c>
      <c r="T1098" s="153"/>
      <c r="U1098" s="169">
        <f t="shared" si="128"/>
        <v>0</v>
      </c>
      <c r="V1098" s="156"/>
      <c r="W1098" s="158"/>
      <c r="X1098" s="158"/>
      <c r="Y1098" s="158"/>
      <c r="Z1098" s="153"/>
      <c r="AA1098" s="159" t="s">
        <v>278</v>
      </c>
      <c r="AB1098" s="160"/>
      <c r="AC1098" s="157">
        <f t="shared" si="129"/>
        <v>0</v>
      </c>
    </row>
    <row r="1099" spans="10:29" ht="12.5" hidden="1">
      <c r="J1099" s="149"/>
      <c r="K1099" s="171">
        <f>MAX(K$827:K1098)+1</f>
        <v>273</v>
      </c>
      <c r="L1099" s="172">
        <f t="shared" si="130"/>
        <v>1</v>
      </c>
      <c r="M1099" s="152" t="s">
        <v>397</v>
      </c>
      <c r="N1099" s="153"/>
      <c r="O1099" s="153"/>
      <c r="P1099" s="153"/>
      <c r="Q1099" s="153"/>
      <c r="R1099" s="153"/>
      <c r="S1099" s="154">
        <f t="shared" si="131"/>
        <v>0</v>
      </c>
      <c r="T1099" s="153"/>
      <c r="U1099" s="169">
        <f t="shared" si="128"/>
        <v>0</v>
      </c>
      <c r="V1099" s="156"/>
      <c r="W1099" s="158"/>
      <c r="X1099" s="158"/>
      <c r="Y1099" s="158"/>
      <c r="Z1099" s="153"/>
      <c r="AA1099" s="159" t="s">
        <v>278</v>
      </c>
      <c r="AB1099" s="160"/>
      <c r="AC1099" s="157">
        <f t="shared" si="129"/>
        <v>0</v>
      </c>
    </row>
    <row r="1100" spans="10:29" ht="12.5" hidden="1">
      <c r="J1100" s="149"/>
      <c r="K1100" s="171">
        <f>MAX(K$827:K1099)+1</f>
        <v>274</v>
      </c>
      <c r="L1100" s="172">
        <f t="shared" si="130"/>
        <v>1</v>
      </c>
      <c r="M1100" s="152" t="s">
        <v>398</v>
      </c>
      <c r="N1100" s="153"/>
      <c r="O1100" s="153"/>
      <c r="P1100" s="153"/>
      <c r="Q1100" s="153"/>
      <c r="R1100" s="153"/>
      <c r="S1100" s="154">
        <f t="shared" si="131"/>
        <v>0</v>
      </c>
      <c r="T1100" s="153"/>
      <c r="U1100" s="169">
        <f t="shared" si="128"/>
        <v>0</v>
      </c>
      <c r="V1100" s="156"/>
      <c r="W1100" s="158"/>
      <c r="X1100" s="158"/>
      <c r="Y1100" s="158"/>
      <c r="Z1100" s="153"/>
      <c r="AA1100" s="159" t="s">
        <v>278</v>
      </c>
      <c r="AB1100" s="160"/>
      <c r="AC1100" s="157">
        <f t="shared" si="129"/>
        <v>0</v>
      </c>
    </row>
    <row r="1101" spans="10:29" ht="12.5" hidden="1">
      <c r="J1101" s="149"/>
      <c r="K1101" s="171">
        <f>MAX(K$827:K1100)+1</f>
        <v>275</v>
      </c>
      <c r="L1101" s="172">
        <f t="shared" si="130"/>
        <v>1</v>
      </c>
      <c r="M1101" s="152" t="s">
        <v>399</v>
      </c>
      <c r="N1101" s="153"/>
      <c r="O1101" s="153"/>
      <c r="P1101" s="153"/>
      <c r="Q1101" s="153"/>
      <c r="R1101" s="153"/>
      <c r="S1101" s="154">
        <f t="shared" si="131"/>
        <v>0</v>
      </c>
      <c r="T1101" s="153"/>
      <c r="U1101" s="169">
        <f t="shared" si="128"/>
        <v>0</v>
      </c>
      <c r="V1101" s="156"/>
      <c r="W1101" s="158"/>
      <c r="X1101" s="158"/>
      <c r="Y1101" s="158"/>
      <c r="Z1101" s="153"/>
      <c r="AA1101" s="159" t="s">
        <v>278</v>
      </c>
      <c r="AB1101" s="160"/>
      <c r="AC1101" s="157">
        <f t="shared" si="129"/>
        <v>0</v>
      </c>
    </row>
    <row r="1102" spans="10:29" ht="12.5" hidden="1">
      <c r="J1102" s="149"/>
      <c r="K1102" s="171">
        <f>MAX(K$827:K1101)+1</f>
        <v>276</v>
      </c>
      <c r="L1102" s="172">
        <f t="shared" si="130"/>
        <v>1</v>
      </c>
      <c r="M1102" s="152" t="s">
        <v>400</v>
      </c>
      <c r="N1102" s="153"/>
      <c r="O1102" s="153"/>
      <c r="P1102" s="153"/>
      <c r="Q1102" s="153"/>
      <c r="R1102" s="153"/>
      <c r="S1102" s="154">
        <f t="shared" si="131"/>
        <v>0</v>
      </c>
      <c r="T1102" s="153"/>
      <c r="U1102" s="169">
        <f t="shared" si="128"/>
        <v>0</v>
      </c>
      <c r="V1102" s="156"/>
      <c r="W1102" s="158"/>
      <c r="X1102" s="158"/>
      <c r="Y1102" s="158"/>
      <c r="Z1102" s="153"/>
      <c r="AA1102" s="159" t="s">
        <v>278</v>
      </c>
      <c r="AB1102" s="160"/>
      <c r="AC1102" s="157">
        <f t="shared" si="129"/>
        <v>0</v>
      </c>
    </row>
    <row r="1103" spans="10:29" ht="12.5" hidden="1">
      <c r="J1103" s="149"/>
      <c r="K1103" s="171">
        <f>MAX(K$827:K1102)+1</f>
        <v>277</v>
      </c>
      <c r="L1103" s="172">
        <f t="shared" si="130"/>
        <v>1</v>
      </c>
      <c r="M1103" s="152" t="s">
        <v>401</v>
      </c>
      <c r="N1103" s="153"/>
      <c r="O1103" s="153"/>
      <c r="P1103" s="153"/>
      <c r="Q1103" s="153"/>
      <c r="R1103" s="153"/>
      <c r="S1103" s="154">
        <f t="shared" si="131"/>
        <v>0</v>
      </c>
      <c r="T1103" s="153"/>
      <c r="U1103" s="169">
        <f t="shared" si="128"/>
        <v>0</v>
      </c>
      <c r="V1103" s="156"/>
      <c r="W1103" s="158"/>
      <c r="X1103" s="158"/>
      <c r="Y1103" s="158"/>
      <c r="Z1103" s="153"/>
      <c r="AA1103" s="159" t="s">
        <v>278</v>
      </c>
      <c r="AB1103" s="160"/>
      <c r="AC1103" s="157">
        <f t="shared" si="129"/>
        <v>0</v>
      </c>
    </row>
    <row r="1104" spans="10:29" ht="12.5" hidden="1">
      <c r="J1104" s="149"/>
      <c r="K1104" s="171">
        <f>MAX(K$827:K1103)+1</f>
        <v>278</v>
      </c>
      <c r="L1104" s="172">
        <f t="shared" si="130"/>
        <v>1</v>
      </c>
      <c r="M1104" s="152" t="s">
        <v>402</v>
      </c>
      <c r="N1104" s="153"/>
      <c r="O1104" s="153"/>
      <c r="P1104" s="153"/>
      <c r="Q1104" s="153"/>
      <c r="R1104" s="153"/>
      <c r="S1104" s="154">
        <f t="shared" si="131"/>
        <v>0</v>
      </c>
      <c r="T1104" s="153"/>
      <c r="U1104" s="169">
        <f t="shared" si="128"/>
        <v>0</v>
      </c>
      <c r="V1104" s="156"/>
      <c r="W1104" s="158"/>
      <c r="X1104" s="158"/>
      <c r="Y1104" s="158"/>
      <c r="Z1104" s="153"/>
      <c r="AA1104" s="159" t="s">
        <v>278</v>
      </c>
      <c r="AB1104" s="160"/>
      <c r="AC1104" s="157">
        <f t="shared" si="129"/>
        <v>0</v>
      </c>
    </row>
    <row r="1105" spans="10:29" ht="12.5" hidden="1">
      <c r="J1105" s="149"/>
      <c r="K1105" s="171">
        <f>MAX(K$827:K1104)+1</f>
        <v>279</v>
      </c>
      <c r="L1105" s="172">
        <f t="shared" si="130"/>
        <v>1</v>
      </c>
      <c r="M1105" s="152" t="s">
        <v>403</v>
      </c>
      <c r="N1105" s="153"/>
      <c r="O1105" s="153"/>
      <c r="P1105" s="153"/>
      <c r="Q1105" s="153"/>
      <c r="R1105" s="153"/>
      <c r="S1105" s="154">
        <f t="shared" si="131"/>
        <v>0</v>
      </c>
      <c r="T1105" s="153"/>
      <c r="U1105" s="169">
        <f t="shared" si="128"/>
        <v>0</v>
      </c>
      <c r="V1105" s="156"/>
      <c r="W1105" s="158"/>
      <c r="X1105" s="158"/>
      <c r="Y1105" s="158"/>
      <c r="Z1105" s="153"/>
      <c r="AA1105" s="159" t="s">
        <v>278</v>
      </c>
      <c r="AB1105" s="160"/>
      <c r="AC1105" s="157">
        <f t="shared" si="129"/>
        <v>0</v>
      </c>
    </row>
    <row r="1106" spans="10:29" ht="12.5" hidden="1">
      <c r="J1106" s="149"/>
      <c r="K1106" s="171">
        <f>MAX(K$827:K1105)+1</f>
        <v>280</v>
      </c>
      <c r="L1106" s="172">
        <f t="shared" si="130"/>
        <v>1</v>
      </c>
      <c r="M1106" s="152" t="s">
        <v>404</v>
      </c>
      <c r="N1106" s="153"/>
      <c r="O1106" s="153"/>
      <c r="P1106" s="153"/>
      <c r="Q1106" s="153"/>
      <c r="R1106" s="153"/>
      <c r="S1106" s="154">
        <f t="shared" si="131"/>
        <v>0</v>
      </c>
      <c r="T1106" s="153"/>
      <c r="U1106" s="169">
        <f t="shared" si="128"/>
        <v>0</v>
      </c>
      <c r="V1106" s="156"/>
      <c r="W1106" s="158"/>
      <c r="X1106" s="158"/>
      <c r="Y1106" s="158"/>
      <c r="Z1106" s="153"/>
      <c r="AA1106" s="159" t="s">
        <v>278</v>
      </c>
      <c r="AB1106" s="160"/>
      <c r="AC1106" s="157">
        <f t="shared" si="129"/>
        <v>0</v>
      </c>
    </row>
    <row r="1107" spans="10:29" ht="12.5" hidden="1">
      <c r="J1107" s="149"/>
      <c r="K1107" s="171">
        <f>MAX(K$827:K1106)+1</f>
        <v>281</v>
      </c>
      <c r="L1107" s="172">
        <f t="shared" si="130"/>
        <v>1</v>
      </c>
      <c r="M1107" s="152" t="s">
        <v>405</v>
      </c>
      <c r="N1107" s="153"/>
      <c r="O1107" s="153"/>
      <c r="P1107" s="153"/>
      <c r="Q1107" s="153"/>
      <c r="R1107" s="153"/>
      <c r="S1107" s="154">
        <f t="shared" si="131"/>
        <v>0</v>
      </c>
      <c r="T1107" s="153"/>
      <c r="U1107" s="169">
        <f t="shared" si="128"/>
        <v>0</v>
      </c>
      <c r="V1107" s="156"/>
      <c r="W1107" s="158"/>
      <c r="X1107" s="158"/>
      <c r="Y1107" s="158"/>
      <c r="Z1107" s="153"/>
      <c r="AA1107" s="159" t="s">
        <v>278</v>
      </c>
      <c r="AB1107" s="160"/>
      <c r="AC1107" s="157">
        <f t="shared" si="129"/>
        <v>0</v>
      </c>
    </row>
    <row r="1108" spans="10:29" ht="12.5" hidden="1">
      <c r="J1108" s="149"/>
      <c r="K1108" s="171">
        <f>MAX(K$827:K1107)+1</f>
        <v>282</v>
      </c>
      <c r="L1108" s="172">
        <f t="shared" si="130"/>
        <v>1</v>
      </c>
      <c r="M1108" s="152" t="s">
        <v>406</v>
      </c>
      <c r="N1108" s="153"/>
      <c r="O1108" s="153"/>
      <c r="P1108" s="153"/>
      <c r="Q1108" s="153"/>
      <c r="R1108" s="153"/>
      <c r="S1108" s="154">
        <f t="shared" si="131"/>
        <v>0</v>
      </c>
      <c r="T1108" s="153"/>
      <c r="U1108" s="169">
        <f t="shared" si="128"/>
        <v>0</v>
      </c>
      <c r="V1108" s="156"/>
      <c r="W1108" s="158"/>
      <c r="X1108" s="158"/>
      <c r="Y1108" s="158"/>
      <c r="Z1108" s="153"/>
      <c r="AA1108" s="159" t="s">
        <v>278</v>
      </c>
      <c r="AB1108" s="160"/>
      <c r="AC1108" s="157">
        <f t="shared" si="129"/>
        <v>0</v>
      </c>
    </row>
    <row r="1109" spans="10:29" ht="12.5" hidden="1">
      <c r="J1109" s="149"/>
      <c r="K1109" s="171">
        <f>MAX(K$827:K1108)+1</f>
        <v>283</v>
      </c>
      <c r="L1109" s="172">
        <f t="shared" si="130"/>
        <v>1</v>
      </c>
      <c r="M1109" s="152" t="s">
        <v>407</v>
      </c>
      <c r="N1109" s="153"/>
      <c r="O1109" s="153"/>
      <c r="P1109" s="153"/>
      <c r="Q1109" s="153"/>
      <c r="R1109" s="153"/>
      <c r="S1109" s="154">
        <f t="shared" si="131"/>
        <v>0</v>
      </c>
      <c r="T1109" s="153"/>
      <c r="U1109" s="169">
        <f t="shared" ref="U1109:U1172" si="132">T1109+S1109</f>
        <v>0</v>
      </c>
      <c r="V1109" s="156"/>
      <c r="W1109" s="158"/>
      <c r="X1109" s="158"/>
      <c r="Y1109" s="158"/>
      <c r="Z1109" s="153"/>
      <c r="AA1109" s="159" t="s">
        <v>278</v>
      </c>
      <c r="AB1109" s="160"/>
      <c r="AC1109" s="157">
        <f t="shared" si="129"/>
        <v>0</v>
      </c>
    </row>
    <row r="1110" spans="10:29" ht="12.5" hidden="1">
      <c r="J1110" s="149"/>
      <c r="K1110" s="171">
        <f>MAX(K$827:K1109)+1</f>
        <v>284</v>
      </c>
      <c r="L1110" s="172">
        <f t="shared" si="130"/>
        <v>1</v>
      </c>
      <c r="M1110" s="152" t="s">
        <v>408</v>
      </c>
      <c r="N1110" s="153"/>
      <c r="O1110" s="153"/>
      <c r="P1110" s="153"/>
      <c r="Q1110" s="153"/>
      <c r="R1110" s="153"/>
      <c r="S1110" s="154">
        <f t="shared" si="131"/>
        <v>0</v>
      </c>
      <c r="T1110" s="153"/>
      <c r="U1110" s="169">
        <f t="shared" si="132"/>
        <v>0</v>
      </c>
      <c r="V1110" s="156"/>
      <c r="W1110" s="158"/>
      <c r="X1110" s="158"/>
      <c r="Y1110" s="158"/>
      <c r="Z1110" s="153"/>
      <c r="AA1110" s="159" t="s">
        <v>278</v>
      </c>
      <c r="AB1110" s="160"/>
      <c r="AC1110" s="157">
        <f t="shared" si="129"/>
        <v>0</v>
      </c>
    </row>
    <row r="1111" spans="10:29" ht="12.5" hidden="1">
      <c r="J1111" s="149"/>
      <c r="K1111" s="171">
        <f>MAX(K$827:K1110)+1</f>
        <v>285</v>
      </c>
      <c r="L1111" s="172">
        <f t="shared" si="130"/>
        <v>1</v>
      </c>
      <c r="M1111" s="152" t="s">
        <v>409</v>
      </c>
      <c r="N1111" s="153"/>
      <c r="O1111" s="153"/>
      <c r="P1111" s="153"/>
      <c r="Q1111" s="153"/>
      <c r="R1111" s="153"/>
      <c r="S1111" s="154">
        <f t="shared" si="131"/>
        <v>0</v>
      </c>
      <c r="T1111" s="153"/>
      <c r="U1111" s="169">
        <f t="shared" si="132"/>
        <v>0</v>
      </c>
      <c r="V1111" s="156"/>
      <c r="W1111" s="158"/>
      <c r="X1111" s="158"/>
      <c r="Y1111" s="158"/>
      <c r="Z1111" s="153"/>
      <c r="AA1111" s="159" t="s">
        <v>278</v>
      </c>
      <c r="AB1111" s="160"/>
      <c r="AC1111" s="157">
        <f t="shared" si="129"/>
        <v>0</v>
      </c>
    </row>
    <row r="1112" spans="10:29" ht="12.5" hidden="1">
      <c r="J1112" s="149"/>
      <c r="K1112" s="171">
        <f>MAX(K$827:K1111)+1</f>
        <v>286</v>
      </c>
      <c r="L1112" s="172">
        <f t="shared" si="130"/>
        <v>1</v>
      </c>
      <c r="M1112" s="152" t="s">
        <v>410</v>
      </c>
      <c r="N1112" s="153"/>
      <c r="O1112" s="153"/>
      <c r="P1112" s="153"/>
      <c r="Q1112" s="153"/>
      <c r="R1112" s="153"/>
      <c r="S1112" s="154">
        <f t="shared" si="131"/>
        <v>0</v>
      </c>
      <c r="T1112" s="153"/>
      <c r="U1112" s="169">
        <f t="shared" si="132"/>
        <v>0</v>
      </c>
      <c r="V1112" s="156"/>
      <c r="W1112" s="158"/>
      <c r="X1112" s="158"/>
      <c r="Y1112" s="158"/>
      <c r="Z1112" s="153"/>
      <c r="AA1112" s="159" t="s">
        <v>278</v>
      </c>
      <c r="AB1112" s="160"/>
      <c r="AC1112" s="157">
        <f t="shared" si="129"/>
        <v>0</v>
      </c>
    </row>
    <row r="1113" spans="10:29" ht="12.5" hidden="1">
      <c r="J1113" s="149"/>
      <c r="K1113" s="171">
        <f>MAX(K$827:K1112)+1</f>
        <v>287</v>
      </c>
      <c r="L1113" s="172">
        <f t="shared" si="130"/>
        <v>1</v>
      </c>
      <c r="M1113" s="152" t="s">
        <v>411</v>
      </c>
      <c r="N1113" s="153"/>
      <c r="O1113" s="153"/>
      <c r="P1113" s="153"/>
      <c r="Q1113" s="153"/>
      <c r="R1113" s="153"/>
      <c r="S1113" s="154">
        <f t="shared" si="131"/>
        <v>0</v>
      </c>
      <c r="T1113" s="153"/>
      <c r="U1113" s="169">
        <f t="shared" si="132"/>
        <v>0</v>
      </c>
      <c r="V1113" s="156"/>
      <c r="W1113" s="158"/>
      <c r="X1113" s="158"/>
      <c r="Y1113" s="158"/>
      <c r="Z1113" s="153"/>
      <c r="AA1113" s="159" t="s">
        <v>278</v>
      </c>
      <c r="AB1113" s="160"/>
      <c r="AC1113" s="157">
        <f t="shared" si="129"/>
        <v>0</v>
      </c>
    </row>
    <row r="1114" spans="10:29" ht="12.5" hidden="1">
      <c r="J1114" s="149"/>
      <c r="K1114" s="171">
        <f>MAX(K$827:K1113)+1</f>
        <v>288</v>
      </c>
      <c r="L1114" s="172">
        <f t="shared" si="130"/>
        <v>1</v>
      </c>
      <c r="M1114" s="152" t="s">
        <v>412</v>
      </c>
      <c r="N1114" s="153"/>
      <c r="O1114" s="153"/>
      <c r="P1114" s="153"/>
      <c r="Q1114" s="153"/>
      <c r="R1114" s="153"/>
      <c r="S1114" s="154">
        <f t="shared" si="131"/>
        <v>0</v>
      </c>
      <c r="T1114" s="153"/>
      <c r="U1114" s="169">
        <f t="shared" si="132"/>
        <v>0</v>
      </c>
      <c r="V1114" s="156"/>
      <c r="W1114" s="158"/>
      <c r="X1114" s="158"/>
      <c r="Y1114" s="158"/>
      <c r="Z1114" s="153"/>
      <c r="AA1114" s="159" t="s">
        <v>278</v>
      </c>
      <c r="AB1114" s="160"/>
      <c r="AC1114" s="157">
        <f t="shared" si="129"/>
        <v>0</v>
      </c>
    </row>
    <row r="1115" spans="10:29" ht="12.5" hidden="1">
      <c r="J1115" s="149"/>
      <c r="K1115" s="171">
        <f>MAX(K$827:K1114)+1</f>
        <v>289</v>
      </c>
      <c r="L1115" s="172">
        <f t="shared" si="130"/>
        <v>1</v>
      </c>
      <c r="M1115" s="152" t="s">
        <v>413</v>
      </c>
      <c r="N1115" s="153"/>
      <c r="O1115" s="153"/>
      <c r="P1115" s="153"/>
      <c r="Q1115" s="153"/>
      <c r="R1115" s="153"/>
      <c r="S1115" s="154">
        <f t="shared" si="131"/>
        <v>0</v>
      </c>
      <c r="T1115" s="153"/>
      <c r="U1115" s="169">
        <f t="shared" si="132"/>
        <v>0</v>
      </c>
      <c r="V1115" s="156"/>
      <c r="W1115" s="158"/>
      <c r="X1115" s="158"/>
      <c r="Y1115" s="158"/>
      <c r="Z1115" s="153"/>
      <c r="AA1115" s="159" t="s">
        <v>278</v>
      </c>
      <c r="AB1115" s="160"/>
      <c r="AC1115" s="157">
        <f t="shared" si="129"/>
        <v>0</v>
      </c>
    </row>
    <row r="1116" spans="10:29" ht="12.5" hidden="1">
      <c r="J1116" s="149"/>
      <c r="K1116" s="171">
        <f>MAX(K$827:K1115)+1</f>
        <v>290</v>
      </c>
      <c r="L1116" s="172">
        <f t="shared" si="130"/>
        <v>1</v>
      </c>
      <c r="M1116" s="152" t="s">
        <v>414</v>
      </c>
      <c r="N1116" s="153"/>
      <c r="O1116" s="153"/>
      <c r="P1116" s="153"/>
      <c r="Q1116" s="153"/>
      <c r="R1116" s="153"/>
      <c r="S1116" s="154">
        <f t="shared" si="131"/>
        <v>0</v>
      </c>
      <c r="T1116" s="153"/>
      <c r="U1116" s="169">
        <f t="shared" si="132"/>
        <v>0</v>
      </c>
      <c r="V1116" s="156"/>
      <c r="W1116" s="158"/>
      <c r="X1116" s="158"/>
      <c r="Y1116" s="158"/>
      <c r="Z1116" s="153"/>
      <c r="AA1116" s="159" t="s">
        <v>278</v>
      </c>
      <c r="AB1116" s="160"/>
      <c r="AC1116" s="157">
        <f t="shared" si="129"/>
        <v>0</v>
      </c>
    </row>
    <row r="1117" spans="10:29" ht="12.5" hidden="1">
      <c r="J1117" s="149"/>
      <c r="K1117" s="171">
        <f>MAX(K$827:K1116)+1</f>
        <v>291</v>
      </c>
      <c r="L1117" s="172">
        <f t="shared" si="130"/>
        <v>1</v>
      </c>
      <c r="M1117" s="152" t="s">
        <v>415</v>
      </c>
      <c r="N1117" s="153"/>
      <c r="O1117" s="153"/>
      <c r="P1117" s="153"/>
      <c r="Q1117" s="153"/>
      <c r="R1117" s="153"/>
      <c r="S1117" s="154">
        <f t="shared" si="131"/>
        <v>0</v>
      </c>
      <c r="T1117" s="153"/>
      <c r="U1117" s="169">
        <f t="shared" si="132"/>
        <v>0</v>
      </c>
      <c r="V1117" s="156"/>
      <c r="W1117" s="158"/>
      <c r="X1117" s="158"/>
      <c r="Y1117" s="158"/>
      <c r="Z1117" s="153"/>
      <c r="AA1117" s="159" t="s">
        <v>278</v>
      </c>
      <c r="AB1117" s="160"/>
      <c r="AC1117" s="157">
        <f t="shared" si="129"/>
        <v>0</v>
      </c>
    </row>
    <row r="1118" spans="10:29" ht="12.5" hidden="1">
      <c r="J1118" s="149"/>
      <c r="K1118" s="171">
        <f>MAX(K$827:K1117)+1</f>
        <v>292</v>
      </c>
      <c r="L1118" s="172">
        <f t="shared" si="130"/>
        <v>1</v>
      </c>
      <c r="M1118" s="152" t="s">
        <v>416</v>
      </c>
      <c r="N1118" s="153"/>
      <c r="O1118" s="153"/>
      <c r="P1118" s="153"/>
      <c r="Q1118" s="153"/>
      <c r="R1118" s="153"/>
      <c r="S1118" s="154">
        <f t="shared" si="131"/>
        <v>0</v>
      </c>
      <c r="T1118" s="153"/>
      <c r="U1118" s="169">
        <f t="shared" si="132"/>
        <v>0</v>
      </c>
      <c r="V1118" s="156"/>
      <c r="W1118" s="158"/>
      <c r="X1118" s="158"/>
      <c r="Y1118" s="158"/>
      <c r="Z1118" s="153"/>
      <c r="AA1118" s="159" t="s">
        <v>278</v>
      </c>
      <c r="AB1118" s="160"/>
      <c r="AC1118" s="157">
        <f t="shared" si="129"/>
        <v>0</v>
      </c>
    </row>
    <row r="1119" spans="10:29" ht="12.5" hidden="1">
      <c r="J1119" s="149"/>
      <c r="K1119" s="171">
        <f>MAX(K$827:K1118)+1</f>
        <v>293</v>
      </c>
      <c r="L1119" s="172">
        <f t="shared" si="130"/>
        <v>1</v>
      </c>
      <c r="M1119" s="152" t="s">
        <v>417</v>
      </c>
      <c r="N1119" s="153"/>
      <c r="O1119" s="153"/>
      <c r="P1119" s="153"/>
      <c r="Q1119" s="153"/>
      <c r="R1119" s="153"/>
      <c r="S1119" s="154">
        <f t="shared" si="131"/>
        <v>0</v>
      </c>
      <c r="T1119" s="153"/>
      <c r="U1119" s="169">
        <f t="shared" si="132"/>
        <v>0</v>
      </c>
      <c r="V1119" s="156"/>
      <c r="W1119" s="158"/>
      <c r="X1119" s="158"/>
      <c r="Y1119" s="158"/>
      <c r="Z1119" s="153"/>
      <c r="AA1119" s="159" t="s">
        <v>278</v>
      </c>
      <c r="AB1119" s="160"/>
      <c r="AC1119" s="157">
        <f t="shared" si="129"/>
        <v>0</v>
      </c>
    </row>
    <row r="1120" spans="10:29" ht="12.5" hidden="1">
      <c r="J1120" s="149"/>
      <c r="K1120" s="171">
        <f>MAX(K$827:K1119)+1</f>
        <v>294</v>
      </c>
      <c r="L1120" s="172">
        <f t="shared" si="130"/>
        <v>1</v>
      </c>
      <c r="M1120" s="152" t="s">
        <v>418</v>
      </c>
      <c r="N1120" s="153"/>
      <c r="O1120" s="153"/>
      <c r="P1120" s="153"/>
      <c r="Q1120" s="153"/>
      <c r="R1120" s="153"/>
      <c r="S1120" s="154">
        <f t="shared" si="131"/>
        <v>0</v>
      </c>
      <c r="T1120" s="153"/>
      <c r="U1120" s="169">
        <f t="shared" si="132"/>
        <v>0</v>
      </c>
      <c r="V1120" s="156"/>
      <c r="W1120" s="158"/>
      <c r="X1120" s="158"/>
      <c r="Y1120" s="158"/>
      <c r="Z1120" s="153"/>
      <c r="AA1120" s="159" t="s">
        <v>278</v>
      </c>
      <c r="AB1120" s="160"/>
      <c r="AC1120" s="157">
        <f t="shared" si="129"/>
        <v>0</v>
      </c>
    </row>
    <row r="1121" spans="10:29" ht="12.5" hidden="1">
      <c r="J1121" s="149"/>
      <c r="K1121" s="171">
        <f>MAX(K$827:K1120)+1</f>
        <v>295</v>
      </c>
      <c r="L1121" s="172">
        <f t="shared" si="130"/>
        <v>1</v>
      </c>
      <c r="M1121" s="152" t="s">
        <v>419</v>
      </c>
      <c r="N1121" s="153"/>
      <c r="O1121" s="153"/>
      <c r="P1121" s="153"/>
      <c r="Q1121" s="153"/>
      <c r="R1121" s="153"/>
      <c r="S1121" s="154">
        <f t="shared" si="131"/>
        <v>0</v>
      </c>
      <c r="T1121" s="153"/>
      <c r="U1121" s="169">
        <f t="shared" si="132"/>
        <v>0</v>
      </c>
      <c r="V1121" s="156"/>
      <c r="W1121" s="158"/>
      <c r="X1121" s="158"/>
      <c r="Y1121" s="158"/>
      <c r="Z1121" s="153"/>
      <c r="AA1121" s="159" t="s">
        <v>278</v>
      </c>
      <c r="AB1121" s="160"/>
      <c r="AC1121" s="157">
        <f t="shared" si="129"/>
        <v>0</v>
      </c>
    </row>
    <row r="1122" spans="10:29" ht="12.5" hidden="1">
      <c r="J1122" s="149"/>
      <c r="K1122" s="171">
        <f>MAX(K$827:K1121)+1</f>
        <v>296</v>
      </c>
      <c r="L1122" s="172">
        <f t="shared" si="130"/>
        <v>1</v>
      </c>
      <c r="M1122" s="152" t="s">
        <v>420</v>
      </c>
      <c r="N1122" s="153"/>
      <c r="O1122" s="153"/>
      <c r="P1122" s="153"/>
      <c r="Q1122" s="153"/>
      <c r="R1122" s="153"/>
      <c r="S1122" s="154">
        <f t="shared" si="131"/>
        <v>0</v>
      </c>
      <c r="T1122" s="153"/>
      <c r="U1122" s="169">
        <f t="shared" si="132"/>
        <v>0</v>
      </c>
      <c r="V1122" s="156"/>
      <c r="W1122" s="158"/>
      <c r="X1122" s="158"/>
      <c r="Y1122" s="158"/>
      <c r="Z1122" s="153"/>
      <c r="AA1122" s="159" t="s">
        <v>278</v>
      </c>
      <c r="AB1122" s="160"/>
      <c r="AC1122" s="157">
        <f t="shared" si="129"/>
        <v>0</v>
      </c>
    </row>
    <row r="1123" spans="10:29" ht="12.5" hidden="1">
      <c r="J1123" s="149"/>
      <c r="K1123" s="171">
        <f>MAX(K$827:K1122)+1</f>
        <v>297</v>
      </c>
      <c r="L1123" s="172">
        <f t="shared" si="130"/>
        <v>1</v>
      </c>
      <c r="M1123" s="152" t="s">
        <v>421</v>
      </c>
      <c r="N1123" s="153"/>
      <c r="O1123" s="153"/>
      <c r="P1123" s="153"/>
      <c r="Q1123" s="153"/>
      <c r="R1123" s="153"/>
      <c r="S1123" s="154">
        <f t="shared" si="131"/>
        <v>0</v>
      </c>
      <c r="T1123" s="153"/>
      <c r="U1123" s="169">
        <f t="shared" si="132"/>
        <v>0</v>
      </c>
      <c r="V1123" s="156"/>
      <c r="W1123" s="158"/>
      <c r="X1123" s="158"/>
      <c r="Y1123" s="158"/>
      <c r="Z1123" s="153"/>
      <c r="AA1123" s="159" t="s">
        <v>278</v>
      </c>
      <c r="AB1123" s="160"/>
      <c r="AC1123" s="157">
        <f t="shared" si="129"/>
        <v>0</v>
      </c>
    </row>
    <row r="1124" spans="10:29" ht="12.5" hidden="1">
      <c r="J1124" s="149"/>
      <c r="K1124" s="171">
        <f>MAX(K$827:K1123)+1</f>
        <v>298</v>
      </c>
      <c r="L1124" s="172">
        <f t="shared" si="130"/>
        <v>1</v>
      </c>
      <c r="M1124" s="152" t="s">
        <v>422</v>
      </c>
      <c r="N1124" s="153"/>
      <c r="O1124" s="153"/>
      <c r="P1124" s="153"/>
      <c r="Q1124" s="153"/>
      <c r="R1124" s="153"/>
      <c r="S1124" s="154">
        <f t="shared" si="131"/>
        <v>0</v>
      </c>
      <c r="T1124" s="153"/>
      <c r="U1124" s="169">
        <f t="shared" si="132"/>
        <v>0</v>
      </c>
      <c r="V1124" s="156"/>
      <c r="W1124" s="158"/>
      <c r="X1124" s="158"/>
      <c r="Y1124" s="158"/>
      <c r="Z1124" s="153"/>
      <c r="AA1124" s="159" t="s">
        <v>278</v>
      </c>
      <c r="AB1124" s="160"/>
      <c r="AC1124" s="157">
        <f t="shared" si="129"/>
        <v>0</v>
      </c>
    </row>
    <row r="1125" spans="10:29" ht="12.5" hidden="1">
      <c r="J1125" s="149"/>
      <c r="K1125" s="171">
        <f>MAX(K$827:K1124)+1</f>
        <v>299</v>
      </c>
      <c r="L1125" s="172">
        <f t="shared" si="130"/>
        <v>1</v>
      </c>
      <c r="M1125" s="152" t="s">
        <v>423</v>
      </c>
      <c r="N1125" s="153"/>
      <c r="O1125" s="153"/>
      <c r="P1125" s="153"/>
      <c r="Q1125" s="153"/>
      <c r="R1125" s="153"/>
      <c r="S1125" s="154">
        <f t="shared" si="131"/>
        <v>0</v>
      </c>
      <c r="T1125" s="153"/>
      <c r="U1125" s="169">
        <f t="shared" si="132"/>
        <v>0</v>
      </c>
      <c r="V1125" s="156"/>
      <c r="W1125" s="158"/>
      <c r="X1125" s="158"/>
      <c r="Y1125" s="158"/>
      <c r="Z1125" s="153"/>
      <c r="AA1125" s="159" t="s">
        <v>278</v>
      </c>
      <c r="AB1125" s="160"/>
      <c r="AC1125" s="157">
        <f t="shared" ref="AC1125:AC1188" si="133">INDEX(Y1125:Z1125,1,MATCH(_WellBasketSelection,$Y$826:$Z$826,0))*U1125</f>
        <v>0</v>
      </c>
    </row>
    <row r="1126" spans="10:29" ht="12.5" hidden="1">
      <c r="J1126" s="149"/>
      <c r="K1126" s="171">
        <f>MAX(K$827:K1125)+1</f>
        <v>300</v>
      </c>
      <c r="L1126" s="172">
        <f t="shared" si="130"/>
        <v>1</v>
      </c>
      <c r="M1126" s="152" t="s">
        <v>424</v>
      </c>
      <c r="N1126" s="153"/>
      <c r="O1126" s="153"/>
      <c r="P1126" s="153"/>
      <c r="Q1126" s="153"/>
      <c r="R1126" s="153"/>
      <c r="S1126" s="154">
        <f t="shared" si="131"/>
        <v>0</v>
      </c>
      <c r="T1126" s="153"/>
      <c r="U1126" s="169">
        <f t="shared" si="132"/>
        <v>0</v>
      </c>
      <c r="V1126" s="156"/>
      <c r="W1126" s="158"/>
      <c r="X1126" s="158"/>
      <c r="Y1126" s="158"/>
      <c r="Z1126" s="153"/>
      <c r="AA1126" s="159" t="s">
        <v>278</v>
      </c>
      <c r="AB1126" s="160"/>
      <c r="AC1126" s="157">
        <f t="shared" si="133"/>
        <v>0</v>
      </c>
    </row>
    <row r="1127" spans="10:29" ht="12.5" hidden="1">
      <c r="J1127" s="149"/>
      <c r="K1127" s="171">
        <f>MAX(K$827:K1126)+1</f>
        <v>301</v>
      </c>
      <c r="L1127" s="172">
        <f t="shared" si="130"/>
        <v>1</v>
      </c>
      <c r="M1127" s="152" t="s">
        <v>425</v>
      </c>
      <c r="N1127" s="153"/>
      <c r="O1127" s="153"/>
      <c r="P1127" s="153"/>
      <c r="Q1127" s="153"/>
      <c r="R1127" s="153"/>
      <c r="S1127" s="154">
        <f t="shared" si="131"/>
        <v>0</v>
      </c>
      <c r="T1127" s="153"/>
      <c r="U1127" s="169">
        <f t="shared" si="132"/>
        <v>0</v>
      </c>
      <c r="V1127" s="156"/>
      <c r="W1127" s="158"/>
      <c r="X1127" s="158"/>
      <c r="Y1127" s="158"/>
      <c r="Z1127" s="153"/>
      <c r="AA1127" s="159" t="s">
        <v>278</v>
      </c>
      <c r="AB1127" s="160"/>
      <c r="AC1127" s="157">
        <f t="shared" si="133"/>
        <v>0</v>
      </c>
    </row>
    <row r="1128" spans="10:29" ht="12.5" hidden="1">
      <c r="J1128" s="149"/>
      <c r="K1128" s="171">
        <f>MAX(K$827:K1127)+1</f>
        <v>302</v>
      </c>
      <c r="L1128" s="172">
        <f t="shared" si="130"/>
        <v>1</v>
      </c>
      <c r="M1128" s="152" t="s">
        <v>426</v>
      </c>
      <c r="N1128" s="153"/>
      <c r="O1128" s="153"/>
      <c r="P1128" s="153"/>
      <c r="Q1128" s="153"/>
      <c r="R1128" s="153"/>
      <c r="S1128" s="154">
        <f t="shared" si="131"/>
        <v>0</v>
      </c>
      <c r="T1128" s="153"/>
      <c r="U1128" s="169">
        <f t="shared" si="132"/>
        <v>0</v>
      </c>
      <c r="V1128" s="156"/>
      <c r="W1128" s="158"/>
      <c r="X1128" s="158"/>
      <c r="Y1128" s="158"/>
      <c r="Z1128" s="153"/>
      <c r="AA1128" s="159" t="s">
        <v>278</v>
      </c>
      <c r="AB1128" s="160"/>
      <c r="AC1128" s="157">
        <f t="shared" si="133"/>
        <v>0</v>
      </c>
    </row>
    <row r="1129" spans="10:29" ht="12.5" hidden="1">
      <c r="J1129" s="149"/>
      <c r="K1129" s="171">
        <f>MAX(K$827:K1128)+1</f>
        <v>303</v>
      </c>
      <c r="L1129" s="172">
        <f t="shared" si="130"/>
        <v>1</v>
      </c>
      <c r="M1129" s="152" t="s">
        <v>427</v>
      </c>
      <c r="N1129" s="153"/>
      <c r="O1129" s="153"/>
      <c r="P1129" s="153"/>
      <c r="Q1129" s="153"/>
      <c r="R1129" s="153"/>
      <c r="S1129" s="154">
        <f t="shared" si="131"/>
        <v>0</v>
      </c>
      <c r="T1129" s="153"/>
      <c r="U1129" s="169">
        <f t="shared" si="132"/>
        <v>0</v>
      </c>
      <c r="V1129" s="156"/>
      <c r="W1129" s="158"/>
      <c r="X1129" s="158"/>
      <c r="Y1129" s="158"/>
      <c r="Z1129" s="153"/>
      <c r="AA1129" s="159" t="s">
        <v>278</v>
      </c>
      <c r="AB1129" s="160"/>
      <c r="AC1129" s="157">
        <f t="shared" si="133"/>
        <v>0</v>
      </c>
    </row>
    <row r="1130" spans="10:29" ht="12.5" hidden="1">
      <c r="J1130" s="149"/>
      <c r="K1130" s="171">
        <f>MAX(K$827:K1129)+1</f>
        <v>304</v>
      </c>
      <c r="L1130" s="172">
        <f t="shared" si="130"/>
        <v>1</v>
      </c>
      <c r="M1130" s="152" t="s">
        <v>428</v>
      </c>
      <c r="N1130" s="153"/>
      <c r="O1130" s="153"/>
      <c r="P1130" s="153"/>
      <c r="Q1130" s="153"/>
      <c r="R1130" s="153"/>
      <c r="S1130" s="154">
        <f t="shared" si="131"/>
        <v>0</v>
      </c>
      <c r="T1130" s="153"/>
      <c r="U1130" s="169">
        <f t="shared" si="132"/>
        <v>0</v>
      </c>
      <c r="V1130" s="156"/>
      <c r="W1130" s="158"/>
      <c r="X1130" s="158"/>
      <c r="Y1130" s="158"/>
      <c r="Z1130" s="153"/>
      <c r="AA1130" s="159" t="s">
        <v>278</v>
      </c>
      <c r="AB1130" s="160"/>
      <c r="AC1130" s="157">
        <f t="shared" si="133"/>
        <v>0</v>
      </c>
    </row>
    <row r="1131" spans="10:29" ht="12.5" hidden="1">
      <c r="J1131" s="149"/>
      <c r="K1131" s="171">
        <f>MAX(K$827:K1130)+1</f>
        <v>305</v>
      </c>
      <c r="L1131" s="172">
        <f t="shared" si="130"/>
        <v>1</v>
      </c>
      <c r="M1131" s="152" t="s">
        <v>429</v>
      </c>
      <c r="N1131" s="153"/>
      <c r="O1131" s="153"/>
      <c r="P1131" s="153"/>
      <c r="Q1131" s="153"/>
      <c r="R1131" s="153"/>
      <c r="S1131" s="154">
        <f t="shared" si="131"/>
        <v>0</v>
      </c>
      <c r="T1131" s="153"/>
      <c r="U1131" s="169">
        <f t="shared" si="132"/>
        <v>0</v>
      </c>
      <c r="V1131" s="156"/>
      <c r="W1131" s="158"/>
      <c r="X1131" s="158"/>
      <c r="Y1131" s="158"/>
      <c r="Z1131" s="153"/>
      <c r="AA1131" s="159" t="s">
        <v>278</v>
      </c>
      <c r="AB1131" s="160"/>
      <c r="AC1131" s="157">
        <f t="shared" si="133"/>
        <v>0</v>
      </c>
    </row>
    <row r="1132" spans="10:29" ht="12.5" hidden="1">
      <c r="J1132" s="149"/>
      <c r="K1132" s="171">
        <f>MAX(K$827:K1131)+1</f>
        <v>306</v>
      </c>
      <c r="L1132" s="172">
        <f t="shared" si="130"/>
        <v>1</v>
      </c>
      <c r="M1132" s="152" t="s">
        <v>430</v>
      </c>
      <c r="N1132" s="153"/>
      <c r="O1132" s="153"/>
      <c r="P1132" s="153"/>
      <c r="Q1132" s="153"/>
      <c r="R1132" s="153"/>
      <c r="S1132" s="154">
        <f t="shared" si="131"/>
        <v>0</v>
      </c>
      <c r="T1132" s="153"/>
      <c r="U1132" s="169">
        <f t="shared" si="132"/>
        <v>0</v>
      </c>
      <c r="V1132" s="156"/>
      <c r="W1132" s="158"/>
      <c r="X1132" s="158"/>
      <c r="Y1132" s="158"/>
      <c r="Z1132" s="153"/>
      <c r="AA1132" s="159" t="s">
        <v>278</v>
      </c>
      <c r="AB1132" s="160"/>
      <c r="AC1132" s="157">
        <f t="shared" si="133"/>
        <v>0</v>
      </c>
    </row>
    <row r="1133" spans="10:29" ht="12.5" hidden="1">
      <c r="J1133" s="149"/>
      <c r="K1133" s="171">
        <f>MAX(K$827:K1132)+1</f>
        <v>307</v>
      </c>
      <c r="L1133" s="172">
        <f t="shared" si="130"/>
        <v>1</v>
      </c>
      <c r="M1133" s="152" t="s">
        <v>431</v>
      </c>
      <c r="N1133" s="153"/>
      <c r="O1133" s="153"/>
      <c r="P1133" s="153"/>
      <c r="Q1133" s="153"/>
      <c r="R1133" s="153"/>
      <c r="S1133" s="154">
        <f t="shared" si="131"/>
        <v>0</v>
      </c>
      <c r="T1133" s="153"/>
      <c r="U1133" s="169">
        <f t="shared" si="132"/>
        <v>0</v>
      </c>
      <c r="V1133" s="156"/>
      <c r="W1133" s="158"/>
      <c r="X1133" s="158"/>
      <c r="Y1133" s="158"/>
      <c r="Z1133" s="153"/>
      <c r="AA1133" s="159" t="s">
        <v>278</v>
      </c>
      <c r="AB1133" s="160"/>
      <c r="AC1133" s="157">
        <f t="shared" si="133"/>
        <v>0</v>
      </c>
    </row>
    <row r="1134" spans="10:29" ht="12.5" hidden="1">
      <c r="J1134" s="149"/>
      <c r="K1134" s="171">
        <f>MAX(K$827:K1133)+1</f>
        <v>308</v>
      </c>
      <c r="L1134" s="172">
        <f t="shared" si="130"/>
        <v>1</v>
      </c>
      <c r="M1134" s="152" t="s">
        <v>432</v>
      </c>
      <c r="N1134" s="153"/>
      <c r="O1134" s="153"/>
      <c r="P1134" s="153"/>
      <c r="Q1134" s="153"/>
      <c r="R1134" s="153"/>
      <c r="S1134" s="154">
        <f t="shared" si="131"/>
        <v>0</v>
      </c>
      <c r="T1134" s="153"/>
      <c r="U1134" s="169">
        <f t="shared" si="132"/>
        <v>0</v>
      </c>
      <c r="V1134" s="156"/>
      <c r="W1134" s="158"/>
      <c r="X1134" s="158"/>
      <c r="Y1134" s="158"/>
      <c r="Z1134" s="153"/>
      <c r="AA1134" s="159" t="s">
        <v>278</v>
      </c>
      <c r="AB1134" s="160"/>
      <c r="AC1134" s="157">
        <f t="shared" si="133"/>
        <v>0</v>
      </c>
    </row>
    <row r="1135" spans="10:29" ht="12.5" hidden="1">
      <c r="J1135" s="149"/>
      <c r="K1135" s="171">
        <f>MAX(K$827:K1134)+1</f>
        <v>309</v>
      </c>
      <c r="L1135" s="172">
        <f t="shared" si="130"/>
        <v>1</v>
      </c>
      <c r="M1135" s="152" t="s">
        <v>433</v>
      </c>
      <c r="N1135" s="153"/>
      <c r="O1135" s="153"/>
      <c r="P1135" s="153"/>
      <c r="Q1135" s="153"/>
      <c r="R1135" s="153"/>
      <c r="S1135" s="154">
        <f t="shared" si="131"/>
        <v>0</v>
      </c>
      <c r="T1135" s="153"/>
      <c r="U1135" s="169">
        <f t="shared" si="132"/>
        <v>0</v>
      </c>
      <c r="V1135" s="156"/>
      <c r="W1135" s="158"/>
      <c r="X1135" s="158"/>
      <c r="Y1135" s="158"/>
      <c r="Z1135" s="153"/>
      <c r="AA1135" s="159" t="s">
        <v>278</v>
      </c>
      <c r="AB1135" s="160"/>
      <c r="AC1135" s="157">
        <f t="shared" si="133"/>
        <v>0</v>
      </c>
    </row>
    <row r="1136" spans="10:29" ht="12.5" hidden="1">
      <c r="J1136" s="149"/>
      <c r="K1136" s="171">
        <f>MAX(K$827:K1135)+1</f>
        <v>310</v>
      </c>
      <c r="L1136" s="172">
        <f t="shared" si="130"/>
        <v>1</v>
      </c>
      <c r="M1136" s="152" t="s">
        <v>434</v>
      </c>
      <c r="N1136" s="153"/>
      <c r="O1136" s="153"/>
      <c r="P1136" s="153"/>
      <c r="Q1136" s="153"/>
      <c r="R1136" s="153"/>
      <c r="S1136" s="154">
        <f t="shared" si="131"/>
        <v>0</v>
      </c>
      <c r="T1136" s="153"/>
      <c r="U1136" s="169">
        <f t="shared" si="132"/>
        <v>0</v>
      </c>
      <c r="V1136" s="156"/>
      <c r="W1136" s="158"/>
      <c r="X1136" s="158"/>
      <c r="Y1136" s="158"/>
      <c r="Z1136" s="153"/>
      <c r="AA1136" s="159" t="s">
        <v>278</v>
      </c>
      <c r="AB1136" s="160"/>
      <c r="AC1136" s="157">
        <f t="shared" si="133"/>
        <v>0</v>
      </c>
    </row>
    <row r="1137" spans="10:30" ht="12.5" hidden="1">
      <c r="J1137" s="149"/>
      <c r="K1137" s="171">
        <f>MAX(K$827:K1136)+1</f>
        <v>311</v>
      </c>
      <c r="L1137" s="172">
        <f t="shared" si="130"/>
        <v>1</v>
      </c>
      <c r="M1137" s="152" t="s">
        <v>435</v>
      </c>
      <c r="N1137" s="153"/>
      <c r="O1137" s="153"/>
      <c r="P1137" s="153"/>
      <c r="Q1137" s="153"/>
      <c r="R1137" s="153"/>
      <c r="S1137" s="154">
        <f t="shared" si="131"/>
        <v>0</v>
      </c>
      <c r="T1137" s="153"/>
      <c r="U1137" s="169">
        <f t="shared" si="132"/>
        <v>0</v>
      </c>
      <c r="V1137" s="156"/>
      <c r="W1137" s="158"/>
      <c r="X1137" s="158"/>
      <c r="Y1137" s="158"/>
      <c r="Z1137" s="153"/>
      <c r="AA1137" s="159" t="s">
        <v>278</v>
      </c>
      <c r="AB1137" s="160"/>
      <c r="AC1137" s="157">
        <f t="shared" si="133"/>
        <v>0</v>
      </c>
    </row>
    <row r="1138" spans="10:30" ht="12.5" hidden="1">
      <c r="J1138" s="149"/>
      <c r="K1138" s="171">
        <f>MAX(K$827:K1137)+1</f>
        <v>312</v>
      </c>
      <c r="L1138" s="172">
        <f t="shared" si="130"/>
        <v>1</v>
      </c>
      <c r="M1138" s="152" t="s">
        <v>436</v>
      </c>
      <c r="N1138" s="153"/>
      <c r="O1138" s="153"/>
      <c r="P1138" s="153"/>
      <c r="Q1138" s="153"/>
      <c r="R1138" s="153"/>
      <c r="S1138" s="154">
        <f t="shared" si="131"/>
        <v>0</v>
      </c>
      <c r="T1138" s="153"/>
      <c r="U1138" s="169">
        <f t="shared" si="132"/>
        <v>0</v>
      </c>
      <c r="V1138" s="156"/>
      <c r="W1138" s="158"/>
      <c r="X1138" s="158"/>
      <c r="Y1138" s="158"/>
      <c r="Z1138" s="153"/>
      <c r="AA1138" s="159" t="s">
        <v>278</v>
      </c>
      <c r="AB1138" s="160"/>
      <c r="AC1138" s="157">
        <f t="shared" si="133"/>
        <v>0</v>
      </c>
    </row>
    <row r="1139" spans="10:30" ht="12.5" hidden="1">
      <c r="J1139" s="149"/>
      <c r="K1139" s="171">
        <f>MAX(K$827:K1138)+1</f>
        <v>313</v>
      </c>
      <c r="L1139" s="172">
        <f t="shared" si="130"/>
        <v>1</v>
      </c>
      <c r="M1139" s="152" t="s">
        <v>437</v>
      </c>
      <c r="N1139" s="153"/>
      <c r="O1139" s="153"/>
      <c r="P1139" s="153"/>
      <c r="Q1139" s="153"/>
      <c r="R1139" s="153"/>
      <c r="S1139" s="154">
        <f t="shared" si="131"/>
        <v>0</v>
      </c>
      <c r="T1139" s="153"/>
      <c r="U1139" s="169">
        <f t="shared" si="132"/>
        <v>0</v>
      </c>
      <c r="V1139" s="156"/>
      <c r="W1139" s="158"/>
      <c r="X1139" s="158"/>
      <c r="Y1139" s="158"/>
      <c r="Z1139" s="153"/>
      <c r="AA1139" s="159" t="s">
        <v>278</v>
      </c>
      <c r="AB1139" s="160"/>
      <c r="AC1139" s="157">
        <f t="shared" si="133"/>
        <v>0</v>
      </c>
      <c r="AD1139" s="131"/>
    </row>
    <row r="1140" spans="10:30" ht="12.5" hidden="1">
      <c r="J1140" s="149"/>
      <c r="K1140" s="171">
        <f>MAX(K$827:K1139)+1</f>
        <v>314</v>
      </c>
      <c r="L1140" s="172">
        <f t="shared" si="130"/>
        <v>1</v>
      </c>
      <c r="M1140" s="152" t="s">
        <v>438</v>
      </c>
      <c r="N1140" s="153"/>
      <c r="O1140" s="153"/>
      <c r="P1140" s="153"/>
      <c r="Q1140" s="153"/>
      <c r="R1140" s="153"/>
      <c r="S1140" s="154">
        <f t="shared" si="131"/>
        <v>0</v>
      </c>
      <c r="T1140" s="153"/>
      <c r="U1140" s="169">
        <f t="shared" si="132"/>
        <v>0</v>
      </c>
      <c r="V1140" s="156"/>
      <c r="W1140" s="158"/>
      <c r="X1140" s="158"/>
      <c r="Y1140" s="158"/>
      <c r="Z1140" s="153"/>
      <c r="AA1140" s="159" t="s">
        <v>278</v>
      </c>
      <c r="AB1140" s="160"/>
      <c r="AC1140" s="157">
        <f t="shared" si="133"/>
        <v>0</v>
      </c>
    </row>
    <row r="1141" spans="10:30" ht="12.5" hidden="1">
      <c r="J1141" s="149"/>
      <c r="K1141" s="171">
        <f>MAX(K$827:K1140)+1</f>
        <v>315</v>
      </c>
      <c r="L1141" s="172">
        <f t="shared" si="130"/>
        <v>1</v>
      </c>
      <c r="M1141" s="152" t="s">
        <v>439</v>
      </c>
      <c r="N1141" s="153"/>
      <c r="O1141" s="153"/>
      <c r="P1141" s="153"/>
      <c r="Q1141" s="153"/>
      <c r="R1141" s="153"/>
      <c r="S1141" s="154">
        <f t="shared" si="131"/>
        <v>0</v>
      </c>
      <c r="T1141" s="153"/>
      <c r="U1141" s="169">
        <f t="shared" si="132"/>
        <v>0</v>
      </c>
      <c r="V1141" s="156"/>
      <c r="W1141" s="158"/>
      <c r="X1141" s="158"/>
      <c r="Y1141" s="158"/>
      <c r="Z1141" s="153"/>
      <c r="AA1141" s="159" t="s">
        <v>278</v>
      </c>
      <c r="AB1141" s="160"/>
      <c r="AC1141" s="157">
        <f t="shared" si="133"/>
        <v>0</v>
      </c>
    </row>
    <row r="1142" spans="10:30" ht="12.5" hidden="1">
      <c r="J1142" s="149"/>
      <c r="K1142" s="171">
        <f>MAX(K$827:K1141)+1</f>
        <v>316</v>
      </c>
      <c r="L1142" s="172">
        <f t="shared" si="130"/>
        <v>1</v>
      </c>
      <c r="M1142" s="152" t="s">
        <v>440</v>
      </c>
      <c r="N1142" s="153"/>
      <c r="O1142" s="153"/>
      <c r="P1142" s="153"/>
      <c r="Q1142" s="153"/>
      <c r="R1142" s="153"/>
      <c r="S1142" s="154">
        <f t="shared" si="131"/>
        <v>0</v>
      </c>
      <c r="T1142" s="153"/>
      <c r="U1142" s="169">
        <f t="shared" si="132"/>
        <v>0</v>
      </c>
      <c r="V1142" s="156"/>
      <c r="W1142" s="158"/>
      <c r="X1142" s="158"/>
      <c r="Y1142" s="158"/>
      <c r="Z1142" s="153"/>
      <c r="AA1142" s="159" t="s">
        <v>278</v>
      </c>
      <c r="AB1142" s="160"/>
      <c r="AC1142" s="157">
        <f t="shared" si="133"/>
        <v>0</v>
      </c>
    </row>
    <row r="1143" spans="10:30" ht="12.5" hidden="1">
      <c r="J1143" s="149"/>
      <c r="K1143" s="171">
        <f>MAX(K$827:K1142)+1</f>
        <v>317</v>
      </c>
      <c r="L1143" s="172">
        <f t="shared" si="130"/>
        <v>1</v>
      </c>
      <c r="M1143" s="152" t="s">
        <v>441</v>
      </c>
      <c r="N1143" s="153"/>
      <c r="O1143" s="153"/>
      <c r="P1143" s="153"/>
      <c r="Q1143" s="153"/>
      <c r="R1143" s="153"/>
      <c r="S1143" s="154">
        <f t="shared" si="131"/>
        <v>0</v>
      </c>
      <c r="T1143" s="153"/>
      <c r="U1143" s="169">
        <f t="shared" si="132"/>
        <v>0</v>
      </c>
      <c r="V1143" s="156"/>
      <c r="W1143" s="158"/>
      <c r="X1143" s="158"/>
      <c r="Y1143" s="158"/>
      <c r="Z1143" s="153"/>
      <c r="AA1143" s="159" t="s">
        <v>278</v>
      </c>
      <c r="AB1143" s="160"/>
      <c r="AC1143" s="157">
        <f t="shared" si="133"/>
        <v>0</v>
      </c>
    </row>
    <row r="1144" spans="10:30" ht="12.5" hidden="1">
      <c r="J1144" s="149"/>
      <c r="K1144" s="171">
        <f>MAX(K$827:K1143)+1</f>
        <v>318</v>
      </c>
      <c r="L1144" s="172">
        <f t="shared" si="130"/>
        <v>1</v>
      </c>
      <c r="M1144" s="152" t="s">
        <v>442</v>
      </c>
      <c r="N1144" s="153"/>
      <c r="O1144" s="153"/>
      <c r="P1144" s="153"/>
      <c r="Q1144" s="153"/>
      <c r="R1144" s="153"/>
      <c r="S1144" s="154">
        <f t="shared" si="131"/>
        <v>0</v>
      </c>
      <c r="T1144" s="153"/>
      <c r="U1144" s="169">
        <f t="shared" si="132"/>
        <v>0</v>
      </c>
      <c r="V1144" s="156"/>
      <c r="W1144" s="158"/>
      <c r="X1144" s="158"/>
      <c r="Y1144" s="158"/>
      <c r="Z1144" s="153"/>
      <c r="AA1144" s="159" t="s">
        <v>278</v>
      </c>
      <c r="AB1144" s="160"/>
      <c r="AC1144" s="157">
        <f t="shared" si="133"/>
        <v>0</v>
      </c>
    </row>
    <row r="1145" spans="10:30" ht="12.5" hidden="1">
      <c r="J1145" s="149"/>
      <c r="K1145" s="171">
        <f>MAX(K$827:K1144)+1</f>
        <v>319</v>
      </c>
      <c r="L1145" s="172">
        <f t="shared" si="130"/>
        <v>1</v>
      </c>
      <c r="M1145" s="152" t="s">
        <v>443</v>
      </c>
      <c r="N1145" s="153"/>
      <c r="O1145" s="153"/>
      <c r="P1145" s="153"/>
      <c r="Q1145" s="153"/>
      <c r="R1145" s="153"/>
      <c r="S1145" s="154">
        <f t="shared" si="131"/>
        <v>0</v>
      </c>
      <c r="T1145" s="153"/>
      <c r="U1145" s="169">
        <f t="shared" si="132"/>
        <v>0</v>
      </c>
      <c r="V1145" s="156"/>
      <c r="W1145" s="158"/>
      <c r="X1145" s="158"/>
      <c r="Y1145" s="158"/>
      <c r="Z1145" s="153"/>
      <c r="AA1145" s="159" t="s">
        <v>278</v>
      </c>
      <c r="AB1145" s="160"/>
      <c r="AC1145" s="157">
        <f t="shared" si="133"/>
        <v>0</v>
      </c>
    </row>
    <row r="1146" spans="10:30" ht="12.5" hidden="1">
      <c r="J1146" s="149"/>
      <c r="K1146" s="171">
        <f>MAX(K$827:K1145)+1</f>
        <v>320</v>
      </c>
      <c r="L1146" s="172">
        <f t="shared" si="130"/>
        <v>1</v>
      </c>
      <c r="M1146" s="152" t="s">
        <v>444</v>
      </c>
      <c r="N1146" s="153"/>
      <c r="O1146" s="153"/>
      <c r="P1146" s="153"/>
      <c r="Q1146" s="153"/>
      <c r="R1146" s="153"/>
      <c r="S1146" s="154">
        <f t="shared" si="131"/>
        <v>0</v>
      </c>
      <c r="T1146" s="153"/>
      <c r="U1146" s="169">
        <f t="shared" si="132"/>
        <v>0</v>
      </c>
      <c r="V1146" s="156"/>
      <c r="W1146" s="158"/>
      <c r="X1146" s="158"/>
      <c r="Y1146" s="158"/>
      <c r="Z1146" s="153"/>
      <c r="AA1146" s="159" t="s">
        <v>278</v>
      </c>
      <c r="AB1146" s="160"/>
      <c r="AC1146" s="157">
        <f t="shared" si="133"/>
        <v>0</v>
      </c>
    </row>
    <row r="1147" spans="10:30" ht="12.5" hidden="1">
      <c r="J1147" s="149"/>
      <c r="K1147" s="171">
        <f>MAX(K$827:K1146)+1</f>
        <v>321</v>
      </c>
      <c r="L1147" s="172">
        <f t="shared" si="130"/>
        <v>1</v>
      </c>
      <c r="M1147" s="152" t="s">
        <v>445</v>
      </c>
      <c r="N1147" s="153"/>
      <c r="O1147" s="153"/>
      <c r="P1147" s="153"/>
      <c r="Q1147" s="153"/>
      <c r="R1147" s="153"/>
      <c r="S1147" s="154">
        <f t="shared" si="131"/>
        <v>0</v>
      </c>
      <c r="T1147" s="153"/>
      <c r="U1147" s="169">
        <f t="shared" si="132"/>
        <v>0</v>
      </c>
      <c r="V1147" s="156"/>
      <c r="W1147" s="158"/>
      <c r="X1147" s="158"/>
      <c r="Y1147" s="158"/>
      <c r="Z1147" s="153"/>
      <c r="AA1147" s="159" t="s">
        <v>278</v>
      </c>
      <c r="AB1147" s="160"/>
      <c r="AC1147" s="157">
        <f t="shared" si="133"/>
        <v>0</v>
      </c>
    </row>
    <row r="1148" spans="10:30" ht="12.5" hidden="1">
      <c r="J1148" s="149"/>
      <c r="K1148" s="171">
        <f>MAX(K$827:K1147)+1</f>
        <v>322</v>
      </c>
      <c r="L1148" s="172">
        <f t="shared" ref="L1148:L1211" si="134">IF(J1147="",L1147,L1147+1)</f>
        <v>1</v>
      </c>
      <c r="M1148" s="152" t="s">
        <v>446</v>
      </c>
      <c r="N1148" s="153"/>
      <c r="O1148" s="153"/>
      <c r="P1148" s="153"/>
      <c r="Q1148" s="153"/>
      <c r="R1148" s="153"/>
      <c r="S1148" s="154">
        <f t="shared" ref="S1148:S1211" si="135">SUM(N1148:R1148)</f>
        <v>0</v>
      </c>
      <c r="T1148" s="153"/>
      <c r="U1148" s="169">
        <f t="shared" si="132"/>
        <v>0</v>
      </c>
      <c r="V1148" s="156"/>
      <c r="W1148" s="158"/>
      <c r="X1148" s="158"/>
      <c r="Y1148" s="158"/>
      <c r="Z1148" s="153"/>
      <c r="AA1148" s="159" t="s">
        <v>278</v>
      </c>
      <c r="AB1148" s="160"/>
      <c r="AC1148" s="157">
        <f t="shared" si="133"/>
        <v>0</v>
      </c>
    </row>
    <row r="1149" spans="10:30" ht="12.5" hidden="1">
      <c r="J1149" s="149"/>
      <c r="K1149" s="171">
        <f>MAX(K$827:K1148)+1</f>
        <v>323</v>
      </c>
      <c r="L1149" s="172">
        <f t="shared" si="134"/>
        <v>1</v>
      </c>
      <c r="M1149" s="152" t="s">
        <v>447</v>
      </c>
      <c r="N1149" s="153"/>
      <c r="O1149" s="153"/>
      <c r="P1149" s="153"/>
      <c r="Q1149" s="153"/>
      <c r="R1149" s="153"/>
      <c r="S1149" s="154">
        <f t="shared" si="135"/>
        <v>0</v>
      </c>
      <c r="T1149" s="153"/>
      <c r="U1149" s="169">
        <f t="shared" si="132"/>
        <v>0</v>
      </c>
      <c r="V1149" s="156"/>
      <c r="W1149" s="158"/>
      <c r="X1149" s="158"/>
      <c r="Y1149" s="158"/>
      <c r="Z1149" s="153"/>
      <c r="AA1149" s="159" t="s">
        <v>278</v>
      </c>
      <c r="AB1149" s="160"/>
      <c r="AC1149" s="157">
        <f t="shared" si="133"/>
        <v>0</v>
      </c>
    </row>
    <row r="1150" spans="10:30" ht="12.5" hidden="1">
      <c r="J1150" s="149"/>
      <c r="K1150" s="171">
        <f>MAX(K$827:K1149)+1</f>
        <v>324</v>
      </c>
      <c r="L1150" s="172">
        <f t="shared" si="134"/>
        <v>1</v>
      </c>
      <c r="M1150" s="152" t="s">
        <v>448</v>
      </c>
      <c r="N1150" s="153"/>
      <c r="O1150" s="153"/>
      <c r="P1150" s="153"/>
      <c r="Q1150" s="153"/>
      <c r="R1150" s="153"/>
      <c r="S1150" s="154">
        <f t="shared" si="135"/>
        <v>0</v>
      </c>
      <c r="T1150" s="153"/>
      <c r="U1150" s="169">
        <f t="shared" si="132"/>
        <v>0</v>
      </c>
      <c r="V1150" s="156"/>
      <c r="W1150" s="158"/>
      <c r="X1150" s="158"/>
      <c r="Y1150" s="158"/>
      <c r="Z1150" s="153"/>
      <c r="AA1150" s="159" t="s">
        <v>278</v>
      </c>
      <c r="AB1150" s="160"/>
      <c r="AC1150" s="157">
        <f t="shared" si="133"/>
        <v>0</v>
      </c>
    </row>
    <row r="1151" spans="10:30" ht="12.5" hidden="1">
      <c r="J1151" s="149"/>
      <c r="K1151" s="171">
        <f>MAX(K$827:K1150)+1</f>
        <v>325</v>
      </c>
      <c r="L1151" s="172">
        <f t="shared" si="134"/>
        <v>1</v>
      </c>
      <c r="M1151" s="152" t="s">
        <v>449</v>
      </c>
      <c r="N1151" s="153"/>
      <c r="O1151" s="153"/>
      <c r="P1151" s="153"/>
      <c r="Q1151" s="153"/>
      <c r="R1151" s="153"/>
      <c r="S1151" s="154">
        <f t="shared" si="135"/>
        <v>0</v>
      </c>
      <c r="T1151" s="153"/>
      <c r="U1151" s="169">
        <f t="shared" si="132"/>
        <v>0</v>
      </c>
      <c r="V1151" s="156"/>
      <c r="W1151" s="158"/>
      <c r="X1151" s="158"/>
      <c r="Y1151" s="158"/>
      <c r="Z1151" s="153"/>
      <c r="AA1151" s="159" t="s">
        <v>278</v>
      </c>
      <c r="AB1151" s="160"/>
      <c r="AC1151" s="157">
        <f t="shared" si="133"/>
        <v>0</v>
      </c>
    </row>
    <row r="1152" spans="10:30" ht="12.5" hidden="1">
      <c r="J1152" s="149"/>
      <c r="K1152" s="171">
        <f>MAX(K$827:K1151)+1</f>
        <v>326</v>
      </c>
      <c r="L1152" s="172">
        <f t="shared" si="134"/>
        <v>1</v>
      </c>
      <c r="M1152" s="152" t="s">
        <v>450</v>
      </c>
      <c r="N1152" s="153"/>
      <c r="O1152" s="153"/>
      <c r="P1152" s="153"/>
      <c r="Q1152" s="153"/>
      <c r="R1152" s="153"/>
      <c r="S1152" s="154">
        <f t="shared" si="135"/>
        <v>0</v>
      </c>
      <c r="T1152" s="153"/>
      <c r="U1152" s="169">
        <f t="shared" si="132"/>
        <v>0</v>
      </c>
      <c r="V1152" s="156"/>
      <c r="W1152" s="158"/>
      <c r="X1152" s="158"/>
      <c r="Y1152" s="158"/>
      <c r="Z1152" s="153"/>
      <c r="AA1152" s="159" t="s">
        <v>278</v>
      </c>
      <c r="AB1152" s="160"/>
      <c r="AC1152" s="157">
        <f t="shared" si="133"/>
        <v>0</v>
      </c>
    </row>
    <row r="1153" spans="10:29" ht="12.5" hidden="1">
      <c r="J1153" s="149"/>
      <c r="K1153" s="171">
        <f>MAX(K$827:K1152)+1</f>
        <v>327</v>
      </c>
      <c r="L1153" s="172">
        <f t="shared" si="134"/>
        <v>1</v>
      </c>
      <c r="M1153" s="152" t="s">
        <v>451</v>
      </c>
      <c r="N1153" s="153"/>
      <c r="O1153" s="153"/>
      <c r="P1153" s="153"/>
      <c r="Q1153" s="153"/>
      <c r="R1153" s="153"/>
      <c r="S1153" s="154">
        <f t="shared" si="135"/>
        <v>0</v>
      </c>
      <c r="T1153" s="153"/>
      <c r="U1153" s="169">
        <f t="shared" si="132"/>
        <v>0</v>
      </c>
      <c r="V1153" s="156"/>
      <c r="W1153" s="158"/>
      <c r="X1153" s="158"/>
      <c r="Y1153" s="158"/>
      <c r="Z1153" s="153"/>
      <c r="AA1153" s="159" t="s">
        <v>278</v>
      </c>
      <c r="AB1153" s="160"/>
      <c r="AC1153" s="157">
        <f t="shared" si="133"/>
        <v>0</v>
      </c>
    </row>
    <row r="1154" spans="10:29" ht="12.5" hidden="1">
      <c r="J1154" s="149"/>
      <c r="K1154" s="171">
        <f>MAX(K$827:K1153)+1</f>
        <v>328</v>
      </c>
      <c r="L1154" s="172">
        <f t="shared" si="134"/>
        <v>1</v>
      </c>
      <c r="M1154" s="152" t="s">
        <v>452</v>
      </c>
      <c r="N1154" s="153"/>
      <c r="O1154" s="153"/>
      <c r="P1154" s="153"/>
      <c r="Q1154" s="153"/>
      <c r="R1154" s="153"/>
      <c r="S1154" s="154">
        <f t="shared" si="135"/>
        <v>0</v>
      </c>
      <c r="T1154" s="153"/>
      <c r="U1154" s="169">
        <f t="shared" si="132"/>
        <v>0</v>
      </c>
      <c r="V1154" s="156"/>
      <c r="W1154" s="158"/>
      <c r="X1154" s="158"/>
      <c r="Y1154" s="158"/>
      <c r="Z1154" s="153"/>
      <c r="AA1154" s="159" t="s">
        <v>278</v>
      </c>
      <c r="AB1154" s="160"/>
      <c r="AC1154" s="157">
        <f t="shared" si="133"/>
        <v>0</v>
      </c>
    </row>
    <row r="1155" spans="10:29" ht="12.5" hidden="1">
      <c r="J1155" s="149"/>
      <c r="K1155" s="171">
        <f>MAX(K$827:K1154)+1</f>
        <v>329</v>
      </c>
      <c r="L1155" s="172">
        <f t="shared" si="134"/>
        <v>1</v>
      </c>
      <c r="M1155" s="152" t="s">
        <v>453</v>
      </c>
      <c r="N1155" s="153"/>
      <c r="O1155" s="153"/>
      <c r="P1155" s="153"/>
      <c r="Q1155" s="153"/>
      <c r="R1155" s="153"/>
      <c r="S1155" s="154">
        <f t="shared" si="135"/>
        <v>0</v>
      </c>
      <c r="T1155" s="153"/>
      <c r="U1155" s="169">
        <f t="shared" si="132"/>
        <v>0</v>
      </c>
      <c r="V1155" s="156"/>
      <c r="W1155" s="158"/>
      <c r="X1155" s="158"/>
      <c r="Y1155" s="158"/>
      <c r="Z1155" s="153"/>
      <c r="AA1155" s="159" t="s">
        <v>278</v>
      </c>
      <c r="AB1155" s="160"/>
      <c r="AC1155" s="157">
        <f t="shared" si="133"/>
        <v>0</v>
      </c>
    </row>
    <row r="1156" spans="10:29" ht="12.5" hidden="1">
      <c r="J1156" s="149"/>
      <c r="K1156" s="171">
        <f>MAX(K$827:K1155)+1</f>
        <v>330</v>
      </c>
      <c r="L1156" s="172">
        <f t="shared" si="134"/>
        <v>1</v>
      </c>
      <c r="M1156" s="152" t="s">
        <v>454</v>
      </c>
      <c r="N1156" s="153"/>
      <c r="O1156" s="153"/>
      <c r="P1156" s="153"/>
      <c r="Q1156" s="153"/>
      <c r="R1156" s="153"/>
      <c r="S1156" s="154">
        <f t="shared" si="135"/>
        <v>0</v>
      </c>
      <c r="T1156" s="153"/>
      <c r="U1156" s="169">
        <f t="shared" si="132"/>
        <v>0</v>
      </c>
      <c r="V1156" s="156"/>
      <c r="W1156" s="158"/>
      <c r="X1156" s="158"/>
      <c r="Y1156" s="158"/>
      <c r="Z1156" s="153"/>
      <c r="AA1156" s="159" t="s">
        <v>278</v>
      </c>
      <c r="AB1156" s="160"/>
      <c r="AC1156" s="157">
        <f t="shared" si="133"/>
        <v>0</v>
      </c>
    </row>
    <row r="1157" spans="10:29" ht="12.5" hidden="1">
      <c r="J1157" s="149"/>
      <c r="K1157" s="171">
        <f>MAX(K$827:K1156)+1</f>
        <v>331</v>
      </c>
      <c r="L1157" s="172">
        <f t="shared" si="134"/>
        <v>1</v>
      </c>
      <c r="M1157" s="152" t="s">
        <v>455</v>
      </c>
      <c r="N1157" s="153"/>
      <c r="O1157" s="153"/>
      <c r="P1157" s="153"/>
      <c r="Q1157" s="153"/>
      <c r="R1157" s="153"/>
      <c r="S1157" s="154">
        <f t="shared" si="135"/>
        <v>0</v>
      </c>
      <c r="T1157" s="153"/>
      <c r="U1157" s="169">
        <f t="shared" si="132"/>
        <v>0</v>
      </c>
      <c r="V1157" s="156"/>
      <c r="W1157" s="158"/>
      <c r="X1157" s="158"/>
      <c r="Y1157" s="158"/>
      <c r="Z1157" s="153"/>
      <c r="AA1157" s="159" t="s">
        <v>278</v>
      </c>
      <c r="AB1157" s="160"/>
      <c r="AC1157" s="157">
        <f t="shared" si="133"/>
        <v>0</v>
      </c>
    </row>
    <row r="1158" spans="10:29" ht="12.5" hidden="1">
      <c r="J1158" s="149"/>
      <c r="K1158" s="171">
        <f>MAX(K$827:K1157)+1</f>
        <v>332</v>
      </c>
      <c r="L1158" s="172">
        <f t="shared" si="134"/>
        <v>1</v>
      </c>
      <c r="M1158" s="152" t="s">
        <v>456</v>
      </c>
      <c r="N1158" s="153"/>
      <c r="O1158" s="153"/>
      <c r="P1158" s="153"/>
      <c r="Q1158" s="153"/>
      <c r="R1158" s="153"/>
      <c r="S1158" s="154">
        <f t="shared" si="135"/>
        <v>0</v>
      </c>
      <c r="T1158" s="153"/>
      <c r="U1158" s="169">
        <f t="shared" si="132"/>
        <v>0</v>
      </c>
      <c r="V1158" s="156"/>
      <c r="W1158" s="158"/>
      <c r="X1158" s="158"/>
      <c r="Y1158" s="158"/>
      <c r="Z1158" s="153"/>
      <c r="AA1158" s="159" t="s">
        <v>278</v>
      </c>
      <c r="AB1158" s="160"/>
      <c r="AC1158" s="157">
        <f t="shared" si="133"/>
        <v>0</v>
      </c>
    </row>
    <row r="1159" spans="10:29" ht="12.5" hidden="1">
      <c r="J1159" s="149"/>
      <c r="K1159" s="171">
        <f>MAX(K$827:K1158)+1</f>
        <v>333</v>
      </c>
      <c r="L1159" s="172">
        <f t="shared" si="134"/>
        <v>1</v>
      </c>
      <c r="M1159" s="152" t="s">
        <v>457</v>
      </c>
      <c r="N1159" s="153"/>
      <c r="O1159" s="153"/>
      <c r="P1159" s="153"/>
      <c r="Q1159" s="153"/>
      <c r="R1159" s="153"/>
      <c r="S1159" s="154">
        <f t="shared" si="135"/>
        <v>0</v>
      </c>
      <c r="T1159" s="153"/>
      <c r="U1159" s="169">
        <f t="shared" si="132"/>
        <v>0</v>
      </c>
      <c r="V1159" s="156"/>
      <c r="W1159" s="158"/>
      <c r="X1159" s="158"/>
      <c r="Y1159" s="158"/>
      <c r="Z1159" s="153"/>
      <c r="AA1159" s="159" t="s">
        <v>278</v>
      </c>
      <c r="AB1159" s="160"/>
      <c r="AC1159" s="157">
        <f t="shared" si="133"/>
        <v>0</v>
      </c>
    </row>
    <row r="1160" spans="10:29" ht="12.5" hidden="1">
      <c r="J1160" s="149"/>
      <c r="K1160" s="171">
        <f>MAX(K$827:K1159)+1</f>
        <v>334</v>
      </c>
      <c r="L1160" s="172">
        <f t="shared" si="134"/>
        <v>1</v>
      </c>
      <c r="M1160" s="152" t="s">
        <v>458</v>
      </c>
      <c r="N1160" s="153"/>
      <c r="O1160" s="153"/>
      <c r="P1160" s="153"/>
      <c r="Q1160" s="153"/>
      <c r="R1160" s="153"/>
      <c r="S1160" s="154">
        <f t="shared" si="135"/>
        <v>0</v>
      </c>
      <c r="T1160" s="153"/>
      <c r="U1160" s="169">
        <f t="shared" si="132"/>
        <v>0</v>
      </c>
      <c r="V1160" s="156"/>
      <c r="W1160" s="158"/>
      <c r="X1160" s="158"/>
      <c r="Y1160" s="158"/>
      <c r="Z1160" s="153"/>
      <c r="AA1160" s="159" t="s">
        <v>278</v>
      </c>
      <c r="AB1160" s="160"/>
      <c r="AC1160" s="157">
        <f t="shared" si="133"/>
        <v>0</v>
      </c>
    </row>
    <row r="1161" spans="10:29" ht="12.5" hidden="1">
      <c r="J1161" s="149"/>
      <c r="K1161" s="171">
        <f>MAX(K$827:K1160)+1</f>
        <v>335</v>
      </c>
      <c r="L1161" s="172">
        <f t="shared" si="134"/>
        <v>1</v>
      </c>
      <c r="M1161" s="152" t="s">
        <v>459</v>
      </c>
      <c r="N1161" s="153"/>
      <c r="O1161" s="153"/>
      <c r="P1161" s="153"/>
      <c r="Q1161" s="153"/>
      <c r="R1161" s="153"/>
      <c r="S1161" s="154">
        <f t="shared" si="135"/>
        <v>0</v>
      </c>
      <c r="T1161" s="153"/>
      <c r="U1161" s="169">
        <f t="shared" si="132"/>
        <v>0</v>
      </c>
      <c r="V1161" s="156"/>
      <c r="W1161" s="158"/>
      <c r="X1161" s="158"/>
      <c r="Y1161" s="158"/>
      <c r="Z1161" s="153"/>
      <c r="AA1161" s="159" t="s">
        <v>278</v>
      </c>
      <c r="AB1161" s="160"/>
      <c r="AC1161" s="157">
        <f t="shared" si="133"/>
        <v>0</v>
      </c>
    </row>
    <row r="1162" spans="10:29" ht="12.5" hidden="1">
      <c r="J1162" s="149"/>
      <c r="K1162" s="171">
        <f>MAX(K$827:K1161)+1</f>
        <v>336</v>
      </c>
      <c r="L1162" s="172">
        <f t="shared" si="134"/>
        <v>1</v>
      </c>
      <c r="M1162" s="152" t="s">
        <v>460</v>
      </c>
      <c r="N1162" s="153"/>
      <c r="O1162" s="153"/>
      <c r="P1162" s="153"/>
      <c r="Q1162" s="153"/>
      <c r="R1162" s="153"/>
      <c r="S1162" s="154">
        <f t="shared" si="135"/>
        <v>0</v>
      </c>
      <c r="T1162" s="153"/>
      <c r="U1162" s="169">
        <f t="shared" si="132"/>
        <v>0</v>
      </c>
      <c r="V1162" s="156"/>
      <c r="W1162" s="158"/>
      <c r="X1162" s="158"/>
      <c r="Y1162" s="158"/>
      <c r="Z1162" s="153"/>
      <c r="AA1162" s="159" t="s">
        <v>278</v>
      </c>
      <c r="AB1162" s="160"/>
      <c r="AC1162" s="157">
        <f t="shared" si="133"/>
        <v>0</v>
      </c>
    </row>
    <row r="1163" spans="10:29" ht="12.5" hidden="1">
      <c r="J1163" s="149"/>
      <c r="K1163" s="171">
        <f>MAX(K$827:K1162)+1</f>
        <v>337</v>
      </c>
      <c r="L1163" s="172">
        <f t="shared" si="134"/>
        <v>1</v>
      </c>
      <c r="M1163" s="152" t="s">
        <v>461</v>
      </c>
      <c r="N1163" s="153"/>
      <c r="O1163" s="153"/>
      <c r="P1163" s="153"/>
      <c r="Q1163" s="153"/>
      <c r="R1163" s="153"/>
      <c r="S1163" s="154">
        <f t="shared" si="135"/>
        <v>0</v>
      </c>
      <c r="T1163" s="153"/>
      <c r="U1163" s="169">
        <f t="shared" si="132"/>
        <v>0</v>
      </c>
      <c r="V1163" s="156"/>
      <c r="W1163" s="158"/>
      <c r="X1163" s="158"/>
      <c r="Y1163" s="158"/>
      <c r="Z1163" s="153"/>
      <c r="AA1163" s="159" t="s">
        <v>278</v>
      </c>
      <c r="AB1163" s="160"/>
      <c r="AC1163" s="157">
        <f t="shared" si="133"/>
        <v>0</v>
      </c>
    </row>
    <row r="1164" spans="10:29" ht="12.5" hidden="1">
      <c r="J1164" s="149"/>
      <c r="K1164" s="171">
        <f>MAX(K$827:K1163)+1</f>
        <v>338</v>
      </c>
      <c r="L1164" s="172">
        <f t="shared" si="134"/>
        <v>1</v>
      </c>
      <c r="M1164" s="152" t="s">
        <v>462</v>
      </c>
      <c r="N1164" s="153"/>
      <c r="O1164" s="153"/>
      <c r="P1164" s="153"/>
      <c r="Q1164" s="153"/>
      <c r="R1164" s="153"/>
      <c r="S1164" s="154">
        <f t="shared" si="135"/>
        <v>0</v>
      </c>
      <c r="T1164" s="153"/>
      <c r="U1164" s="169">
        <f t="shared" si="132"/>
        <v>0</v>
      </c>
      <c r="V1164" s="156"/>
      <c r="W1164" s="158"/>
      <c r="X1164" s="158"/>
      <c r="Y1164" s="158"/>
      <c r="Z1164" s="153"/>
      <c r="AA1164" s="159" t="s">
        <v>278</v>
      </c>
      <c r="AB1164" s="160"/>
      <c r="AC1164" s="157">
        <f t="shared" si="133"/>
        <v>0</v>
      </c>
    </row>
    <row r="1165" spans="10:29" ht="12.5" hidden="1">
      <c r="J1165" s="149"/>
      <c r="K1165" s="171">
        <f>MAX(K$827:K1164)+1</f>
        <v>339</v>
      </c>
      <c r="L1165" s="172">
        <f t="shared" si="134"/>
        <v>1</v>
      </c>
      <c r="M1165" s="152" t="s">
        <v>463</v>
      </c>
      <c r="N1165" s="153"/>
      <c r="O1165" s="153"/>
      <c r="P1165" s="153"/>
      <c r="Q1165" s="153"/>
      <c r="R1165" s="153"/>
      <c r="S1165" s="154">
        <f t="shared" si="135"/>
        <v>0</v>
      </c>
      <c r="T1165" s="153"/>
      <c r="U1165" s="169">
        <f t="shared" si="132"/>
        <v>0</v>
      </c>
      <c r="V1165" s="156"/>
      <c r="W1165" s="158"/>
      <c r="X1165" s="158"/>
      <c r="Y1165" s="158"/>
      <c r="Z1165" s="153"/>
      <c r="AA1165" s="159" t="s">
        <v>278</v>
      </c>
      <c r="AB1165" s="160"/>
      <c r="AC1165" s="157">
        <f t="shared" si="133"/>
        <v>0</v>
      </c>
    </row>
    <row r="1166" spans="10:29" ht="12.5" hidden="1">
      <c r="J1166" s="149"/>
      <c r="K1166" s="171">
        <f>MAX(K$827:K1165)+1</f>
        <v>340</v>
      </c>
      <c r="L1166" s="172">
        <f t="shared" si="134"/>
        <v>1</v>
      </c>
      <c r="M1166" s="152" t="s">
        <v>464</v>
      </c>
      <c r="N1166" s="153"/>
      <c r="O1166" s="153"/>
      <c r="P1166" s="153"/>
      <c r="Q1166" s="153"/>
      <c r="R1166" s="153"/>
      <c r="S1166" s="154">
        <f t="shared" si="135"/>
        <v>0</v>
      </c>
      <c r="T1166" s="153"/>
      <c r="U1166" s="169">
        <f t="shared" si="132"/>
        <v>0</v>
      </c>
      <c r="V1166" s="156"/>
      <c r="W1166" s="158"/>
      <c r="X1166" s="158"/>
      <c r="Y1166" s="158"/>
      <c r="Z1166" s="153"/>
      <c r="AA1166" s="159" t="s">
        <v>278</v>
      </c>
      <c r="AB1166" s="160"/>
      <c r="AC1166" s="157">
        <f t="shared" si="133"/>
        <v>0</v>
      </c>
    </row>
    <row r="1167" spans="10:29" ht="12.5" hidden="1">
      <c r="J1167" s="149"/>
      <c r="K1167" s="171">
        <f>MAX(K$827:K1166)+1</f>
        <v>341</v>
      </c>
      <c r="L1167" s="172">
        <f t="shared" si="134"/>
        <v>1</v>
      </c>
      <c r="M1167" s="152" t="s">
        <v>465</v>
      </c>
      <c r="N1167" s="153"/>
      <c r="O1167" s="153"/>
      <c r="P1167" s="153"/>
      <c r="Q1167" s="153"/>
      <c r="R1167" s="153"/>
      <c r="S1167" s="154">
        <f t="shared" si="135"/>
        <v>0</v>
      </c>
      <c r="T1167" s="153"/>
      <c r="U1167" s="169">
        <f t="shared" si="132"/>
        <v>0</v>
      </c>
      <c r="V1167" s="156"/>
      <c r="W1167" s="158"/>
      <c r="X1167" s="158"/>
      <c r="Y1167" s="158"/>
      <c r="Z1167" s="153"/>
      <c r="AA1167" s="159" t="s">
        <v>278</v>
      </c>
      <c r="AB1167" s="160"/>
      <c r="AC1167" s="157">
        <f t="shared" si="133"/>
        <v>0</v>
      </c>
    </row>
    <row r="1168" spans="10:29" ht="12.5" hidden="1">
      <c r="J1168" s="149"/>
      <c r="K1168" s="171">
        <f>MAX(K$827:K1167)+1</f>
        <v>342</v>
      </c>
      <c r="L1168" s="172">
        <f t="shared" si="134"/>
        <v>1</v>
      </c>
      <c r="M1168" s="152" t="s">
        <v>466</v>
      </c>
      <c r="N1168" s="153"/>
      <c r="O1168" s="153"/>
      <c r="P1168" s="153"/>
      <c r="Q1168" s="153"/>
      <c r="R1168" s="153"/>
      <c r="S1168" s="154">
        <f t="shared" si="135"/>
        <v>0</v>
      </c>
      <c r="T1168" s="153"/>
      <c r="U1168" s="169">
        <f t="shared" si="132"/>
        <v>0</v>
      </c>
      <c r="V1168" s="156"/>
      <c r="W1168" s="158"/>
      <c r="X1168" s="158"/>
      <c r="Y1168" s="158"/>
      <c r="Z1168" s="153"/>
      <c r="AA1168" s="159" t="s">
        <v>278</v>
      </c>
      <c r="AB1168" s="160"/>
      <c r="AC1168" s="157">
        <f t="shared" si="133"/>
        <v>0</v>
      </c>
    </row>
    <row r="1169" spans="10:29" ht="12.5" hidden="1">
      <c r="J1169" s="149"/>
      <c r="K1169" s="171">
        <f>MAX(K$827:K1168)+1</f>
        <v>343</v>
      </c>
      <c r="L1169" s="172">
        <f t="shared" si="134"/>
        <v>1</v>
      </c>
      <c r="M1169" s="152" t="s">
        <v>467</v>
      </c>
      <c r="N1169" s="153"/>
      <c r="O1169" s="153"/>
      <c r="P1169" s="153"/>
      <c r="Q1169" s="153"/>
      <c r="R1169" s="153"/>
      <c r="S1169" s="154">
        <f t="shared" si="135"/>
        <v>0</v>
      </c>
      <c r="T1169" s="153"/>
      <c r="U1169" s="169">
        <f t="shared" si="132"/>
        <v>0</v>
      </c>
      <c r="V1169" s="156"/>
      <c r="W1169" s="158"/>
      <c r="X1169" s="158"/>
      <c r="Y1169" s="158"/>
      <c r="Z1169" s="153"/>
      <c r="AA1169" s="159" t="s">
        <v>278</v>
      </c>
      <c r="AB1169" s="160"/>
      <c r="AC1169" s="157">
        <f t="shared" si="133"/>
        <v>0</v>
      </c>
    </row>
    <row r="1170" spans="10:29" ht="12.5" hidden="1">
      <c r="J1170" s="149"/>
      <c r="K1170" s="171">
        <f>MAX(K$827:K1169)+1</f>
        <v>344</v>
      </c>
      <c r="L1170" s="172">
        <f t="shared" si="134"/>
        <v>1</v>
      </c>
      <c r="M1170" s="152" t="s">
        <v>468</v>
      </c>
      <c r="N1170" s="153"/>
      <c r="O1170" s="153"/>
      <c r="P1170" s="153"/>
      <c r="Q1170" s="153"/>
      <c r="R1170" s="153"/>
      <c r="S1170" s="154">
        <f t="shared" si="135"/>
        <v>0</v>
      </c>
      <c r="T1170" s="153"/>
      <c r="U1170" s="169">
        <f t="shared" si="132"/>
        <v>0</v>
      </c>
      <c r="V1170" s="156"/>
      <c r="W1170" s="158"/>
      <c r="X1170" s="158"/>
      <c r="Y1170" s="158"/>
      <c r="Z1170" s="153"/>
      <c r="AA1170" s="159" t="s">
        <v>278</v>
      </c>
      <c r="AB1170" s="160"/>
      <c r="AC1170" s="157">
        <f t="shared" si="133"/>
        <v>0</v>
      </c>
    </row>
    <row r="1171" spans="10:29" ht="12.5" hidden="1">
      <c r="J1171" s="149"/>
      <c r="K1171" s="171">
        <f>MAX(K$827:K1170)+1</f>
        <v>345</v>
      </c>
      <c r="L1171" s="172">
        <f t="shared" si="134"/>
        <v>1</v>
      </c>
      <c r="M1171" s="152" t="s">
        <v>469</v>
      </c>
      <c r="N1171" s="153"/>
      <c r="O1171" s="153"/>
      <c r="P1171" s="153"/>
      <c r="Q1171" s="153"/>
      <c r="R1171" s="153"/>
      <c r="S1171" s="154">
        <f t="shared" si="135"/>
        <v>0</v>
      </c>
      <c r="T1171" s="153"/>
      <c r="U1171" s="169">
        <f t="shared" si="132"/>
        <v>0</v>
      </c>
      <c r="V1171" s="156"/>
      <c r="W1171" s="158"/>
      <c r="X1171" s="158"/>
      <c r="Y1171" s="158"/>
      <c r="Z1171" s="153"/>
      <c r="AA1171" s="159" t="s">
        <v>278</v>
      </c>
      <c r="AB1171" s="160"/>
      <c r="AC1171" s="157">
        <f t="shared" si="133"/>
        <v>0</v>
      </c>
    </row>
    <row r="1172" spans="10:29" ht="12.5" hidden="1">
      <c r="J1172" s="149"/>
      <c r="K1172" s="171">
        <f>MAX(K$827:K1171)+1</f>
        <v>346</v>
      </c>
      <c r="L1172" s="172">
        <f t="shared" si="134"/>
        <v>1</v>
      </c>
      <c r="M1172" s="152" t="s">
        <v>470</v>
      </c>
      <c r="N1172" s="153"/>
      <c r="O1172" s="153"/>
      <c r="P1172" s="153"/>
      <c r="Q1172" s="153"/>
      <c r="R1172" s="153"/>
      <c r="S1172" s="154">
        <f t="shared" si="135"/>
        <v>0</v>
      </c>
      <c r="T1172" s="153"/>
      <c r="U1172" s="169">
        <f t="shared" si="132"/>
        <v>0</v>
      </c>
      <c r="V1172" s="156"/>
      <c r="W1172" s="158"/>
      <c r="X1172" s="158"/>
      <c r="Y1172" s="158"/>
      <c r="Z1172" s="153"/>
      <c r="AA1172" s="159" t="s">
        <v>278</v>
      </c>
      <c r="AB1172" s="160"/>
      <c r="AC1172" s="157">
        <f t="shared" si="133"/>
        <v>0</v>
      </c>
    </row>
    <row r="1173" spans="10:29" ht="12.5" hidden="1">
      <c r="J1173" s="149"/>
      <c r="K1173" s="171">
        <f>MAX(K$827:K1172)+1</f>
        <v>347</v>
      </c>
      <c r="L1173" s="172">
        <f t="shared" si="134"/>
        <v>1</v>
      </c>
      <c r="M1173" s="152" t="s">
        <v>471</v>
      </c>
      <c r="N1173" s="153"/>
      <c r="O1173" s="153"/>
      <c r="P1173" s="153"/>
      <c r="Q1173" s="153"/>
      <c r="R1173" s="153"/>
      <c r="S1173" s="154">
        <f t="shared" si="135"/>
        <v>0</v>
      </c>
      <c r="T1173" s="153"/>
      <c r="U1173" s="169">
        <f t="shared" ref="U1173:U1236" si="136">T1173+S1173</f>
        <v>0</v>
      </c>
      <c r="V1173" s="156"/>
      <c r="W1173" s="158"/>
      <c r="X1173" s="158"/>
      <c r="Y1173" s="158"/>
      <c r="Z1173" s="153"/>
      <c r="AA1173" s="159" t="s">
        <v>278</v>
      </c>
      <c r="AB1173" s="160"/>
      <c r="AC1173" s="157">
        <f t="shared" si="133"/>
        <v>0</v>
      </c>
    </row>
    <row r="1174" spans="10:29" ht="12.5" hidden="1">
      <c r="J1174" s="149"/>
      <c r="K1174" s="171">
        <f>MAX(K$827:K1173)+1</f>
        <v>348</v>
      </c>
      <c r="L1174" s="172">
        <f t="shared" si="134"/>
        <v>1</v>
      </c>
      <c r="M1174" s="152" t="s">
        <v>472</v>
      </c>
      <c r="N1174" s="153"/>
      <c r="O1174" s="153"/>
      <c r="P1174" s="153"/>
      <c r="Q1174" s="153"/>
      <c r="R1174" s="153"/>
      <c r="S1174" s="154">
        <f t="shared" si="135"/>
        <v>0</v>
      </c>
      <c r="T1174" s="153"/>
      <c r="U1174" s="169">
        <f t="shared" si="136"/>
        <v>0</v>
      </c>
      <c r="V1174" s="156"/>
      <c r="W1174" s="158"/>
      <c r="X1174" s="158"/>
      <c r="Y1174" s="158"/>
      <c r="Z1174" s="153"/>
      <c r="AA1174" s="159" t="s">
        <v>278</v>
      </c>
      <c r="AB1174" s="160"/>
      <c r="AC1174" s="157">
        <f t="shared" si="133"/>
        <v>0</v>
      </c>
    </row>
    <row r="1175" spans="10:29" ht="12.5" hidden="1">
      <c r="J1175" s="149"/>
      <c r="K1175" s="171">
        <f>MAX(K$827:K1174)+1</f>
        <v>349</v>
      </c>
      <c r="L1175" s="172">
        <f t="shared" si="134"/>
        <v>1</v>
      </c>
      <c r="M1175" s="152" t="s">
        <v>473</v>
      </c>
      <c r="N1175" s="153"/>
      <c r="O1175" s="153"/>
      <c r="P1175" s="153"/>
      <c r="Q1175" s="153"/>
      <c r="R1175" s="153"/>
      <c r="S1175" s="154">
        <f t="shared" si="135"/>
        <v>0</v>
      </c>
      <c r="T1175" s="153"/>
      <c r="U1175" s="169">
        <f t="shared" si="136"/>
        <v>0</v>
      </c>
      <c r="V1175" s="156"/>
      <c r="W1175" s="158"/>
      <c r="X1175" s="158"/>
      <c r="Y1175" s="158"/>
      <c r="Z1175" s="153"/>
      <c r="AA1175" s="159" t="s">
        <v>278</v>
      </c>
      <c r="AB1175" s="160"/>
      <c r="AC1175" s="157">
        <f t="shared" si="133"/>
        <v>0</v>
      </c>
    </row>
    <row r="1176" spans="10:29" ht="12.5" hidden="1">
      <c r="J1176" s="149"/>
      <c r="K1176" s="171">
        <f>MAX(K$827:K1175)+1</f>
        <v>350</v>
      </c>
      <c r="L1176" s="172">
        <f t="shared" si="134"/>
        <v>1</v>
      </c>
      <c r="M1176" s="152" t="s">
        <v>474</v>
      </c>
      <c r="N1176" s="153"/>
      <c r="O1176" s="153"/>
      <c r="P1176" s="153"/>
      <c r="Q1176" s="153"/>
      <c r="R1176" s="153"/>
      <c r="S1176" s="154">
        <f t="shared" si="135"/>
        <v>0</v>
      </c>
      <c r="T1176" s="153"/>
      <c r="U1176" s="169">
        <f t="shared" si="136"/>
        <v>0</v>
      </c>
      <c r="V1176" s="156"/>
      <c r="W1176" s="158"/>
      <c r="X1176" s="158"/>
      <c r="Y1176" s="158"/>
      <c r="Z1176" s="153"/>
      <c r="AA1176" s="159" t="s">
        <v>278</v>
      </c>
      <c r="AB1176" s="160"/>
      <c r="AC1176" s="157">
        <f t="shared" si="133"/>
        <v>0</v>
      </c>
    </row>
    <row r="1177" spans="10:29" ht="12.5" hidden="1">
      <c r="J1177" s="149"/>
      <c r="K1177" s="171">
        <f>MAX(K$827:K1176)+1</f>
        <v>351</v>
      </c>
      <c r="L1177" s="172">
        <f t="shared" si="134"/>
        <v>1</v>
      </c>
      <c r="M1177" s="152" t="s">
        <v>475</v>
      </c>
      <c r="N1177" s="153"/>
      <c r="O1177" s="153"/>
      <c r="P1177" s="153"/>
      <c r="Q1177" s="153"/>
      <c r="R1177" s="153"/>
      <c r="S1177" s="154">
        <f t="shared" si="135"/>
        <v>0</v>
      </c>
      <c r="T1177" s="153"/>
      <c r="U1177" s="169">
        <f t="shared" si="136"/>
        <v>0</v>
      </c>
      <c r="V1177" s="156"/>
      <c r="W1177" s="158"/>
      <c r="X1177" s="158"/>
      <c r="Y1177" s="158"/>
      <c r="Z1177" s="153"/>
      <c r="AA1177" s="159" t="s">
        <v>278</v>
      </c>
      <c r="AB1177" s="160"/>
      <c r="AC1177" s="157">
        <f t="shared" si="133"/>
        <v>0</v>
      </c>
    </row>
    <row r="1178" spans="10:29" ht="12.5" hidden="1">
      <c r="J1178" s="149"/>
      <c r="K1178" s="171">
        <f>MAX(K$827:K1177)+1</f>
        <v>352</v>
      </c>
      <c r="L1178" s="172">
        <f t="shared" si="134"/>
        <v>1</v>
      </c>
      <c r="M1178" s="152" t="s">
        <v>476</v>
      </c>
      <c r="N1178" s="153"/>
      <c r="O1178" s="153"/>
      <c r="P1178" s="153"/>
      <c r="Q1178" s="153"/>
      <c r="R1178" s="153"/>
      <c r="S1178" s="154">
        <f t="shared" si="135"/>
        <v>0</v>
      </c>
      <c r="T1178" s="153"/>
      <c r="U1178" s="169">
        <f t="shared" si="136"/>
        <v>0</v>
      </c>
      <c r="V1178" s="156"/>
      <c r="W1178" s="158"/>
      <c r="X1178" s="158"/>
      <c r="Y1178" s="158"/>
      <c r="Z1178" s="153"/>
      <c r="AA1178" s="159" t="s">
        <v>278</v>
      </c>
      <c r="AB1178" s="160"/>
      <c r="AC1178" s="157">
        <f t="shared" si="133"/>
        <v>0</v>
      </c>
    </row>
    <row r="1179" spans="10:29" ht="12.5" hidden="1">
      <c r="J1179" s="149"/>
      <c r="K1179" s="171">
        <f>MAX(K$827:K1178)+1</f>
        <v>353</v>
      </c>
      <c r="L1179" s="172">
        <f t="shared" si="134"/>
        <v>1</v>
      </c>
      <c r="M1179" s="152" t="s">
        <v>477</v>
      </c>
      <c r="N1179" s="153"/>
      <c r="O1179" s="153"/>
      <c r="P1179" s="153"/>
      <c r="Q1179" s="153"/>
      <c r="R1179" s="153"/>
      <c r="S1179" s="154">
        <f t="shared" si="135"/>
        <v>0</v>
      </c>
      <c r="T1179" s="153"/>
      <c r="U1179" s="169">
        <f t="shared" si="136"/>
        <v>0</v>
      </c>
      <c r="V1179" s="156"/>
      <c r="W1179" s="158"/>
      <c r="X1179" s="158"/>
      <c r="Y1179" s="158"/>
      <c r="Z1179" s="153"/>
      <c r="AA1179" s="159" t="s">
        <v>278</v>
      </c>
      <c r="AB1179" s="160"/>
      <c r="AC1179" s="157">
        <f t="shared" si="133"/>
        <v>0</v>
      </c>
    </row>
    <row r="1180" spans="10:29" ht="12.5" hidden="1">
      <c r="J1180" s="149"/>
      <c r="K1180" s="171">
        <f>MAX(K$827:K1179)+1</f>
        <v>354</v>
      </c>
      <c r="L1180" s="172">
        <f t="shared" si="134"/>
        <v>1</v>
      </c>
      <c r="M1180" s="152" t="s">
        <v>478</v>
      </c>
      <c r="N1180" s="153"/>
      <c r="O1180" s="153"/>
      <c r="P1180" s="153"/>
      <c r="Q1180" s="153"/>
      <c r="R1180" s="153"/>
      <c r="S1180" s="154">
        <f t="shared" si="135"/>
        <v>0</v>
      </c>
      <c r="T1180" s="153"/>
      <c r="U1180" s="169">
        <f t="shared" si="136"/>
        <v>0</v>
      </c>
      <c r="V1180" s="156"/>
      <c r="W1180" s="158"/>
      <c r="X1180" s="158"/>
      <c r="Y1180" s="158"/>
      <c r="Z1180" s="153"/>
      <c r="AA1180" s="159" t="s">
        <v>278</v>
      </c>
      <c r="AB1180" s="160"/>
      <c r="AC1180" s="157">
        <f t="shared" si="133"/>
        <v>0</v>
      </c>
    </row>
    <row r="1181" spans="10:29" ht="12.5" hidden="1">
      <c r="J1181" s="149"/>
      <c r="K1181" s="171">
        <f>MAX(K$827:K1180)+1</f>
        <v>355</v>
      </c>
      <c r="L1181" s="172">
        <f t="shared" si="134"/>
        <v>1</v>
      </c>
      <c r="M1181" s="152" t="s">
        <v>479</v>
      </c>
      <c r="N1181" s="153"/>
      <c r="O1181" s="153"/>
      <c r="P1181" s="153"/>
      <c r="Q1181" s="153"/>
      <c r="R1181" s="153"/>
      <c r="S1181" s="154">
        <f t="shared" si="135"/>
        <v>0</v>
      </c>
      <c r="T1181" s="153"/>
      <c r="U1181" s="169">
        <f t="shared" si="136"/>
        <v>0</v>
      </c>
      <c r="V1181" s="156"/>
      <c r="W1181" s="158"/>
      <c r="X1181" s="158"/>
      <c r="Y1181" s="158"/>
      <c r="Z1181" s="153"/>
      <c r="AA1181" s="159" t="s">
        <v>278</v>
      </c>
      <c r="AB1181" s="160"/>
      <c r="AC1181" s="157">
        <f t="shared" si="133"/>
        <v>0</v>
      </c>
    </row>
    <row r="1182" spans="10:29" ht="12.5" hidden="1">
      <c r="J1182" s="149"/>
      <c r="K1182" s="171">
        <f>MAX(K$827:K1181)+1</f>
        <v>356</v>
      </c>
      <c r="L1182" s="172">
        <f t="shared" si="134"/>
        <v>1</v>
      </c>
      <c r="M1182" s="152" t="s">
        <v>480</v>
      </c>
      <c r="N1182" s="153"/>
      <c r="O1182" s="153"/>
      <c r="P1182" s="153"/>
      <c r="Q1182" s="153"/>
      <c r="R1182" s="153"/>
      <c r="S1182" s="154">
        <f t="shared" si="135"/>
        <v>0</v>
      </c>
      <c r="T1182" s="153"/>
      <c r="U1182" s="169">
        <f t="shared" si="136"/>
        <v>0</v>
      </c>
      <c r="V1182" s="156"/>
      <c r="W1182" s="158"/>
      <c r="X1182" s="158"/>
      <c r="Y1182" s="158"/>
      <c r="Z1182" s="153"/>
      <c r="AA1182" s="159" t="s">
        <v>278</v>
      </c>
      <c r="AB1182" s="160"/>
      <c r="AC1182" s="157">
        <f t="shared" si="133"/>
        <v>0</v>
      </c>
    </row>
    <row r="1183" spans="10:29" ht="12.5" hidden="1">
      <c r="J1183" s="149"/>
      <c r="K1183" s="171">
        <f>MAX(K$827:K1182)+1</f>
        <v>357</v>
      </c>
      <c r="L1183" s="172">
        <f t="shared" si="134"/>
        <v>1</v>
      </c>
      <c r="M1183" s="152" t="s">
        <v>481</v>
      </c>
      <c r="N1183" s="153"/>
      <c r="O1183" s="153"/>
      <c r="P1183" s="153"/>
      <c r="Q1183" s="153"/>
      <c r="R1183" s="153"/>
      <c r="S1183" s="154">
        <f t="shared" si="135"/>
        <v>0</v>
      </c>
      <c r="T1183" s="153"/>
      <c r="U1183" s="169">
        <f t="shared" si="136"/>
        <v>0</v>
      </c>
      <c r="V1183" s="156"/>
      <c r="W1183" s="158"/>
      <c r="X1183" s="158"/>
      <c r="Y1183" s="158"/>
      <c r="Z1183" s="153"/>
      <c r="AA1183" s="159" t="s">
        <v>278</v>
      </c>
      <c r="AB1183" s="160"/>
      <c r="AC1183" s="157">
        <f t="shared" si="133"/>
        <v>0</v>
      </c>
    </row>
    <row r="1184" spans="10:29" ht="12.5" hidden="1">
      <c r="J1184" s="149"/>
      <c r="K1184" s="171">
        <f>MAX(K$827:K1183)+1</f>
        <v>358</v>
      </c>
      <c r="L1184" s="172">
        <f t="shared" si="134"/>
        <v>1</v>
      </c>
      <c r="M1184" s="152" t="s">
        <v>482</v>
      </c>
      <c r="N1184" s="153"/>
      <c r="O1184" s="153"/>
      <c r="P1184" s="153"/>
      <c r="Q1184" s="153"/>
      <c r="R1184" s="153"/>
      <c r="S1184" s="154">
        <f t="shared" si="135"/>
        <v>0</v>
      </c>
      <c r="T1184" s="153"/>
      <c r="U1184" s="169">
        <f t="shared" si="136"/>
        <v>0</v>
      </c>
      <c r="V1184" s="156"/>
      <c r="W1184" s="158"/>
      <c r="X1184" s="158"/>
      <c r="Y1184" s="158"/>
      <c r="Z1184" s="153"/>
      <c r="AA1184" s="159" t="s">
        <v>278</v>
      </c>
      <c r="AB1184" s="160"/>
      <c r="AC1184" s="157">
        <f t="shared" si="133"/>
        <v>0</v>
      </c>
    </row>
    <row r="1185" spans="10:29" ht="12.5" hidden="1">
      <c r="J1185" s="149"/>
      <c r="K1185" s="171">
        <f>MAX(K$827:K1184)+1</f>
        <v>359</v>
      </c>
      <c r="L1185" s="172">
        <f t="shared" si="134"/>
        <v>1</v>
      </c>
      <c r="M1185" s="152" t="s">
        <v>483</v>
      </c>
      <c r="N1185" s="153"/>
      <c r="O1185" s="153"/>
      <c r="P1185" s="153"/>
      <c r="Q1185" s="153"/>
      <c r="R1185" s="153"/>
      <c r="S1185" s="154">
        <f t="shared" si="135"/>
        <v>0</v>
      </c>
      <c r="T1185" s="153"/>
      <c r="U1185" s="169">
        <f t="shared" si="136"/>
        <v>0</v>
      </c>
      <c r="V1185" s="156"/>
      <c r="W1185" s="158"/>
      <c r="X1185" s="158"/>
      <c r="Y1185" s="158"/>
      <c r="Z1185" s="153"/>
      <c r="AA1185" s="159" t="s">
        <v>278</v>
      </c>
      <c r="AB1185" s="160"/>
      <c r="AC1185" s="157">
        <f t="shared" si="133"/>
        <v>0</v>
      </c>
    </row>
    <row r="1186" spans="10:29" ht="12.5" hidden="1">
      <c r="J1186" s="149"/>
      <c r="K1186" s="171">
        <f>MAX(K$827:K1185)+1</f>
        <v>360</v>
      </c>
      <c r="L1186" s="172">
        <f t="shared" si="134"/>
        <v>1</v>
      </c>
      <c r="M1186" s="152" t="s">
        <v>484</v>
      </c>
      <c r="N1186" s="153"/>
      <c r="O1186" s="153"/>
      <c r="P1186" s="153"/>
      <c r="Q1186" s="153"/>
      <c r="R1186" s="153"/>
      <c r="S1186" s="154">
        <f t="shared" si="135"/>
        <v>0</v>
      </c>
      <c r="T1186" s="153"/>
      <c r="U1186" s="169">
        <f t="shared" si="136"/>
        <v>0</v>
      </c>
      <c r="V1186" s="156"/>
      <c r="W1186" s="158"/>
      <c r="X1186" s="158"/>
      <c r="Y1186" s="158"/>
      <c r="Z1186" s="153"/>
      <c r="AA1186" s="159" t="s">
        <v>278</v>
      </c>
      <c r="AB1186" s="160"/>
      <c r="AC1186" s="157">
        <f t="shared" si="133"/>
        <v>0</v>
      </c>
    </row>
    <row r="1187" spans="10:29" ht="12.5" hidden="1">
      <c r="J1187" s="149"/>
      <c r="K1187" s="171">
        <f>MAX(K$827:K1186)+1</f>
        <v>361</v>
      </c>
      <c r="L1187" s="172">
        <f t="shared" si="134"/>
        <v>1</v>
      </c>
      <c r="M1187" s="152" t="s">
        <v>485</v>
      </c>
      <c r="N1187" s="153"/>
      <c r="O1187" s="153"/>
      <c r="P1187" s="153"/>
      <c r="Q1187" s="153"/>
      <c r="R1187" s="153"/>
      <c r="S1187" s="154">
        <f t="shared" si="135"/>
        <v>0</v>
      </c>
      <c r="T1187" s="153"/>
      <c r="U1187" s="169">
        <f t="shared" si="136"/>
        <v>0</v>
      </c>
      <c r="V1187" s="156"/>
      <c r="W1187" s="158"/>
      <c r="X1187" s="158"/>
      <c r="Y1187" s="158"/>
      <c r="Z1187" s="153"/>
      <c r="AA1187" s="159" t="s">
        <v>278</v>
      </c>
      <c r="AB1187" s="160"/>
      <c r="AC1187" s="157">
        <f t="shared" si="133"/>
        <v>0</v>
      </c>
    </row>
    <row r="1188" spans="10:29" ht="12.5" hidden="1">
      <c r="J1188" s="149"/>
      <c r="K1188" s="171">
        <f>MAX(K$827:K1187)+1</f>
        <v>362</v>
      </c>
      <c r="L1188" s="172">
        <f t="shared" si="134"/>
        <v>1</v>
      </c>
      <c r="M1188" s="152" t="s">
        <v>486</v>
      </c>
      <c r="N1188" s="153"/>
      <c r="O1188" s="153"/>
      <c r="P1188" s="153"/>
      <c r="Q1188" s="153"/>
      <c r="R1188" s="153"/>
      <c r="S1188" s="154">
        <f t="shared" si="135"/>
        <v>0</v>
      </c>
      <c r="T1188" s="153"/>
      <c r="U1188" s="169">
        <f t="shared" si="136"/>
        <v>0</v>
      </c>
      <c r="V1188" s="156"/>
      <c r="W1188" s="158"/>
      <c r="X1188" s="158"/>
      <c r="Y1188" s="158"/>
      <c r="Z1188" s="153"/>
      <c r="AA1188" s="159" t="s">
        <v>278</v>
      </c>
      <c r="AB1188" s="160"/>
      <c r="AC1188" s="157">
        <f t="shared" si="133"/>
        <v>0</v>
      </c>
    </row>
    <row r="1189" spans="10:29" ht="12.5" hidden="1">
      <c r="J1189" s="149"/>
      <c r="K1189" s="171">
        <f>MAX(K$827:K1188)+1</f>
        <v>363</v>
      </c>
      <c r="L1189" s="172">
        <f t="shared" si="134"/>
        <v>1</v>
      </c>
      <c r="M1189" s="152" t="s">
        <v>487</v>
      </c>
      <c r="N1189" s="153"/>
      <c r="O1189" s="153"/>
      <c r="P1189" s="153"/>
      <c r="Q1189" s="153"/>
      <c r="R1189" s="153"/>
      <c r="S1189" s="154">
        <f t="shared" si="135"/>
        <v>0</v>
      </c>
      <c r="T1189" s="153"/>
      <c r="U1189" s="169">
        <f t="shared" si="136"/>
        <v>0</v>
      </c>
      <c r="V1189" s="156"/>
      <c r="W1189" s="158"/>
      <c r="X1189" s="158"/>
      <c r="Y1189" s="158"/>
      <c r="Z1189" s="153"/>
      <c r="AA1189" s="159" t="s">
        <v>278</v>
      </c>
      <c r="AB1189" s="160"/>
      <c r="AC1189" s="157">
        <f t="shared" ref="AC1189:AC1226" si="137">INDEX(Y1189:Z1189,1,MATCH(_WellBasketSelection,$Y$826:$Z$826,0))*U1189</f>
        <v>0</v>
      </c>
    </row>
    <row r="1190" spans="10:29" ht="12.5" hidden="1">
      <c r="J1190" s="149"/>
      <c r="K1190" s="171">
        <f>MAX(K$827:K1189)+1</f>
        <v>364</v>
      </c>
      <c r="L1190" s="172">
        <f t="shared" si="134"/>
        <v>1</v>
      </c>
      <c r="M1190" s="152" t="s">
        <v>488</v>
      </c>
      <c r="N1190" s="153"/>
      <c r="O1190" s="153"/>
      <c r="P1190" s="153"/>
      <c r="Q1190" s="153"/>
      <c r="R1190" s="153"/>
      <c r="S1190" s="154">
        <f t="shared" si="135"/>
        <v>0</v>
      </c>
      <c r="T1190" s="153"/>
      <c r="U1190" s="169">
        <f t="shared" si="136"/>
        <v>0</v>
      </c>
      <c r="V1190" s="156"/>
      <c r="W1190" s="158"/>
      <c r="X1190" s="158"/>
      <c r="Y1190" s="158"/>
      <c r="Z1190" s="153"/>
      <c r="AA1190" s="159" t="s">
        <v>278</v>
      </c>
      <c r="AB1190" s="160"/>
      <c r="AC1190" s="157">
        <f t="shared" si="137"/>
        <v>0</v>
      </c>
    </row>
    <row r="1191" spans="10:29" ht="12.5" hidden="1">
      <c r="J1191" s="149"/>
      <c r="K1191" s="171">
        <f>MAX(K$827:K1190)+1</f>
        <v>365</v>
      </c>
      <c r="L1191" s="172">
        <f t="shared" si="134"/>
        <v>1</v>
      </c>
      <c r="M1191" s="152" t="s">
        <v>489</v>
      </c>
      <c r="N1191" s="153"/>
      <c r="O1191" s="153"/>
      <c r="P1191" s="153"/>
      <c r="Q1191" s="153"/>
      <c r="R1191" s="153"/>
      <c r="S1191" s="154">
        <f t="shared" si="135"/>
        <v>0</v>
      </c>
      <c r="T1191" s="153"/>
      <c r="U1191" s="169">
        <f t="shared" si="136"/>
        <v>0</v>
      </c>
      <c r="V1191" s="156"/>
      <c r="W1191" s="158"/>
      <c r="X1191" s="158"/>
      <c r="Y1191" s="158"/>
      <c r="Z1191" s="153"/>
      <c r="AA1191" s="159" t="s">
        <v>278</v>
      </c>
      <c r="AB1191" s="160"/>
      <c r="AC1191" s="157">
        <f t="shared" si="137"/>
        <v>0</v>
      </c>
    </row>
    <row r="1192" spans="10:29" ht="12.5" hidden="1">
      <c r="J1192" s="149"/>
      <c r="K1192" s="171">
        <f>MAX(K$827:K1191)+1</f>
        <v>366</v>
      </c>
      <c r="L1192" s="172">
        <f t="shared" si="134"/>
        <v>1</v>
      </c>
      <c r="M1192" s="152" t="s">
        <v>490</v>
      </c>
      <c r="N1192" s="153"/>
      <c r="O1192" s="153"/>
      <c r="P1192" s="153"/>
      <c r="Q1192" s="153"/>
      <c r="R1192" s="153"/>
      <c r="S1192" s="154">
        <f t="shared" si="135"/>
        <v>0</v>
      </c>
      <c r="T1192" s="153"/>
      <c r="U1192" s="169">
        <f t="shared" si="136"/>
        <v>0</v>
      </c>
      <c r="V1192" s="156"/>
      <c r="W1192" s="158"/>
      <c r="X1192" s="158"/>
      <c r="Y1192" s="158"/>
      <c r="Z1192" s="153"/>
      <c r="AA1192" s="159" t="s">
        <v>278</v>
      </c>
      <c r="AB1192" s="160"/>
      <c r="AC1192" s="157">
        <f t="shared" si="137"/>
        <v>0</v>
      </c>
    </row>
    <row r="1193" spans="10:29" ht="12.5" hidden="1">
      <c r="J1193" s="149"/>
      <c r="K1193" s="171">
        <f>MAX(K$827:K1192)+1</f>
        <v>367</v>
      </c>
      <c r="L1193" s="172">
        <f t="shared" si="134"/>
        <v>1</v>
      </c>
      <c r="M1193" s="152" t="s">
        <v>491</v>
      </c>
      <c r="N1193" s="153"/>
      <c r="O1193" s="153"/>
      <c r="P1193" s="153"/>
      <c r="Q1193" s="153"/>
      <c r="R1193" s="153"/>
      <c r="S1193" s="154">
        <f t="shared" si="135"/>
        <v>0</v>
      </c>
      <c r="T1193" s="153"/>
      <c r="U1193" s="169">
        <f t="shared" si="136"/>
        <v>0</v>
      </c>
      <c r="V1193" s="156"/>
      <c r="W1193" s="158"/>
      <c r="X1193" s="158"/>
      <c r="Y1193" s="158"/>
      <c r="Z1193" s="153"/>
      <c r="AA1193" s="159" t="s">
        <v>278</v>
      </c>
      <c r="AB1193" s="160"/>
      <c r="AC1193" s="157">
        <f t="shared" si="137"/>
        <v>0</v>
      </c>
    </row>
    <row r="1194" spans="10:29" ht="12.5" hidden="1">
      <c r="J1194" s="149"/>
      <c r="K1194" s="171">
        <f>MAX(K$827:K1193)+1</f>
        <v>368</v>
      </c>
      <c r="L1194" s="172">
        <f t="shared" si="134"/>
        <v>1</v>
      </c>
      <c r="M1194" s="152" t="s">
        <v>492</v>
      </c>
      <c r="N1194" s="153"/>
      <c r="O1194" s="153"/>
      <c r="P1194" s="153"/>
      <c r="Q1194" s="153"/>
      <c r="R1194" s="153"/>
      <c r="S1194" s="154">
        <f t="shared" si="135"/>
        <v>0</v>
      </c>
      <c r="T1194" s="153"/>
      <c r="U1194" s="169">
        <f t="shared" si="136"/>
        <v>0</v>
      </c>
      <c r="V1194" s="156"/>
      <c r="W1194" s="158"/>
      <c r="X1194" s="158"/>
      <c r="Y1194" s="158"/>
      <c r="Z1194" s="153"/>
      <c r="AA1194" s="159" t="s">
        <v>278</v>
      </c>
      <c r="AB1194" s="160"/>
      <c r="AC1194" s="157">
        <f t="shared" si="137"/>
        <v>0</v>
      </c>
    </row>
    <row r="1195" spans="10:29" ht="12.5" hidden="1">
      <c r="J1195" s="149"/>
      <c r="K1195" s="171">
        <f>MAX(K$827:K1194)+1</f>
        <v>369</v>
      </c>
      <c r="L1195" s="172">
        <f t="shared" si="134"/>
        <v>1</v>
      </c>
      <c r="M1195" s="152" t="s">
        <v>493</v>
      </c>
      <c r="N1195" s="153"/>
      <c r="O1195" s="153"/>
      <c r="P1195" s="153"/>
      <c r="Q1195" s="153"/>
      <c r="R1195" s="153"/>
      <c r="S1195" s="154">
        <f t="shared" si="135"/>
        <v>0</v>
      </c>
      <c r="T1195" s="153"/>
      <c r="U1195" s="169">
        <f t="shared" si="136"/>
        <v>0</v>
      </c>
      <c r="V1195" s="156"/>
      <c r="W1195" s="158"/>
      <c r="X1195" s="158"/>
      <c r="Y1195" s="158"/>
      <c r="Z1195" s="153"/>
      <c r="AA1195" s="159" t="s">
        <v>278</v>
      </c>
      <c r="AB1195" s="160"/>
      <c r="AC1195" s="157">
        <f t="shared" si="137"/>
        <v>0</v>
      </c>
    </row>
    <row r="1196" spans="10:29" ht="12.5" hidden="1">
      <c r="J1196" s="149"/>
      <c r="K1196" s="171">
        <f>MAX(K$827:K1195)+1</f>
        <v>370</v>
      </c>
      <c r="L1196" s="172">
        <f t="shared" si="134"/>
        <v>1</v>
      </c>
      <c r="M1196" s="152" t="s">
        <v>494</v>
      </c>
      <c r="N1196" s="153"/>
      <c r="O1196" s="153"/>
      <c r="P1196" s="153"/>
      <c r="Q1196" s="153"/>
      <c r="R1196" s="153"/>
      <c r="S1196" s="154">
        <f t="shared" si="135"/>
        <v>0</v>
      </c>
      <c r="T1196" s="153"/>
      <c r="U1196" s="169">
        <f t="shared" si="136"/>
        <v>0</v>
      </c>
      <c r="V1196" s="156"/>
      <c r="W1196" s="158"/>
      <c r="X1196" s="158"/>
      <c r="Y1196" s="158"/>
      <c r="Z1196" s="153"/>
      <c r="AA1196" s="159" t="s">
        <v>278</v>
      </c>
      <c r="AB1196" s="160"/>
      <c r="AC1196" s="157">
        <f t="shared" si="137"/>
        <v>0</v>
      </c>
    </row>
    <row r="1197" spans="10:29" ht="12.5" hidden="1">
      <c r="J1197" s="149"/>
      <c r="K1197" s="171">
        <f>MAX(K$827:K1196)+1</f>
        <v>371</v>
      </c>
      <c r="L1197" s="172">
        <f t="shared" si="134"/>
        <v>1</v>
      </c>
      <c r="M1197" s="152" t="s">
        <v>495</v>
      </c>
      <c r="N1197" s="153"/>
      <c r="O1197" s="153"/>
      <c r="P1197" s="153"/>
      <c r="Q1197" s="153"/>
      <c r="R1197" s="153"/>
      <c r="S1197" s="154">
        <f t="shared" si="135"/>
        <v>0</v>
      </c>
      <c r="T1197" s="153"/>
      <c r="U1197" s="169">
        <f t="shared" si="136"/>
        <v>0</v>
      </c>
      <c r="V1197" s="156"/>
      <c r="W1197" s="158"/>
      <c r="X1197" s="158"/>
      <c r="Y1197" s="158"/>
      <c r="Z1197" s="153"/>
      <c r="AA1197" s="159" t="s">
        <v>278</v>
      </c>
      <c r="AB1197" s="160"/>
      <c r="AC1197" s="157">
        <f t="shared" si="137"/>
        <v>0</v>
      </c>
    </row>
    <row r="1198" spans="10:29" ht="12.5" hidden="1">
      <c r="J1198" s="149"/>
      <c r="K1198" s="171">
        <f>MAX(K$827:K1197)+1</f>
        <v>372</v>
      </c>
      <c r="L1198" s="172">
        <f t="shared" si="134"/>
        <v>1</v>
      </c>
      <c r="M1198" s="152" t="s">
        <v>496</v>
      </c>
      <c r="N1198" s="153"/>
      <c r="O1198" s="153"/>
      <c r="P1198" s="153"/>
      <c r="Q1198" s="153"/>
      <c r="R1198" s="153"/>
      <c r="S1198" s="154">
        <f t="shared" si="135"/>
        <v>0</v>
      </c>
      <c r="T1198" s="153"/>
      <c r="U1198" s="169">
        <f t="shared" si="136"/>
        <v>0</v>
      </c>
      <c r="V1198" s="156"/>
      <c r="W1198" s="158"/>
      <c r="X1198" s="158"/>
      <c r="Y1198" s="158"/>
      <c r="Z1198" s="153"/>
      <c r="AA1198" s="159" t="s">
        <v>278</v>
      </c>
      <c r="AB1198" s="160"/>
      <c r="AC1198" s="157">
        <f t="shared" si="137"/>
        <v>0</v>
      </c>
    </row>
    <row r="1199" spans="10:29" ht="12.5" hidden="1">
      <c r="J1199" s="149"/>
      <c r="K1199" s="171">
        <f>MAX(K$827:K1198)+1</f>
        <v>373</v>
      </c>
      <c r="L1199" s="172">
        <f t="shared" si="134"/>
        <v>1</v>
      </c>
      <c r="M1199" s="152" t="s">
        <v>497</v>
      </c>
      <c r="N1199" s="153"/>
      <c r="O1199" s="153"/>
      <c r="P1199" s="153"/>
      <c r="Q1199" s="153"/>
      <c r="R1199" s="153"/>
      <c r="S1199" s="154">
        <f t="shared" si="135"/>
        <v>0</v>
      </c>
      <c r="T1199" s="153"/>
      <c r="U1199" s="169">
        <f t="shared" si="136"/>
        <v>0</v>
      </c>
      <c r="V1199" s="156"/>
      <c r="W1199" s="158"/>
      <c r="X1199" s="158"/>
      <c r="Y1199" s="158"/>
      <c r="Z1199" s="153"/>
      <c r="AA1199" s="159" t="s">
        <v>278</v>
      </c>
      <c r="AB1199" s="160"/>
      <c r="AC1199" s="157">
        <f t="shared" si="137"/>
        <v>0</v>
      </c>
    </row>
    <row r="1200" spans="10:29" ht="12.5" hidden="1">
      <c r="J1200" s="149"/>
      <c r="K1200" s="171">
        <f>MAX(K$827:K1199)+1</f>
        <v>374</v>
      </c>
      <c r="L1200" s="172">
        <f t="shared" si="134"/>
        <v>1</v>
      </c>
      <c r="M1200" s="152" t="s">
        <v>498</v>
      </c>
      <c r="N1200" s="153"/>
      <c r="O1200" s="153"/>
      <c r="P1200" s="153"/>
      <c r="Q1200" s="153"/>
      <c r="R1200" s="153"/>
      <c r="S1200" s="154">
        <f t="shared" si="135"/>
        <v>0</v>
      </c>
      <c r="T1200" s="153"/>
      <c r="U1200" s="169">
        <f t="shared" si="136"/>
        <v>0</v>
      </c>
      <c r="V1200" s="156"/>
      <c r="W1200" s="158"/>
      <c r="X1200" s="158"/>
      <c r="Y1200" s="158"/>
      <c r="Z1200" s="153"/>
      <c r="AA1200" s="159" t="s">
        <v>278</v>
      </c>
      <c r="AB1200" s="160"/>
      <c r="AC1200" s="157">
        <f t="shared" si="137"/>
        <v>0</v>
      </c>
    </row>
    <row r="1201" spans="10:29" ht="12.5" hidden="1">
      <c r="J1201" s="149"/>
      <c r="K1201" s="171">
        <f>MAX(K$827:K1200)+1</f>
        <v>375</v>
      </c>
      <c r="L1201" s="172">
        <f t="shared" si="134"/>
        <v>1</v>
      </c>
      <c r="M1201" s="152" t="s">
        <v>499</v>
      </c>
      <c r="N1201" s="153"/>
      <c r="O1201" s="153"/>
      <c r="P1201" s="153"/>
      <c r="Q1201" s="153"/>
      <c r="R1201" s="153"/>
      <c r="S1201" s="154">
        <f t="shared" si="135"/>
        <v>0</v>
      </c>
      <c r="T1201" s="153"/>
      <c r="U1201" s="169">
        <f t="shared" si="136"/>
        <v>0</v>
      </c>
      <c r="V1201" s="156"/>
      <c r="W1201" s="158"/>
      <c r="X1201" s="158"/>
      <c r="Y1201" s="158"/>
      <c r="Z1201" s="153"/>
      <c r="AA1201" s="159" t="s">
        <v>278</v>
      </c>
      <c r="AB1201" s="160"/>
      <c r="AC1201" s="157">
        <f t="shared" si="137"/>
        <v>0</v>
      </c>
    </row>
    <row r="1202" spans="10:29" ht="12.5" hidden="1">
      <c r="J1202" s="149"/>
      <c r="K1202" s="171">
        <f>MAX(K$827:K1201)+1</f>
        <v>376</v>
      </c>
      <c r="L1202" s="172">
        <f t="shared" si="134"/>
        <v>1</v>
      </c>
      <c r="M1202" s="152" t="s">
        <v>500</v>
      </c>
      <c r="N1202" s="153"/>
      <c r="O1202" s="153"/>
      <c r="P1202" s="153"/>
      <c r="Q1202" s="153"/>
      <c r="R1202" s="153"/>
      <c r="S1202" s="154">
        <f t="shared" si="135"/>
        <v>0</v>
      </c>
      <c r="T1202" s="153"/>
      <c r="U1202" s="169">
        <f t="shared" si="136"/>
        <v>0</v>
      </c>
      <c r="V1202" s="156"/>
      <c r="W1202" s="158"/>
      <c r="X1202" s="158"/>
      <c r="Y1202" s="158"/>
      <c r="Z1202" s="153"/>
      <c r="AA1202" s="159" t="s">
        <v>278</v>
      </c>
      <c r="AB1202" s="160"/>
      <c r="AC1202" s="157">
        <f t="shared" si="137"/>
        <v>0</v>
      </c>
    </row>
    <row r="1203" spans="10:29" ht="12.5" hidden="1">
      <c r="J1203" s="149"/>
      <c r="K1203" s="171">
        <f>MAX(K$827:K1202)+1</f>
        <v>377</v>
      </c>
      <c r="L1203" s="172">
        <f t="shared" si="134"/>
        <v>1</v>
      </c>
      <c r="M1203" s="152" t="s">
        <v>501</v>
      </c>
      <c r="N1203" s="153"/>
      <c r="O1203" s="153"/>
      <c r="P1203" s="153"/>
      <c r="Q1203" s="153"/>
      <c r="R1203" s="153"/>
      <c r="S1203" s="154">
        <f t="shared" si="135"/>
        <v>0</v>
      </c>
      <c r="T1203" s="153"/>
      <c r="U1203" s="169">
        <f t="shared" si="136"/>
        <v>0</v>
      </c>
      <c r="V1203" s="156"/>
      <c r="W1203" s="158"/>
      <c r="X1203" s="158"/>
      <c r="Y1203" s="158"/>
      <c r="Z1203" s="153"/>
      <c r="AA1203" s="159" t="s">
        <v>278</v>
      </c>
      <c r="AB1203" s="160"/>
      <c r="AC1203" s="157">
        <f t="shared" si="137"/>
        <v>0</v>
      </c>
    </row>
    <row r="1204" spans="10:29" ht="12.5" hidden="1">
      <c r="J1204" s="149"/>
      <c r="K1204" s="171">
        <f>MAX(K$827:K1203)+1</f>
        <v>378</v>
      </c>
      <c r="L1204" s="172">
        <f t="shared" si="134"/>
        <v>1</v>
      </c>
      <c r="M1204" s="152" t="s">
        <v>502</v>
      </c>
      <c r="N1204" s="153"/>
      <c r="O1204" s="153"/>
      <c r="P1204" s="153"/>
      <c r="Q1204" s="153"/>
      <c r="R1204" s="153"/>
      <c r="S1204" s="154">
        <f t="shared" si="135"/>
        <v>0</v>
      </c>
      <c r="T1204" s="153"/>
      <c r="U1204" s="169">
        <f t="shared" si="136"/>
        <v>0</v>
      </c>
      <c r="V1204" s="156"/>
      <c r="W1204" s="158"/>
      <c r="X1204" s="158"/>
      <c r="Y1204" s="158"/>
      <c r="Z1204" s="153"/>
      <c r="AA1204" s="159" t="s">
        <v>278</v>
      </c>
      <c r="AB1204" s="160"/>
      <c r="AC1204" s="157">
        <f t="shared" si="137"/>
        <v>0</v>
      </c>
    </row>
    <row r="1205" spans="10:29" ht="12.5" hidden="1">
      <c r="J1205" s="149"/>
      <c r="K1205" s="171">
        <f>MAX(K$827:K1204)+1</f>
        <v>379</v>
      </c>
      <c r="L1205" s="172">
        <f t="shared" si="134"/>
        <v>1</v>
      </c>
      <c r="M1205" s="152" t="s">
        <v>503</v>
      </c>
      <c r="N1205" s="153"/>
      <c r="O1205" s="153"/>
      <c r="P1205" s="153"/>
      <c r="Q1205" s="153"/>
      <c r="R1205" s="153"/>
      <c r="S1205" s="154">
        <f t="shared" si="135"/>
        <v>0</v>
      </c>
      <c r="T1205" s="153"/>
      <c r="U1205" s="169">
        <f t="shared" si="136"/>
        <v>0</v>
      </c>
      <c r="V1205" s="156"/>
      <c r="W1205" s="158"/>
      <c r="X1205" s="158"/>
      <c r="Y1205" s="158"/>
      <c r="Z1205" s="153"/>
      <c r="AA1205" s="159" t="s">
        <v>278</v>
      </c>
      <c r="AB1205" s="160"/>
      <c r="AC1205" s="157">
        <f t="shared" si="137"/>
        <v>0</v>
      </c>
    </row>
    <row r="1206" spans="10:29" ht="12.5" hidden="1">
      <c r="J1206" s="149"/>
      <c r="K1206" s="171">
        <f>MAX(K$827:K1205)+1</f>
        <v>380</v>
      </c>
      <c r="L1206" s="172">
        <f t="shared" si="134"/>
        <v>1</v>
      </c>
      <c r="M1206" s="152" t="s">
        <v>504</v>
      </c>
      <c r="N1206" s="153"/>
      <c r="O1206" s="153"/>
      <c r="P1206" s="153"/>
      <c r="Q1206" s="153"/>
      <c r="R1206" s="153"/>
      <c r="S1206" s="154">
        <f t="shared" si="135"/>
        <v>0</v>
      </c>
      <c r="T1206" s="153"/>
      <c r="U1206" s="169">
        <f t="shared" si="136"/>
        <v>0</v>
      </c>
      <c r="V1206" s="156"/>
      <c r="W1206" s="158"/>
      <c r="X1206" s="158"/>
      <c r="Y1206" s="158"/>
      <c r="Z1206" s="153"/>
      <c r="AA1206" s="159" t="s">
        <v>278</v>
      </c>
      <c r="AB1206" s="160"/>
      <c r="AC1206" s="157">
        <f t="shared" si="137"/>
        <v>0</v>
      </c>
    </row>
    <row r="1207" spans="10:29" ht="12.5" hidden="1">
      <c r="J1207" s="149"/>
      <c r="K1207" s="171">
        <f>MAX(K$827:K1206)+1</f>
        <v>381</v>
      </c>
      <c r="L1207" s="172">
        <f t="shared" si="134"/>
        <v>1</v>
      </c>
      <c r="M1207" s="152" t="s">
        <v>505</v>
      </c>
      <c r="N1207" s="153"/>
      <c r="O1207" s="153"/>
      <c r="P1207" s="153"/>
      <c r="Q1207" s="153"/>
      <c r="R1207" s="153"/>
      <c r="S1207" s="154">
        <f t="shared" si="135"/>
        <v>0</v>
      </c>
      <c r="T1207" s="153"/>
      <c r="U1207" s="169">
        <f t="shared" si="136"/>
        <v>0</v>
      </c>
      <c r="V1207" s="156"/>
      <c r="W1207" s="158"/>
      <c r="X1207" s="158"/>
      <c r="Y1207" s="158"/>
      <c r="Z1207" s="153"/>
      <c r="AA1207" s="159" t="s">
        <v>278</v>
      </c>
      <c r="AB1207" s="160"/>
      <c r="AC1207" s="157">
        <f t="shared" si="137"/>
        <v>0</v>
      </c>
    </row>
    <row r="1208" spans="10:29" ht="12.5" hidden="1">
      <c r="J1208" s="149"/>
      <c r="K1208" s="171">
        <f>MAX(K$827:K1207)+1</f>
        <v>382</v>
      </c>
      <c r="L1208" s="172">
        <f t="shared" si="134"/>
        <v>1</v>
      </c>
      <c r="M1208" s="152" t="s">
        <v>506</v>
      </c>
      <c r="N1208" s="153"/>
      <c r="O1208" s="153"/>
      <c r="P1208" s="153"/>
      <c r="Q1208" s="153"/>
      <c r="R1208" s="153"/>
      <c r="S1208" s="154">
        <f t="shared" si="135"/>
        <v>0</v>
      </c>
      <c r="T1208" s="153"/>
      <c r="U1208" s="169">
        <f t="shared" si="136"/>
        <v>0</v>
      </c>
      <c r="V1208" s="156"/>
      <c r="W1208" s="158"/>
      <c r="X1208" s="158"/>
      <c r="Y1208" s="158"/>
      <c r="Z1208" s="153"/>
      <c r="AA1208" s="159" t="s">
        <v>278</v>
      </c>
      <c r="AB1208" s="160"/>
      <c r="AC1208" s="157">
        <f t="shared" si="137"/>
        <v>0</v>
      </c>
    </row>
    <row r="1209" spans="10:29" ht="12.5" hidden="1">
      <c r="J1209" s="149"/>
      <c r="K1209" s="171">
        <f>MAX(K$827:K1208)+1</f>
        <v>383</v>
      </c>
      <c r="L1209" s="172">
        <f t="shared" si="134"/>
        <v>1</v>
      </c>
      <c r="M1209" s="152" t="s">
        <v>507</v>
      </c>
      <c r="N1209" s="153"/>
      <c r="O1209" s="153"/>
      <c r="P1209" s="153"/>
      <c r="Q1209" s="153"/>
      <c r="R1209" s="153"/>
      <c r="S1209" s="154">
        <f t="shared" si="135"/>
        <v>0</v>
      </c>
      <c r="T1209" s="153"/>
      <c r="U1209" s="169">
        <f t="shared" si="136"/>
        <v>0</v>
      </c>
      <c r="V1209" s="156"/>
      <c r="W1209" s="158"/>
      <c r="X1209" s="158"/>
      <c r="Y1209" s="158"/>
      <c r="Z1209" s="153"/>
      <c r="AA1209" s="159" t="s">
        <v>278</v>
      </c>
      <c r="AB1209" s="160"/>
      <c r="AC1209" s="157">
        <f t="shared" si="137"/>
        <v>0</v>
      </c>
    </row>
    <row r="1210" spans="10:29" ht="12.5" hidden="1">
      <c r="J1210" s="149"/>
      <c r="K1210" s="171">
        <f>MAX(K$827:K1209)+1</f>
        <v>384</v>
      </c>
      <c r="L1210" s="172">
        <f t="shared" si="134"/>
        <v>1</v>
      </c>
      <c r="M1210" s="152" t="s">
        <v>508</v>
      </c>
      <c r="N1210" s="153"/>
      <c r="O1210" s="153"/>
      <c r="P1210" s="153"/>
      <c r="Q1210" s="153"/>
      <c r="R1210" s="153"/>
      <c r="S1210" s="154">
        <f t="shared" si="135"/>
        <v>0</v>
      </c>
      <c r="T1210" s="153"/>
      <c r="U1210" s="169">
        <f t="shared" si="136"/>
        <v>0</v>
      </c>
      <c r="V1210" s="156"/>
      <c r="W1210" s="158"/>
      <c r="X1210" s="158"/>
      <c r="Y1210" s="158"/>
      <c r="Z1210" s="153"/>
      <c r="AA1210" s="159" t="s">
        <v>278</v>
      </c>
      <c r="AB1210" s="160"/>
      <c r="AC1210" s="157">
        <f t="shared" si="137"/>
        <v>0</v>
      </c>
    </row>
    <row r="1211" spans="10:29" ht="12.5" hidden="1">
      <c r="J1211" s="149"/>
      <c r="K1211" s="171">
        <f>MAX(K$827:K1210)+1</f>
        <v>385</v>
      </c>
      <c r="L1211" s="172">
        <f t="shared" si="134"/>
        <v>1</v>
      </c>
      <c r="M1211" s="152" t="s">
        <v>509</v>
      </c>
      <c r="N1211" s="153"/>
      <c r="O1211" s="153"/>
      <c r="P1211" s="153"/>
      <c r="Q1211" s="153"/>
      <c r="R1211" s="153"/>
      <c r="S1211" s="154">
        <f t="shared" si="135"/>
        <v>0</v>
      </c>
      <c r="T1211" s="153"/>
      <c r="U1211" s="169">
        <f t="shared" si="136"/>
        <v>0</v>
      </c>
      <c r="V1211" s="156"/>
      <c r="W1211" s="158"/>
      <c r="X1211" s="158"/>
      <c r="Y1211" s="158"/>
      <c r="Z1211" s="153"/>
      <c r="AA1211" s="159" t="s">
        <v>278</v>
      </c>
      <c r="AB1211" s="160"/>
      <c r="AC1211" s="157">
        <f t="shared" si="137"/>
        <v>0</v>
      </c>
    </row>
    <row r="1212" spans="10:29" ht="12.5" hidden="1">
      <c r="J1212" s="149"/>
      <c r="K1212" s="171">
        <f>MAX(K$827:K1211)+1</f>
        <v>386</v>
      </c>
      <c r="L1212" s="172">
        <f t="shared" ref="L1212:L1226" si="138">IF(J1211="",L1211,L1211+1)</f>
        <v>1</v>
      </c>
      <c r="M1212" s="152" t="s">
        <v>510</v>
      </c>
      <c r="N1212" s="153"/>
      <c r="O1212" s="153"/>
      <c r="P1212" s="153"/>
      <c r="Q1212" s="153"/>
      <c r="R1212" s="153"/>
      <c r="S1212" s="154">
        <f t="shared" ref="S1212:S1249" si="139">SUM(N1212:R1212)</f>
        <v>0</v>
      </c>
      <c r="T1212" s="153"/>
      <c r="U1212" s="169">
        <f t="shared" si="136"/>
        <v>0</v>
      </c>
      <c r="V1212" s="156"/>
      <c r="W1212" s="158"/>
      <c r="X1212" s="158"/>
      <c r="Y1212" s="158"/>
      <c r="Z1212" s="153"/>
      <c r="AA1212" s="159" t="s">
        <v>278</v>
      </c>
      <c r="AB1212" s="160"/>
      <c r="AC1212" s="157">
        <f t="shared" si="137"/>
        <v>0</v>
      </c>
    </row>
    <row r="1213" spans="10:29" ht="12.5" hidden="1">
      <c r="J1213" s="149"/>
      <c r="K1213" s="171">
        <f>MAX(K$827:K1212)+1</f>
        <v>387</v>
      </c>
      <c r="L1213" s="172">
        <f t="shared" si="138"/>
        <v>1</v>
      </c>
      <c r="M1213" s="152" t="s">
        <v>511</v>
      </c>
      <c r="N1213" s="153"/>
      <c r="O1213" s="153"/>
      <c r="P1213" s="153"/>
      <c r="Q1213" s="153"/>
      <c r="R1213" s="153"/>
      <c r="S1213" s="154">
        <f t="shared" si="139"/>
        <v>0</v>
      </c>
      <c r="T1213" s="153"/>
      <c r="U1213" s="169">
        <f t="shared" si="136"/>
        <v>0</v>
      </c>
      <c r="V1213" s="156"/>
      <c r="W1213" s="158"/>
      <c r="X1213" s="158"/>
      <c r="Y1213" s="158"/>
      <c r="Z1213" s="153"/>
      <c r="AA1213" s="159" t="s">
        <v>278</v>
      </c>
      <c r="AB1213" s="160"/>
      <c r="AC1213" s="157">
        <f t="shared" si="137"/>
        <v>0</v>
      </c>
    </row>
    <row r="1214" spans="10:29" ht="12.5" hidden="1">
      <c r="J1214" s="149"/>
      <c r="K1214" s="171">
        <f>MAX(K$827:K1213)+1</f>
        <v>388</v>
      </c>
      <c r="L1214" s="172">
        <f t="shared" si="138"/>
        <v>1</v>
      </c>
      <c r="M1214" s="152" t="s">
        <v>512</v>
      </c>
      <c r="N1214" s="153"/>
      <c r="O1214" s="153"/>
      <c r="P1214" s="153"/>
      <c r="Q1214" s="153"/>
      <c r="R1214" s="153"/>
      <c r="S1214" s="154">
        <f t="shared" si="139"/>
        <v>0</v>
      </c>
      <c r="T1214" s="153"/>
      <c r="U1214" s="169">
        <f t="shared" si="136"/>
        <v>0</v>
      </c>
      <c r="V1214" s="156"/>
      <c r="W1214" s="158"/>
      <c r="X1214" s="158"/>
      <c r="Y1214" s="158"/>
      <c r="Z1214" s="153"/>
      <c r="AA1214" s="159" t="s">
        <v>278</v>
      </c>
      <c r="AB1214" s="160"/>
      <c r="AC1214" s="157">
        <f t="shared" si="137"/>
        <v>0</v>
      </c>
    </row>
    <row r="1215" spans="10:29" ht="12.5" hidden="1">
      <c r="J1215" s="149"/>
      <c r="K1215" s="171">
        <f>MAX(K$827:K1214)+1</f>
        <v>389</v>
      </c>
      <c r="L1215" s="172">
        <f t="shared" si="138"/>
        <v>1</v>
      </c>
      <c r="M1215" s="152" t="s">
        <v>513</v>
      </c>
      <c r="N1215" s="153"/>
      <c r="O1215" s="153"/>
      <c r="P1215" s="153"/>
      <c r="Q1215" s="153"/>
      <c r="R1215" s="153"/>
      <c r="S1215" s="154">
        <f t="shared" si="139"/>
        <v>0</v>
      </c>
      <c r="T1215" s="153"/>
      <c r="U1215" s="169">
        <f t="shared" si="136"/>
        <v>0</v>
      </c>
      <c r="V1215" s="156"/>
      <c r="W1215" s="158"/>
      <c r="X1215" s="158"/>
      <c r="Y1215" s="158"/>
      <c r="Z1215" s="153"/>
      <c r="AA1215" s="159" t="s">
        <v>278</v>
      </c>
      <c r="AB1215" s="160"/>
      <c r="AC1215" s="157">
        <f t="shared" si="137"/>
        <v>0</v>
      </c>
    </row>
    <row r="1216" spans="10:29" ht="12.5" hidden="1">
      <c r="J1216" s="149"/>
      <c r="K1216" s="171">
        <f>MAX(K$827:K1215)+1</f>
        <v>390</v>
      </c>
      <c r="L1216" s="172">
        <f t="shared" si="138"/>
        <v>1</v>
      </c>
      <c r="M1216" s="152" t="s">
        <v>514</v>
      </c>
      <c r="N1216" s="153"/>
      <c r="O1216" s="153"/>
      <c r="P1216" s="153"/>
      <c r="Q1216" s="153"/>
      <c r="R1216" s="153"/>
      <c r="S1216" s="154">
        <f t="shared" si="139"/>
        <v>0</v>
      </c>
      <c r="T1216" s="153"/>
      <c r="U1216" s="169">
        <f t="shared" si="136"/>
        <v>0</v>
      </c>
      <c r="V1216" s="156"/>
      <c r="W1216" s="158"/>
      <c r="X1216" s="158"/>
      <c r="Y1216" s="158"/>
      <c r="Z1216" s="153"/>
      <c r="AA1216" s="159" t="s">
        <v>278</v>
      </c>
      <c r="AB1216" s="160"/>
      <c r="AC1216" s="157">
        <f t="shared" si="137"/>
        <v>0</v>
      </c>
    </row>
    <row r="1217" spans="10:29" ht="12.5" hidden="1">
      <c r="J1217" s="149"/>
      <c r="K1217" s="171">
        <f>MAX(K$827:K1216)+1</f>
        <v>391</v>
      </c>
      <c r="L1217" s="172">
        <f t="shared" si="138"/>
        <v>1</v>
      </c>
      <c r="M1217" s="152" t="s">
        <v>515</v>
      </c>
      <c r="N1217" s="153"/>
      <c r="O1217" s="153"/>
      <c r="P1217" s="153"/>
      <c r="Q1217" s="153"/>
      <c r="R1217" s="153"/>
      <c r="S1217" s="154">
        <f t="shared" si="139"/>
        <v>0</v>
      </c>
      <c r="T1217" s="153"/>
      <c r="U1217" s="169">
        <f t="shared" si="136"/>
        <v>0</v>
      </c>
      <c r="V1217" s="156"/>
      <c r="W1217" s="158"/>
      <c r="X1217" s="158"/>
      <c r="Y1217" s="158"/>
      <c r="Z1217" s="153"/>
      <c r="AA1217" s="159" t="s">
        <v>278</v>
      </c>
      <c r="AB1217" s="160"/>
      <c r="AC1217" s="157">
        <f t="shared" si="137"/>
        <v>0</v>
      </c>
    </row>
    <row r="1218" spans="10:29" ht="12.5" hidden="1">
      <c r="J1218" s="149"/>
      <c r="K1218" s="171">
        <f>MAX(K$827:K1217)+1</f>
        <v>392</v>
      </c>
      <c r="L1218" s="172">
        <f t="shared" si="138"/>
        <v>1</v>
      </c>
      <c r="M1218" s="152" t="s">
        <v>516</v>
      </c>
      <c r="N1218" s="153"/>
      <c r="O1218" s="153"/>
      <c r="P1218" s="153"/>
      <c r="Q1218" s="153"/>
      <c r="R1218" s="153"/>
      <c r="S1218" s="154">
        <f t="shared" si="139"/>
        <v>0</v>
      </c>
      <c r="T1218" s="153"/>
      <c r="U1218" s="169">
        <f t="shared" si="136"/>
        <v>0</v>
      </c>
      <c r="V1218" s="156"/>
      <c r="W1218" s="158"/>
      <c r="X1218" s="158"/>
      <c r="Y1218" s="158"/>
      <c r="Z1218" s="153"/>
      <c r="AA1218" s="159" t="s">
        <v>278</v>
      </c>
      <c r="AB1218" s="160"/>
      <c r="AC1218" s="157">
        <f t="shared" si="137"/>
        <v>0</v>
      </c>
    </row>
    <row r="1219" spans="10:29" ht="12.5" hidden="1">
      <c r="J1219" s="149"/>
      <c r="K1219" s="171">
        <f>MAX(K$827:K1218)+1</f>
        <v>393</v>
      </c>
      <c r="L1219" s="172">
        <f t="shared" si="138"/>
        <v>1</v>
      </c>
      <c r="M1219" s="152" t="s">
        <v>517</v>
      </c>
      <c r="N1219" s="153"/>
      <c r="O1219" s="153"/>
      <c r="P1219" s="153"/>
      <c r="Q1219" s="153"/>
      <c r="R1219" s="153"/>
      <c r="S1219" s="154">
        <f t="shared" si="139"/>
        <v>0</v>
      </c>
      <c r="T1219" s="153"/>
      <c r="U1219" s="169">
        <f t="shared" si="136"/>
        <v>0</v>
      </c>
      <c r="V1219" s="156"/>
      <c r="W1219" s="158"/>
      <c r="X1219" s="158"/>
      <c r="Y1219" s="158"/>
      <c r="Z1219" s="153"/>
      <c r="AA1219" s="159" t="s">
        <v>278</v>
      </c>
      <c r="AB1219" s="160"/>
      <c r="AC1219" s="157">
        <f t="shared" si="137"/>
        <v>0</v>
      </c>
    </row>
    <row r="1220" spans="10:29" ht="12.5" hidden="1">
      <c r="J1220" s="149"/>
      <c r="K1220" s="171">
        <f>MAX(K$827:K1219)+1</f>
        <v>394</v>
      </c>
      <c r="L1220" s="172">
        <f t="shared" si="138"/>
        <v>1</v>
      </c>
      <c r="M1220" s="152" t="s">
        <v>518</v>
      </c>
      <c r="N1220" s="153"/>
      <c r="O1220" s="153"/>
      <c r="P1220" s="153"/>
      <c r="Q1220" s="153"/>
      <c r="R1220" s="153"/>
      <c r="S1220" s="154">
        <f t="shared" si="139"/>
        <v>0</v>
      </c>
      <c r="T1220" s="153"/>
      <c r="U1220" s="169">
        <f t="shared" si="136"/>
        <v>0</v>
      </c>
      <c r="V1220" s="156"/>
      <c r="W1220" s="158"/>
      <c r="X1220" s="158"/>
      <c r="Y1220" s="158"/>
      <c r="Z1220" s="153"/>
      <c r="AA1220" s="159" t="s">
        <v>278</v>
      </c>
      <c r="AB1220" s="160"/>
      <c r="AC1220" s="157">
        <f t="shared" si="137"/>
        <v>0</v>
      </c>
    </row>
    <row r="1221" spans="10:29" ht="12.5" hidden="1">
      <c r="J1221" s="149"/>
      <c r="K1221" s="171">
        <f>MAX(K$827:K1220)+1</f>
        <v>395</v>
      </c>
      <c r="L1221" s="172">
        <f t="shared" si="138"/>
        <v>1</v>
      </c>
      <c r="M1221" s="152" t="s">
        <v>519</v>
      </c>
      <c r="N1221" s="153"/>
      <c r="O1221" s="153"/>
      <c r="P1221" s="153"/>
      <c r="Q1221" s="153"/>
      <c r="R1221" s="153"/>
      <c r="S1221" s="154">
        <f t="shared" si="139"/>
        <v>0</v>
      </c>
      <c r="T1221" s="153"/>
      <c r="U1221" s="169">
        <f t="shared" si="136"/>
        <v>0</v>
      </c>
      <c r="V1221" s="156"/>
      <c r="W1221" s="158"/>
      <c r="X1221" s="158"/>
      <c r="Y1221" s="158"/>
      <c r="Z1221" s="153"/>
      <c r="AA1221" s="159" t="s">
        <v>278</v>
      </c>
      <c r="AB1221" s="160"/>
      <c r="AC1221" s="157">
        <f t="shared" si="137"/>
        <v>0</v>
      </c>
    </row>
    <row r="1222" spans="10:29" ht="12.5" hidden="1">
      <c r="J1222" s="149"/>
      <c r="K1222" s="171">
        <f>MAX(K$827:K1221)+1</f>
        <v>396</v>
      </c>
      <c r="L1222" s="172">
        <f t="shared" si="138"/>
        <v>1</v>
      </c>
      <c r="M1222" s="152" t="s">
        <v>520</v>
      </c>
      <c r="N1222" s="153"/>
      <c r="O1222" s="153"/>
      <c r="P1222" s="153"/>
      <c r="Q1222" s="153"/>
      <c r="R1222" s="153"/>
      <c r="S1222" s="154">
        <f t="shared" si="139"/>
        <v>0</v>
      </c>
      <c r="T1222" s="153"/>
      <c r="U1222" s="169">
        <f t="shared" si="136"/>
        <v>0</v>
      </c>
      <c r="V1222" s="156"/>
      <c r="W1222" s="158"/>
      <c r="X1222" s="158"/>
      <c r="Y1222" s="158"/>
      <c r="Z1222" s="153"/>
      <c r="AA1222" s="159" t="s">
        <v>278</v>
      </c>
      <c r="AB1222" s="160"/>
      <c r="AC1222" s="157">
        <f t="shared" si="137"/>
        <v>0</v>
      </c>
    </row>
    <row r="1223" spans="10:29" ht="12.5" hidden="1">
      <c r="J1223" s="149"/>
      <c r="K1223" s="171">
        <f>MAX(K$827:K1222)+1</f>
        <v>397</v>
      </c>
      <c r="L1223" s="172">
        <f t="shared" si="138"/>
        <v>1</v>
      </c>
      <c r="M1223" s="152" t="s">
        <v>521</v>
      </c>
      <c r="N1223" s="153"/>
      <c r="O1223" s="153"/>
      <c r="P1223" s="153"/>
      <c r="Q1223" s="153"/>
      <c r="R1223" s="153"/>
      <c r="S1223" s="154">
        <f t="shared" si="139"/>
        <v>0</v>
      </c>
      <c r="T1223" s="153"/>
      <c r="U1223" s="169">
        <f t="shared" si="136"/>
        <v>0</v>
      </c>
      <c r="V1223" s="156"/>
      <c r="W1223" s="158"/>
      <c r="X1223" s="158"/>
      <c r="Y1223" s="158"/>
      <c r="Z1223" s="153"/>
      <c r="AA1223" s="159" t="s">
        <v>278</v>
      </c>
      <c r="AB1223" s="160"/>
      <c r="AC1223" s="157">
        <f t="shared" si="137"/>
        <v>0</v>
      </c>
    </row>
    <row r="1224" spans="10:29" ht="12.5" hidden="1">
      <c r="J1224" s="149"/>
      <c r="K1224" s="171">
        <f>MAX(K$827:K1223)+1</f>
        <v>398</v>
      </c>
      <c r="L1224" s="172">
        <f t="shared" si="138"/>
        <v>1</v>
      </c>
      <c r="M1224" s="152" t="s">
        <v>522</v>
      </c>
      <c r="N1224" s="153"/>
      <c r="O1224" s="153"/>
      <c r="P1224" s="153"/>
      <c r="Q1224" s="153"/>
      <c r="R1224" s="153"/>
      <c r="S1224" s="154">
        <f t="shared" si="139"/>
        <v>0</v>
      </c>
      <c r="T1224" s="153"/>
      <c r="U1224" s="169">
        <f t="shared" si="136"/>
        <v>0</v>
      </c>
      <c r="V1224" s="156"/>
      <c r="W1224" s="158"/>
      <c r="X1224" s="158"/>
      <c r="Y1224" s="158"/>
      <c r="Z1224" s="153"/>
      <c r="AA1224" s="159" t="s">
        <v>278</v>
      </c>
      <c r="AB1224" s="160"/>
      <c r="AC1224" s="157">
        <f t="shared" si="137"/>
        <v>0</v>
      </c>
    </row>
    <row r="1225" spans="10:29" ht="12.5" hidden="1">
      <c r="J1225" s="149"/>
      <c r="K1225" s="171">
        <f>MAX(K$827:K1224)+1</f>
        <v>399</v>
      </c>
      <c r="L1225" s="172">
        <f t="shared" si="138"/>
        <v>1</v>
      </c>
      <c r="M1225" s="152" t="s">
        <v>523</v>
      </c>
      <c r="N1225" s="153"/>
      <c r="O1225" s="153"/>
      <c r="P1225" s="153"/>
      <c r="Q1225" s="153"/>
      <c r="R1225" s="153"/>
      <c r="S1225" s="154">
        <f t="shared" si="139"/>
        <v>0</v>
      </c>
      <c r="T1225" s="153"/>
      <c r="U1225" s="169">
        <f t="shared" si="136"/>
        <v>0</v>
      </c>
      <c r="V1225" s="156"/>
      <c r="W1225" s="158"/>
      <c r="X1225" s="158"/>
      <c r="Y1225" s="158"/>
      <c r="Z1225" s="153"/>
      <c r="AA1225" s="159" t="s">
        <v>278</v>
      </c>
      <c r="AB1225" s="160"/>
      <c r="AC1225" s="157">
        <f t="shared" si="137"/>
        <v>0</v>
      </c>
    </row>
    <row r="1226" spans="10:29" ht="12.5" hidden="1">
      <c r="J1226" s="149"/>
      <c r="K1226" s="171">
        <f>MAX(K$827:K1225)+1</f>
        <v>400</v>
      </c>
      <c r="L1226" s="172">
        <f t="shared" si="138"/>
        <v>1</v>
      </c>
      <c r="M1226" s="152" t="s">
        <v>524</v>
      </c>
      <c r="N1226" s="153"/>
      <c r="O1226" s="153"/>
      <c r="P1226" s="153"/>
      <c r="Q1226" s="153"/>
      <c r="R1226" s="153"/>
      <c r="S1226" s="154">
        <f t="shared" si="139"/>
        <v>0</v>
      </c>
      <c r="T1226" s="153"/>
      <c r="U1226" s="169">
        <f t="shared" si="136"/>
        <v>0</v>
      </c>
      <c r="V1226" s="156"/>
      <c r="W1226" s="158"/>
      <c r="X1226" s="158"/>
      <c r="Y1226" s="158"/>
      <c r="Z1226" s="153"/>
      <c r="AA1226" s="159" t="s">
        <v>278</v>
      </c>
      <c r="AB1226" s="160"/>
      <c r="AC1226" s="157">
        <f t="shared" si="137"/>
        <v>0</v>
      </c>
    </row>
    <row r="1227" spans="10:29" ht="12.5">
      <c r="K1227" s="132" t="s">
        <v>267</v>
      </c>
      <c r="L1227" s="132"/>
      <c r="M1227" s="133"/>
      <c r="N1227" s="135"/>
      <c r="O1227" s="135"/>
      <c r="P1227" s="135"/>
      <c r="Q1227" s="135"/>
      <c r="R1227" s="135"/>
      <c r="S1227" s="135"/>
      <c r="T1227" s="135"/>
      <c r="U1227" s="136"/>
      <c r="V1227" s="71"/>
      <c r="W1227" s="137"/>
      <c r="X1227" s="137"/>
      <c r="Y1227" s="137"/>
      <c r="Z1227" s="137"/>
      <c r="AA1227" s="137"/>
      <c r="AB1227" s="175"/>
      <c r="AC1227" s="163">
        <f>SUM(AC827:AC1226)-AC893-AC884-AC854-AC845-AC836-AC866-AC827-AC875-AC902</f>
        <v>1258.6868138256764</v>
      </c>
    </row>
    <row r="1228" spans="10:29" ht="12.5">
      <c r="K1228" s="138"/>
      <c r="L1228" s="138"/>
      <c r="M1228" s="138"/>
      <c r="N1228" s="138"/>
      <c r="O1228" s="138"/>
      <c r="P1228" s="138"/>
      <c r="Q1228" s="138"/>
      <c r="R1228" s="138"/>
      <c r="S1228" s="138"/>
      <c r="T1228" s="138"/>
      <c r="U1228" s="138"/>
      <c r="V1228" s="138"/>
      <c r="W1228" s="138"/>
      <c r="X1228" s="138"/>
      <c r="Y1228" s="138"/>
      <c r="Z1228" s="138"/>
      <c r="AA1228" s="138"/>
      <c r="AB1228" s="175"/>
    </row>
    <row r="1229" spans="10:29" ht="12.5">
      <c r="K1229" s="138"/>
      <c r="L1229" s="138"/>
      <c r="M1229" s="138"/>
      <c r="N1229" s="138"/>
      <c r="O1229" s="138"/>
      <c r="P1229" s="138"/>
      <c r="Q1229" s="138"/>
      <c r="R1229" s="138"/>
      <c r="S1229" s="138"/>
      <c r="T1229" s="138"/>
      <c r="U1229" s="138"/>
      <c r="V1229" s="138"/>
      <c r="W1229" s="138"/>
      <c r="X1229" s="138"/>
      <c r="Y1229" s="138"/>
      <c r="Z1229" s="138"/>
      <c r="AA1229" s="138"/>
      <c r="AB1229" s="175"/>
    </row>
    <row r="1230" spans="10:29" ht="12.5">
      <c r="K1230" s="139" t="s">
        <v>525</v>
      </c>
      <c r="L1230" s="139"/>
      <c r="M1230" s="140" t="s">
        <v>526</v>
      </c>
      <c r="N1230" s="138"/>
      <c r="O1230" s="138"/>
      <c r="P1230" s="138"/>
      <c r="Q1230" s="138"/>
      <c r="R1230" s="138"/>
      <c r="S1230" s="138"/>
      <c r="T1230" s="138"/>
      <c r="U1230" s="138"/>
      <c r="V1230" s="138"/>
      <c r="W1230" s="138"/>
      <c r="X1230" s="138"/>
      <c r="Y1230" s="138"/>
      <c r="Z1230" s="138"/>
      <c r="AA1230" s="138"/>
      <c r="AB1230" s="175"/>
    </row>
    <row r="1231" spans="10:29" ht="12.5">
      <c r="K1231" s="176" t="s">
        <v>249</v>
      </c>
      <c r="L1231" s="143" t="s">
        <v>250</v>
      </c>
      <c r="M1231" s="177" t="s">
        <v>251</v>
      </c>
      <c r="N1231" s="145" t="s">
        <v>252</v>
      </c>
      <c r="O1231" s="146" t="s">
        <v>253</v>
      </c>
      <c r="P1231" s="146" t="s">
        <v>254</v>
      </c>
      <c r="Q1231" s="146" t="s">
        <v>255</v>
      </c>
      <c r="R1231" s="146" t="s">
        <v>256</v>
      </c>
      <c r="S1231" s="144" t="s">
        <v>257</v>
      </c>
      <c r="T1231" s="146" t="s">
        <v>105</v>
      </c>
      <c r="U1231" s="147" t="s">
        <v>275</v>
      </c>
      <c r="V1231" s="71"/>
      <c r="W1231" s="148" t="s">
        <v>259</v>
      </c>
      <c r="X1231" s="148" t="s">
        <v>260</v>
      </c>
      <c r="Y1231" s="148" t="s">
        <v>241</v>
      </c>
      <c r="Z1231" s="148" t="s">
        <v>242</v>
      </c>
      <c r="AA1231" s="148" t="s">
        <v>263</v>
      </c>
      <c r="AB1231" s="178"/>
      <c r="AC1231" s="168" t="s">
        <v>276</v>
      </c>
    </row>
    <row r="1232" spans="10:29" ht="12.5">
      <c r="J1232" s="149"/>
      <c r="K1232" s="150">
        <v>1</v>
      </c>
      <c r="L1232" s="151">
        <v>1</v>
      </c>
      <c r="M1232" s="152" t="s">
        <v>277</v>
      </c>
      <c r="N1232" s="153"/>
      <c r="O1232" s="153"/>
      <c r="P1232" s="153"/>
      <c r="Q1232" s="153"/>
      <c r="R1232" s="153"/>
      <c r="S1232" s="154">
        <f>SUM(N1232:R1232)</f>
        <v>0</v>
      </c>
      <c r="T1232" s="153"/>
      <c r="U1232" s="169">
        <f>'[1]Pricing Schedule'!F2</f>
        <v>24.327449566768507</v>
      </c>
      <c r="V1232" s="156"/>
      <c r="W1232" s="158"/>
      <c r="X1232" s="158"/>
      <c r="Y1232" s="158">
        <f>'[1]Pricing Schedule'!L2*'[1]Pricing Schedule'!$G2</f>
        <v>9</v>
      </c>
      <c r="Z1232" s="158">
        <f>'[1]Pricing Schedule'!M2*'[1]Pricing Schedule'!$G2</f>
        <v>9</v>
      </c>
      <c r="AA1232" s="159" t="s">
        <v>278</v>
      </c>
      <c r="AB1232" s="160"/>
      <c r="AC1232" s="157">
        <f t="shared" ref="AC1232:AC1241" si="140">INDEX(Y1232:Z1232,1,MATCH(_WellBasketSelection,$Y$1231:$Z$1231,0))*U1232</f>
        <v>218.94704610091657</v>
      </c>
    </row>
    <row r="1233" spans="10:29" ht="12.5">
      <c r="J1233" s="149"/>
      <c r="K1233" s="150">
        <v>2</v>
      </c>
      <c r="L1233" s="151">
        <f t="shared" ref="L1233:L1296" si="141">IF(J1232="",L1232,L1232+1)</f>
        <v>1</v>
      </c>
      <c r="M1233" s="152" t="s">
        <v>279</v>
      </c>
      <c r="N1233" s="153"/>
      <c r="O1233" s="153"/>
      <c r="P1233" s="153"/>
      <c r="Q1233" s="153"/>
      <c r="R1233" s="153"/>
      <c r="S1233" s="154">
        <f t="shared" ref="S1233:S1296" si="142">SUM(N1233:R1233)</f>
        <v>0</v>
      </c>
      <c r="T1233" s="153"/>
      <c r="U1233" s="169">
        <f>'[1]Pricing Schedule'!F3</f>
        <v>0</v>
      </c>
      <c r="V1233" s="156"/>
      <c r="W1233" s="158"/>
      <c r="X1233" s="158"/>
      <c r="Y1233" s="158">
        <f>'[1]Pricing Schedule'!L3*'[1]Pricing Schedule'!$G3</f>
        <v>495</v>
      </c>
      <c r="Z1233" s="158">
        <f>'[1]Pricing Schedule'!M3*'[1]Pricing Schedule'!$G3</f>
        <v>495</v>
      </c>
      <c r="AA1233" s="159" t="s">
        <v>278</v>
      </c>
      <c r="AB1233" s="170"/>
      <c r="AC1233" s="157">
        <f t="shared" si="140"/>
        <v>0</v>
      </c>
    </row>
    <row r="1234" spans="10:29" ht="12.5">
      <c r="J1234" s="149"/>
      <c r="K1234" s="171">
        <f>MAX(K$1232:K1233)+1</f>
        <v>3</v>
      </c>
      <c r="L1234" s="172">
        <f t="shared" si="141"/>
        <v>1</v>
      </c>
      <c r="M1234" s="152" t="s">
        <v>280</v>
      </c>
      <c r="N1234" s="153"/>
      <c r="O1234" s="153"/>
      <c r="P1234" s="153"/>
      <c r="Q1234" s="153"/>
      <c r="R1234" s="153"/>
      <c r="S1234" s="154">
        <f t="shared" si="142"/>
        <v>0</v>
      </c>
      <c r="T1234" s="153"/>
      <c r="U1234" s="169">
        <f>'[1]Pricing Schedule'!F4</f>
        <v>6.2483566890144072E-3</v>
      </c>
      <c r="V1234" s="156"/>
      <c r="W1234" s="158"/>
      <c r="X1234" s="158"/>
      <c r="Y1234" s="158">
        <f>'[1]Pricing Schedule'!L4*'[1]Pricing Schedule'!$G4</f>
        <v>6075</v>
      </c>
      <c r="Z1234" s="158">
        <f>'[1]Pricing Schedule'!M4*'[1]Pricing Schedule'!$G4</f>
        <v>6075</v>
      </c>
      <c r="AA1234" s="159" t="s">
        <v>278</v>
      </c>
      <c r="AB1234" s="160"/>
      <c r="AC1234" s="157">
        <f t="shared" si="140"/>
        <v>37.958766885762522</v>
      </c>
    </row>
    <row r="1235" spans="10:29" ht="12.5">
      <c r="J1235" s="149"/>
      <c r="K1235" s="171">
        <f>MAX(K$1232:K1234)+1</f>
        <v>4</v>
      </c>
      <c r="L1235" s="172">
        <f t="shared" si="141"/>
        <v>1</v>
      </c>
      <c r="M1235" s="152" t="s">
        <v>281</v>
      </c>
      <c r="N1235" s="153"/>
      <c r="O1235" s="153"/>
      <c r="P1235" s="153"/>
      <c r="Q1235" s="153"/>
      <c r="R1235" s="153"/>
      <c r="S1235" s="154">
        <f t="shared" si="142"/>
        <v>0</v>
      </c>
      <c r="T1235" s="153"/>
      <c r="U1235" s="169">
        <f>'[1]Pricing Schedule'!F5</f>
        <v>9.5929223721516552E-3</v>
      </c>
      <c r="V1235" s="156"/>
      <c r="W1235" s="158"/>
      <c r="X1235" s="158"/>
      <c r="Y1235" s="158">
        <f>'[1]Pricing Schedule'!L5*'[1]Pricing Schedule'!$G5</f>
        <v>10890</v>
      </c>
      <c r="Z1235" s="158">
        <f>'[1]Pricing Schedule'!M5*'[1]Pricing Schedule'!$G5</f>
        <v>10890</v>
      </c>
      <c r="AA1235" s="159" t="s">
        <v>278</v>
      </c>
      <c r="AB1235" s="160"/>
      <c r="AC1235" s="157">
        <f>INDEX(Y1235:Z1235,1,MATCH(_WellBasketSelection,$Y$1231:$Z$1231,0))*U1235</f>
        <v>104.46692463273152</v>
      </c>
    </row>
    <row r="1236" spans="10:29" ht="12.5">
      <c r="J1236" s="149"/>
      <c r="K1236" s="171">
        <f>MAX(K$1232:K1235)+1</f>
        <v>5</v>
      </c>
      <c r="L1236" s="172">
        <f t="shared" si="141"/>
        <v>1</v>
      </c>
      <c r="M1236" s="152" t="s">
        <v>282</v>
      </c>
      <c r="N1236" s="153"/>
      <c r="O1236" s="153"/>
      <c r="P1236" s="153"/>
      <c r="Q1236" s="153"/>
      <c r="R1236" s="153"/>
      <c r="S1236" s="154">
        <f t="shared" si="142"/>
        <v>0</v>
      </c>
      <c r="T1236" s="153"/>
      <c r="U1236" s="169">
        <f>'[1]Pricing Schedule'!F6</f>
        <v>1.4948838391444964E-2</v>
      </c>
      <c r="V1236" s="156"/>
      <c r="W1236" s="158"/>
      <c r="X1236" s="158"/>
      <c r="Y1236" s="158">
        <f>'[1]Pricing Schedule'!L6*'[1]Pricing Schedule'!$G6</f>
        <v>4860</v>
      </c>
      <c r="Z1236" s="158">
        <f>'[1]Pricing Schedule'!M6*'[1]Pricing Schedule'!$G6</f>
        <v>4860</v>
      </c>
      <c r="AA1236" s="159" t="s">
        <v>278</v>
      </c>
      <c r="AB1236" s="160"/>
      <c r="AC1236" s="157">
        <f>INDEX(Y1236:Z1236,1,MATCH(_WellBasketSelection,$Y$1231:$Z$1231,0))*U1236</f>
        <v>72.651354582422528</v>
      </c>
    </row>
    <row r="1237" spans="10:29" ht="12.5">
      <c r="J1237" s="149"/>
      <c r="K1237" s="171">
        <f>MAX(K$1232:K1236)+1</f>
        <v>6</v>
      </c>
      <c r="L1237" s="172">
        <f t="shared" si="141"/>
        <v>1</v>
      </c>
      <c r="M1237" s="152" t="s">
        <v>283</v>
      </c>
      <c r="N1237" s="153"/>
      <c r="O1237" s="153"/>
      <c r="P1237" s="153"/>
      <c r="Q1237" s="153"/>
      <c r="R1237" s="153"/>
      <c r="S1237" s="154">
        <f t="shared" si="142"/>
        <v>0</v>
      </c>
      <c r="T1237" s="153"/>
      <c r="U1237" s="169">
        <f>'[1]Pricing Schedule'!F7</f>
        <v>0</v>
      </c>
      <c r="V1237" s="156"/>
      <c r="W1237" s="158"/>
      <c r="X1237" s="158"/>
      <c r="Y1237" s="158">
        <f>'[1]Pricing Schedule'!L7*'[1]Pricing Schedule'!$G7</f>
        <v>0</v>
      </c>
      <c r="Z1237" s="158">
        <f>'[1]Pricing Schedule'!M7*'[1]Pricing Schedule'!$G7</f>
        <v>0</v>
      </c>
      <c r="AA1237" s="159" t="s">
        <v>278</v>
      </c>
      <c r="AB1237" s="160"/>
      <c r="AC1237" s="157">
        <f>INDEX(Y1237:Z1237,1,MATCH(_WellBasketSelection,$Y$1231:$Z$1231,0))*U1237</f>
        <v>0</v>
      </c>
    </row>
    <row r="1238" spans="10:29" ht="12.5">
      <c r="J1238" s="149"/>
      <c r="K1238" s="171">
        <f>MAX(K$1232:K1237)+1</f>
        <v>7</v>
      </c>
      <c r="L1238" s="172">
        <f t="shared" si="141"/>
        <v>1</v>
      </c>
      <c r="M1238" s="152" t="s">
        <v>284</v>
      </c>
      <c r="N1238" s="153"/>
      <c r="O1238" s="153"/>
      <c r="P1238" s="153"/>
      <c r="Q1238" s="153"/>
      <c r="R1238" s="153"/>
      <c r="S1238" s="154">
        <f t="shared" si="142"/>
        <v>0</v>
      </c>
      <c r="T1238" s="153"/>
      <c r="U1238" s="169">
        <f>'[1]Pricing Schedule'!F8</f>
        <v>0.43</v>
      </c>
      <c r="V1238" s="156"/>
      <c r="W1238" s="158"/>
      <c r="X1238" s="158"/>
      <c r="Y1238" s="158">
        <f>'[1]Pricing Schedule'!L8*'[1]Pricing Schedule'!$G8</f>
        <v>9</v>
      </c>
      <c r="Z1238" s="158">
        <f>'[1]Pricing Schedule'!M8*'[1]Pricing Schedule'!$G8</f>
        <v>9</v>
      </c>
      <c r="AA1238" s="159" t="s">
        <v>278</v>
      </c>
      <c r="AB1238" s="160"/>
      <c r="AC1238" s="157">
        <f t="shared" si="140"/>
        <v>3.87</v>
      </c>
    </row>
    <row r="1239" spans="10:29" ht="12.5">
      <c r="J1239" s="149"/>
      <c r="K1239" s="171">
        <f>MAX(K$1232:K1238)+1</f>
        <v>8</v>
      </c>
      <c r="L1239" s="172">
        <f t="shared" si="141"/>
        <v>1</v>
      </c>
      <c r="M1239" s="152" t="s">
        <v>285</v>
      </c>
      <c r="N1239" s="153"/>
      <c r="O1239" s="153"/>
      <c r="P1239" s="153"/>
      <c r="Q1239" s="153"/>
      <c r="R1239" s="153"/>
      <c r="S1239" s="154">
        <f t="shared" si="142"/>
        <v>0</v>
      </c>
      <c r="T1239" s="153"/>
      <c r="U1239" s="169">
        <f>'[1]Pricing Schedule'!F9</f>
        <v>3.1479999999999997</v>
      </c>
      <c r="V1239" s="156"/>
      <c r="W1239" s="158"/>
      <c r="X1239" s="158"/>
      <c r="Y1239" s="158">
        <f>'[1]Pricing Schedule'!L9*'[1]Pricing Schedule'!$G9</f>
        <v>0</v>
      </c>
      <c r="Z1239" s="158">
        <f>'[1]Pricing Schedule'!M9*'[1]Pricing Schedule'!$G9</f>
        <v>0</v>
      </c>
      <c r="AA1239" s="159" t="s">
        <v>278</v>
      </c>
      <c r="AB1239" s="160"/>
      <c r="AC1239" s="157">
        <f t="shared" si="140"/>
        <v>0</v>
      </c>
    </row>
    <row r="1240" spans="10:29" ht="12.5">
      <c r="J1240" s="173"/>
      <c r="K1240" s="171">
        <f>MAX(K$1232:K1239)+1</f>
        <v>9</v>
      </c>
      <c r="L1240" s="172">
        <f t="shared" si="141"/>
        <v>1</v>
      </c>
      <c r="M1240" s="152" t="s">
        <v>286</v>
      </c>
      <c r="N1240" s="153"/>
      <c r="O1240" s="153"/>
      <c r="P1240" s="153"/>
      <c r="Q1240" s="153"/>
      <c r="R1240" s="153"/>
      <c r="S1240" s="154">
        <f t="shared" si="142"/>
        <v>0</v>
      </c>
      <c r="T1240" s="153"/>
      <c r="U1240" s="169">
        <f>'[1]Pricing Schedule'!F10</f>
        <v>0</v>
      </c>
      <c r="V1240" s="156"/>
      <c r="W1240" s="158"/>
      <c r="X1240" s="158"/>
      <c r="Y1240" s="158">
        <f>'[1]Pricing Schedule'!L10*'[1]Pricing Schedule'!$G10</f>
        <v>9</v>
      </c>
      <c r="Z1240" s="158">
        <f>'[1]Pricing Schedule'!M10*'[1]Pricing Schedule'!$G10</f>
        <v>9</v>
      </c>
      <c r="AA1240" s="159" t="s">
        <v>278</v>
      </c>
      <c r="AB1240" s="160"/>
      <c r="AC1240" s="174">
        <f t="shared" si="140"/>
        <v>0</v>
      </c>
    </row>
    <row r="1241" spans="10:29" ht="12.5">
      <c r="J1241" s="149"/>
      <c r="K1241" s="171">
        <f>MAX(K$1232:K1240)+1</f>
        <v>10</v>
      </c>
      <c r="L1241" s="172">
        <f t="shared" si="141"/>
        <v>1</v>
      </c>
      <c r="M1241" s="152" t="s">
        <v>287</v>
      </c>
      <c r="N1241" s="153"/>
      <c r="O1241" s="153"/>
      <c r="P1241" s="153"/>
      <c r="Q1241" s="153"/>
      <c r="R1241" s="153"/>
      <c r="S1241" s="154">
        <f t="shared" si="142"/>
        <v>0</v>
      </c>
      <c r="T1241" s="153"/>
      <c r="U1241" s="169">
        <f>'[1]Pricing Schedule'!F11</f>
        <v>26.84695048549122</v>
      </c>
      <c r="V1241" s="156"/>
      <c r="W1241" s="158"/>
      <c r="X1241" s="158"/>
      <c r="Y1241" s="158">
        <f>'[1]Pricing Schedule'!L11*'[1]Pricing Schedule'!$G11</f>
        <v>13</v>
      </c>
      <c r="Z1241" s="158">
        <f>'[1]Pricing Schedule'!M11*'[1]Pricing Schedule'!$G11</f>
        <v>13</v>
      </c>
      <c r="AA1241" s="159" t="s">
        <v>278</v>
      </c>
      <c r="AB1241" s="160"/>
      <c r="AC1241" s="174">
        <f t="shared" si="140"/>
        <v>349.01035631138586</v>
      </c>
    </row>
    <row r="1242" spans="10:29" ht="12.5">
      <c r="J1242" s="149"/>
      <c r="K1242" s="171">
        <f>MAX(K$1232:K1241)+1</f>
        <v>11</v>
      </c>
      <c r="L1242" s="172">
        <f t="shared" si="141"/>
        <v>1</v>
      </c>
      <c r="M1242" s="152" t="s">
        <v>288</v>
      </c>
      <c r="N1242" s="153"/>
      <c r="O1242" s="153"/>
      <c r="P1242" s="153"/>
      <c r="Q1242" s="153"/>
      <c r="R1242" s="153"/>
      <c r="S1242" s="154">
        <f t="shared" si="142"/>
        <v>0</v>
      </c>
      <c r="T1242" s="153"/>
      <c r="U1242" s="169">
        <f>'[1]Pricing Schedule'!F12</f>
        <v>0</v>
      </c>
      <c r="V1242" s="156"/>
      <c r="W1242" s="158"/>
      <c r="X1242" s="158"/>
      <c r="Y1242" s="158">
        <f>'[1]Pricing Schedule'!L12*'[1]Pricing Schedule'!$G12</f>
        <v>715</v>
      </c>
      <c r="Z1242" s="158">
        <f>'[1]Pricing Schedule'!M12*'[1]Pricing Schedule'!$G12</f>
        <v>715</v>
      </c>
      <c r="AA1242" s="159" t="s">
        <v>278</v>
      </c>
      <c r="AB1242" s="160"/>
      <c r="AC1242" s="174">
        <f t="shared" ref="AC1242:AC1297" si="143">INDEX(Y1242:Z1242,1,MATCH(_WellBasketSelection,$Y$1231:$Z$1231,0))*U1242</f>
        <v>0</v>
      </c>
    </row>
    <row r="1243" spans="10:29" ht="12.5">
      <c r="J1243" s="149"/>
      <c r="K1243" s="171">
        <f>MAX(K$1232:K1242)+1</f>
        <v>12</v>
      </c>
      <c r="L1243" s="172">
        <f t="shared" si="141"/>
        <v>1</v>
      </c>
      <c r="M1243" s="152" t="s">
        <v>289</v>
      </c>
      <c r="N1243" s="153"/>
      <c r="O1243" s="153"/>
      <c r="P1243" s="153"/>
      <c r="Q1243" s="153"/>
      <c r="R1243" s="153"/>
      <c r="S1243" s="154">
        <f t="shared" si="142"/>
        <v>0</v>
      </c>
      <c r="T1243" s="153"/>
      <c r="U1243" s="169">
        <f>'[1]Pricing Schedule'!F13</f>
        <v>6.2483566890144072E-3</v>
      </c>
      <c r="V1243" s="156"/>
      <c r="W1243" s="158"/>
      <c r="X1243" s="158"/>
      <c r="Y1243" s="158">
        <f>'[1]Pricing Schedule'!L13*'[1]Pricing Schedule'!$G13</f>
        <v>8775</v>
      </c>
      <c r="Z1243" s="158">
        <f>'[1]Pricing Schedule'!M13*'[1]Pricing Schedule'!$G13</f>
        <v>8775</v>
      </c>
      <c r="AA1243" s="159" t="s">
        <v>278</v>
      </c>
      <c r="AB1243" s="160"/>
      <c r="AC1243" s="174">
        <f t="shared" si="143"/>
        <v>54.829329946101424</v>
      </c>
    </row>
    <row r="1244" spans="10:29" ht="12.5">
      <c r="J1244" s="149"/>
      <c r="K1244" s="171">
        <f>MAX(K$1232:K1243)+1</f>
        <v>13</v>
      </c>
      <c r="L1244" s="172">
        <f t="shared" si="141"/>
        <v>1</v>
      </c>
      <c r="M1244" s="152" t="s">
        <v>290</v>
      </c>
      <c r="N1244" s="153"/>
      <c r="O1244" s="153"/>
      <c r="P1244" s="153"/>
      <c r="Q1244" s="153"/>
      <c r="R1244" s="153"/>
      <c r="S1244" s="154">
        <f t="shared" si="142"/>
        <v>0</v>
      </c>
      <c r="T1244" s="153"/>
      <c r="U1244" s="169">
        <f>'[1]Pricing Schedule'!F14</f>
        <v>1.008338889557926E-2</v>
      </c>
      <c r="V1244" s="156"/>
      <c r="W1244" s="158"/>
      <c r="X1244" s="158"/>
      <c r="Y1244" s="158">
        <f>'[1]Pricing Schedule'!L14*'[1]Pricing Schedule'!$G14</f>
        <v>17160</v>
      </c>
      <c r="Z1244" s="158">
        <f>'[1]Pricing Schedule'!M14*'[1]Pricing Schedule'!$G14</f>
        <v>17160</v>
      </c>
      <c r="AA1244" s="159" t="s">
        <v>278</v>
      </c>
      <c r="AB1244" s="160"/>
      <c r="AC1244" s="174">
        <f t="shared" si="143"/>
        <v>173.03095344814011</v>
      </c>
    </row>
    <row r="1245" spans="10:29" ht="12.5">
      <c r="J1245" s="149"/>
      <c r="K1245" s="171">
        <f>MAX(K$1232:K1244)+1</f>
        <v>14</v>
      </c>
      <c r="L1245" s="172">
        <f t="shared" si="141"/>
        <v>1</v>
      </c>
      <c r="M1245" s="152" t="s">
        <v>291</v>
      </c>
      <c r="N1245" s="153"/>
      <c r="O1245" s="153"/>
      <c r="P1245" s="153"/>
      <c r="Q1245" s="153"/>
      <c r="R1245" s="153"/>
      <c r="S1245" s="154">
        <f t="shared" si="142"/>
        <v>0</v>
      </c>
      <c r="T1245" s="153"/>
      <c r="U1245" s="169">
        <f>'[1]Pricing Schedule'!F15</f>
        <v>1.3675748274218264E-2</v>
      </c>
      <c r="V1245" s="156"/>
      <c r="W1245" s="158"/>
      <c r="X1245" s="158"/>
      <c r="Y1245" s="158">
        <f>'[1]Pricing Schedule'!L15*'[1]Pricing Schedule'!$G15</f>
        <v>8450</v>
      </c>
      <c r="Z1245" s="158">
        <f>'[1]Pricing Schedule'!M15*'[1]Pricing Schedule'!$G15</f>
        <v>8450</v>
      </c>
      <c r="AA1245" s="159" t="s">
        <v>278</v>
      </c>
      <c r="AB1245" s="160"/>
      <c r="AC1245" s="174">
        <f t="shared" si="143"/>
        <v>115.56007291714434</v>
      </c>
    </row>
    <row r="1246" spans="10:29" ht="12.5">
      <c r="J1246" s="149"/>
      <c r="K1246" s="171">
        <f>MAX(K$1232:K1245)+1</f>
        <v>15</v>
      </c>
      <c r="L1246" s="172">
        <f t="shared" si="141"/>
        <v>1</v>
      </c>
      <c r="M1246" s="152" t="s">
        <v>292</v>
      </c>
      <c r="N1246" s="153"/>
      <c r="O1246" s="153"/>
      <c r="P1246" s="153"/>
      <c r="Q1246" s="153"/>
      <c r="R1246" s="153"/>
      <c r="S1246" s="154">
        <f t="shared" si="142"/>
        <v>0</v>
      </c>
      <c r="T1246" s="153"/>
      <c r="U1246" s="169">
        <f>'[1]Pricing Schedule'!F16</f>
        <v>0</v>
      </c>
      <c r="V1246" s="156"/>
      <c r="W1246" s="158"/>
      <c r="X1246" s="158"/>
      <c r="Y1246" s="158">
        <f>'[1]Pricing Schedule'!L16*'[1]Pricing Schedule'!$G16</f>
        <v>0</v>
      </c>
      <c r="Z1246" s="158">
        <f>'[1]Pricing Schedule'!M16*'[1]Pricing Schedule'!$G16</f>
        <v>0</v>
      </c>
      <c r="AA1246" s="159" t="s">
        <v>278</v>
      </c>
      <c r="AB1246" s="160"/>
      <c r="AC1246" s="174">
        <f t="shared" si="143"/>
        <v>0</v>
      </c>
    </row>
    <row r="1247" spans="10:29" ht="12.5">
      <c r="J1247" s="149"/>
      <c r="K1247" s="171">
        <f>MAX(K$1232:K1246)+1</f>
        <v>16</v>
      </c>
      <c r="L1247" s="172">
        <f t="shared" si="141"/>
        <v>1</v>
      </c>
      <c r="M1247" s="152" t="s">
        <v>293</v>
      </c>
      <c r="N1247" s="153"/>
      <c r="O1247" s="153"/>
      <c r="P1247" s="153"/>
      <c r="Q1247" s="153"/>
      <c r="R1247" s="153"/>
      <c r="S1247" s="154">
        <f t="shared" si="142"/>
        <v>0</v>
      </c>
      <c r="T1247" s="153"/>
      <c r="U1247" s="169">
        <f>'[1]Pricing Schedule'!F17</f>
        <v>0.43</v>
      </c>
      <c r="V1247" s="156"/>
      <c r="W1247" s="158"/>
      <c r="X1247" s="158"/>
      <c r="Y1247" s="158">
        <f>'[1]Pricing Schedule'!L17*'[1]Pricing Schedule'!$G17</f>
        <v>13</v>
      </c>
      <c r="Z1247" s="158">
        <f>'[1]Pricing Schedule'!M17*'[1]Pricing Schedule'!$G17</f>
        <v>13</v>
      </c>
      <c r="AA1247" s="159" t="s">
        <v>278</v>
      </c>
      <c r="AB1247" s="160"/>
      <c r="AC1247" s="174">
        <f t="shared" si="143"/>
        <v>5.59</v>
      </c>
    </row>
    <row r="1248" spans="10:29" ht="12.5">
      <c r="J1248" s="149"/>
      <c r="K1248" s="171">
        <f>MAX(K$1232:K1247)+1</f>
        <v>17</v>
      </c>
      <c r="L1248" s="172">
        <f t="shared" si="141"/>
        <v>1</v>
      </c>
      <c r="M1248" s="152" t="s">
        <v>294</v>
      </c>
      <c r="N1248" s="153"/>
      <c r="O1248" s="153"/>
      <c r="P1248" s="153"/>
      <c r="Q1248" s="153"/>
      <c r="R1248" s="153"/>
      <c r="S1248" s="154">
        <f t="shared" si="142"/>
        <v>0</v>
      </c>
      <c r="T1248" s="153"/>
      <c r="U1248" s="169">
        <f>'[1]Pricing Schedule'!F18</f>
        <v>3.2439999999999998</v>
      </c>
      <c r="V1248" s="156"/>
      <c r="W1248" s="158"/>
      <c r="X1248" s="158"/>
      <c r="Y1248" s="158">
        <f>'[1]Pricing Schedule'!L18*'[1]Pricing Schedule'!$G18</f>
        <v>0</v>
      </c>
      <c r="Z1248" s="158">
        <f>'[1]Pricing Schedule'!M18*'[1]Pricing Schedule'!$G18</f>
        <v>0</v>
      </c>
      <c r="AA1248" s="159" t="s">
        <v>278</v>
      </c>
      <c r="AB1248" s="160"/>
      <c r="AC1248" s="174">
        <f t="shared" si="143"/>
        <v>0</v>
      </c>
    </row>
    <row r="1249" spans="10:29" ht="12.5">
      <c r="J1249" s="149"/>
      <c r="K1249" s="171">
        <f>MAX(K$1232:K1248)+1</f>
        <v>18</v>
      </c>
      <c r="L1249" s="172">
        <f t="shared" si="141"/>
        <v>1</v>
      </c>
      <c r="M1249" s="152" t="s">
        <v>295</v>
      </c>
      <c r="N1249" s="153"/>
      <c r="O1249" s="153"/>
      <c r="P1249" s="153"/>
      <c r="Q1249" s="153"/>
      <c r="R1249" s="153"/>
      <c r="S1249" s="154">
        <f t="shared" si="142"/>
        <v>0</v>
      </c>
      <c r="T1249" s="153"/>
      <c r="U1249" s="169">
        <f>'[1]Pricing Schedule'!F19</f>
        <v>0</v>
      </c>
      <c r="V1249" s="156"/>
      <c r="W1249" s="158"/>
      <c r="X1249" s="158"/>
      <c r="Y1249" s="158">
        <f>'[1]Pricing Schedule'!L19*'[1]Pricing Schedule'!$G19</f>
        <v>13</v>
      </c>
      <c r="Z1249" s="158">
        <f>'[1]Pricing Schedule'!M19*'[1]Pricing Schedule'!$G19</f>
        <v>13</v>
      </c>
      <c r="AA1249" s="159" t="s">
        <v>278</v>
      </c>
      <c r="AB1249" s="160"/>
      <c r="AC1249" s="174">
        <f t="shared" si="143"/>
        <v>0</v>
      </c>
    </row>
    <row r="1250" spans="10:29" ht="12.5">
      <c r="J1250" s="149"/>
      <c r="K1250" s="171">
        <f>MAX(K$1232:K1249)+1</f>
        <v>19</v>
      </c>
      <c r="L1250" s="172">
        <f t="shared" si="141"/>
        <v>1</v>
      </c>
      <c r="M1250" s="152"/>
      <c r="N1250" s="153"/>
      <c r="O1250" s="153"/>
      <c r="P1250" s="153"/>
      <c r="Q1250" s="153"/>
      <c r="R1250" s="153"/>
      <c r="S1250" s="154"/>
      <c r="T1250" s="153"/>
      <c r="U1250" s="169"/>
      <c r="V1250" s="156"/>
      <c r="W1250" s="158"/>
      <c r="X1250" s="158"/>
      <c r="Y1250" s="158"/>
      <c r="Z1250" s="158"/>
      <c r="AA1250" s="159"/>
      <c r="AB1250" s="160"/>
      <c r="AC1250" s="174"/>
    </row>
    <row r="1251" spans="10:29" ht="12.5">
      <c r="J1251" s="149"/>
      <c r="K1251" s="171">
        <f>MAX(K$1232:K1250)+1</f>
        <v>20</v>
      </c>
      <c r="L1251" s="172">
        <f t="shared" si="141"/>
        <v>1</v>
      </c>
      <c r="M1251" s="152"/>
      <c r="N1251" s="153"/>
      <c r="O1251" s="153"/>
      <c r="P1251" s="153"/>
      <c r="Q1251" s="153"/>
      <c r="R1251" s="153"/>
      <c r="S1251" s="154"/>
      <c r="T1251" s="153"/>
      <c r="U1251" s="169"/>
      <c r="V1251" s="156"/>
      <c r="W1251" s="158"/>
      <c r="X1251" s="158"/>
      <c r="Y1251" s="158"/>
      <c r="Z1251" s="158"/>
      <c r="AA1251" s="159"/>
      <c r="AB1251" s="160"/>
      <c r="AC1251" s="174"/>
    </row>
    <row r="1252" spans="10:29" ht="12.5">
      <c r="J1252" s="149"/>
      <c r="K1252" s="171">
        <f>MAX(K$1232:K1251)+1</f>
        <v>21</v>
      </c>
      <c r="L1252" s="172">
        <f t="shared" si="141"/>
        <v>1</v>
      </c>
      <c r="M1252" s="152"/>
      <c r="N1252" s="153"/>
      <c r="O1252" s="153"/>
      <c r="P1252" s="153"/>
      <c r="Q1252" s="153"/>
      <c r="R1252" s="153"/>
      <c r="S1252" s="154"/>
      <c r="T1252" s="153"/>
      <c r="U1252" s="169"/>
      <c r="V1252" s="156"/>
      <c r="W1252" s="158"/>
      <c r="X1252" s="158"/>
      <c r="Y1252" s="158"/>
      <c r="Z1252" s="158"/>
      <c r="AA1252" s="159"/>
      <c r="AB1252" s="160"/>
      <c r="AC1252" s="174"/>
    </row>
    <row r="1253" spans="10:29" ht="12.5">
      <c r="J1253" s="149"/>
      <c r="K1253" s="171">
        <f>MAX(K$1232:K1252)+1</f>
        <v>22</v>
      </c>
      <c r="L1253" s="172">
        <f t="shared" si="141"/>
        <v>1</v>
      </c>
      <c r="M1253" s="152"/>
      <c r="N1253" s="153"/>
      <c r="O1253" s="153"/>
      <c r="P1253" s="153"/>
      <c r="Q1253" s="153"/>
      <c r="R1253" s="153"/>
      <c r="S1253" s="154"/>
      <c r="T1253" s="153"/>
      <c r="U1253" s="169"/>
      <c r="V1253" s="156"/>
      <c r="W1253" s="158"/>
      <c r="X1253" s="158"/>
      <c r="Y1253" s="158"/>
      <c r="Z1253" s="158"/>
      <c r="AA1253" s="159"/>
      <c r="AB1253" s="160"/>
      <c r="AC1253" s="174"/>
    </row>
    <row r="1254" spans="10:29" ht="12.5">
      <c r="J1254" s="149"/>
      <c r="K1254" s="171">
        <f>MAX(K$1232:K1253)+1</f>
        <v>23</v>
      </c>
      <c r="L1254" s="172">
        <f t="shared" si="141"/>
        <v>1</v>
      </c>
      <c r="M1254" s="152"/>
      <c r="N1254" s="153"/>
      <c r="O1254" s="153"/>
      <c r="P1254" s="153"/>
      <c r="Q1254" s="153"/>
      <c r="R1254" s="153"/>
      <c r="S1254" s="154"/>
      <c r="T1254" s="153"/>
      <c r="U1254" s="169"/>
      <c r="V1254" s="156"/>
      <c r="W1254" s="158"/>
      <c r="X1254" s="158"/>
      <c r="Y1254" s="158"/>
      <c r="Z1254" s="158"/>
      <c r="AA1254" s="159"/>
      <c r="AB1254" s="160"/>
      <c r="AC1254" s="174"/>
    </row>
    <row r="1255" spans="10:29" ht="12.5">
      <c r="J1255" s="149"/>
      <c r="K1255" s="171">
        <f>MAX(K$1232:K1254)+1</f>
        <v>24</v>
      </c>
      <c r="L1255" s="172">
        <f t="shared" si="141"/>
        <v>1</v>
      </c>
      <c r="M1255" s="152"/>
      <c r="N1255" s="153"/>
      <c r="O1255" s="153"/>
      <c r="P1255" s="153"/>
      <c r="Q1255" s="153"/>
      <c r="R1255" s="153"/>
      <c r="S1255" s="154"/>
      <c r="T1255" s="153"/>
      <c r="U1255" s="169"/>
      <c r="V1255" s="156"/>
      <c r="W1255" s="158"/>
      <c r="X1255" s="158"/>
      <c r="Y1255" s="158"/>
      <c r="Z1255" s="158"/>
      <c r="AA1255" s="159"/>
      <c r="AB1255" s="160"/>
      <c r="AC1255" s="174"/>
    </row>
    <row r="1256" spans="10:29" ht="12.5">
      <c r="J1256" s="149"/>
      <c r="K1256" s="171">
        <f>MAX(K$1232:K1255)+1</f>
        <v>25</v>
      </c>
      <c r="L1256" s="172">
        <f t="shared" si="141"/>
        <v>1</v>
      </c>
      <c r="M1256" s="152"/>
      <c r="N1256" s="153"/>
      <c r="O1256" s="153"/>
      <c r="P1256" s="153"/>
      <c r="Q1256" s="153"/>
      <c r="R1256" s="153"/>
      <c r="S1256" s="154"/>
      <c r="T1256" s="153"/>
      <c r="U1256" s="169"/>
      <c r="V1256" s="156"/>
      <c r="W1256" s="158"/>
      <c r="X1256" s="158"/>
      <c r="Y1256" s="158"/>
      <c r="Z1256" s="158"/>
      <c r="AA1256" s="159"/>
      <c r="AB1256" s="160"/>
      <c r="AC1256" s="174"/>
    </row>
    <row r="1257" spans="10:29" ht="12.5">
      <c r="J1257" s="149"/>
      <c r="K1257" s="171">
        <f>MAX(K$1232:K1256)+1</f>
        <v>26</v>
      </c>
      <c r="L1257" s="172">
        <f t="shared" si="141"/>
        <v>1</v>
      </c>
      <c r="M1257" s="152"/>
      <c r="N1257" s="153"/>
      <c r="O1257" s="153"/>
      <c r="P1257" s="153"/>
      <c r="Q1257" s="153"/>
      <c r="R1257" s="153"/>
      <c r="S1257" s="154"/>
      <c r="T1257" s="153"/>
      <c r="U1257" s="169"/>
      <c r="V1257" s="156"/>
      <c r="W1257" s="158"/>
      <c r="X1257" s="158"/>
      <c r="Y1257" s="158"/>
      <c r="Z1257" s="158"/>
      <c r="AA1257" s="159"/>
      <c r="AB1257" s="160"/>
      <c r="AC1257" s="174"/>
    </row>
    <row r="1258" spans="10:29" ht="12.5">
      <c r="J1258" s="149"/>
      <c r="K1258" s="171">
        <f>MAX(K$1232:K1257)+1</f>
        <v>27</v>
      </c>
      <c r="L1258" s="172">
        <f t="shared" si="141"/>
        <v>1</v>
      </c>
      <c r="M1258" s="152"/>
      <c r="N1258" s="153"/>
      <c r="O1258" s="153"/>
      <c r="P1258" s="153"/>
      <c r="Q1258" s="153"/>
      <c r="R1258" s="153"/>
      <c r="S1258" s="154"/>
      <c r="T1258" s="153"/>
      <c r="U1258" s="169"/>
      <c r="V1258" s="156"/>
      <c r="W1258" s="158"/>
      <c r="X1258" s="158"/>
      <c r="Y1258" s="158"/>
      <c r="Z1258" s="158"/>
      <c r="AA1258" s="159"/>
      <c r="AB1258" s="160"/>
      <c r="AC1258" s="174"/>
    </row>
    <row r="1259" spans="10:29" ht="12.5">
      <c r="J1259" s="149"/>
      <c r="K1259" s="171">
        <f>MAX(K$1232:K1258)+1</f>
        <v>28</v>
      </c>
      <c r="L1259" s="172">
        <f t="shared" si="141"/>
        <v>1</v>
      </c>
      <c r="M1259" s="152"/>
      <c r="N1259" s="153"/>
      <c r="O1259" s="153"/>
      <c r="P1259" s="153"/>
      <c r="Q1259" s="153"/>
      <c r="R1259" s="153"/>
      <c r="S1259" s="154"/>
      <c r="T1259" s="153"/>
      <c r="U1259" s="169"/>
      <c r="V1259" s="156"/>
      <c r="W1259" s="158"/>
      <c r="X1259" s="158"/>
      <c r="Y1259" s="158"/>
      <c r="Z1259" s="158"/>
      <c r="AA1259" s="159"/>
      <c r="AB1259" s="160"/>
      <c r="AC1259" s="174"/>
    </row>
    <row r="1260" spans="10:29" ht="12.5">
      <c r="J1260" s="149"/>
      <c r="K1260" s="171">
        <f>MAX(K$1232:K1259)+1</f>
        <v>29</v>
      </c>
      <c r="L1260" s="172">
        <f t="shared" si="141"/>
        <v>1</v>
      </c>
      <c r="M1260" s="152"/>
      <c r="N1260" s="153"/>
      <c r="O1260" s="153"/>
      <c r="P1260" s="153"/>
      <c r="Q1260" s="153"/>
      <c r="R1260" s="153"/>
      <c r="S1260" s="154"/>
      <c r="T1260" s="153"/>
      <c r="U1260" s="169"/>
      <c r="V1260" s="156"/>
      <c r="W1260" s="158"/>
      <c r="X1260" s="158"/>
      <c r="Y1260" s="158"/>
      <c r="Z1260" s="158"/>
      <c r="AA1260" s="159"/>
      <c r="AB1260" s="160"/>
      <c r="AC1260" s="174"/>
    </row>
    <row r="1261" spans="10:29" ht="12.5">
      <c r="J1261" s="149"/>
      <c r="K1261" s="171">
        <f>MAX(K$1232:K1260)+1</f>
        <v>30</v>
      </c>
      <c r="L1261" s="172">
        <f t="shared" si="141"/>
        <v>1</v>
      </c>
      <c r="M1261" s="152"/>
      <c r="N1261" s="153"/>
      <c r="O1261" s="153"/>
      <c r="P1261" s="153"/>
      <c r="Q1261" s="153"/>
      <c r="R1261" s="153"/>
      <c r="S1261" s="154"/>
      <c r="T1261" s="153"/>
      <c r="U1261" s="169"/>
      <c r="V1261" s="156"/>
      <c r="W1261" s="158"/>
      <c r="X1261" s="158"/>
      <c r="Y1261" s="158"/>
      <c r="Z1261" s="158"/>
      <c r="AA1261" s="159"/>
      <c r="AB1261" s="160"/>
      <c r="AC1261" s="174"/>
    </row>
    <row r="1262" spans="10:29" ht="12.5">
      <c r="J1262" s="149"/>
      <c r="K1262" s="171">
        <f>MAX(K$1232:K1261)+1</f>
        <v>31</v>
      </c>
      <c r="L1262" s="172">
        <f t="shared" si="141"/>
        <v>1</v>
      </c>
      <c r="M1262" s="152"/>
      <c r="N1262" s="153"/>
      <c r="O1262" s="153"/>
      <c r="P1262" s="153"/>
      <c r="Q1262" s="153"/>
      <c r="R1262" s="153"/>
      <c r="S1262" s="154"/>
      <c r="T1262" s="153"/>
      <c r="U1262" s="169"/>
      <c r="V1262" s="156"/>
      <c r="W1262" s="158"/>
      <c r="X1262" s="158"/>
      <c r="Y1262" s="158"/>
      <c r="Z1262" s="158"/>
      <c r="AA1262" s="159"/>
      <c r="AB1262" s="160"/>
      <c r="AC1262" s="174"/>
    </row>
    <row r="1263" spans="10:29" ht="12.5">
      <c r="J1263" s="149"/>
      <c r="K1263" s="171">
        <f>MAX(K$1232:K1262)+1</f>
        <v>32</v>
      </c>
      <c r="L1263" s="172">
        <f t="shared" si="141"/>
        <v>1</v>
      </c>
      <c r="M1263" s="152"/>
      <c r="N1263" s="153"/>
      <c r="O1263" s="153"/>
      <c r="P1263" s="153"/>
      <c r="Q1263" s="153"/>
      <c r="R1263" s="153"/>
      <c r="S1263" s="154"/>
      <c r="T1263" s="153"/>
      <c r="U1263" s="169"/>
      <c r="V1263" s="156"/>
      <c r="W1263" s="158"/>
      <c r="X1263" s="158"/>
      <c r="Y1263" s="158"/>
      <c r="Z1263" s="158"/>
      <c r="AA1263" s="159"/>
      <c r="AB1263" s="160"/>
      <c r="AC1263" s="174"/>
    </row>
    <row r="1264" spans="10:29" ht="12.5">
      <c r="J1264" s="149"/>
      <c r="K1264" s="171">
        <f>MAX(K$1232:K1263)+1</f>
        <v>33</v>
      </c>
      <c r="L1264" s="172">
        <f t="shared" si="141"/>
        <v>1</v>
      </c>
      <c r="M1264" s="152"/>
      <c r="N1264" s="153"/>
      <c r="O1264" s="153"/>
      <c r="P1264" s="153"/>
      <c r="Q1264" s="153"/>
      <c r="R1264" s="153"/>
      <c r="S1264" s="154"/>
      <c r="T1264" s="153"/>
      <c r="U1264" s="169"/>
      <c r="V1264" s="156"/>
      <c r="W1264" s="158"/>
      <c r="X1264" s="158"/>
      <c r="Y1264" s="158"/>
      <c r="Z1264" s="158"/>
      <c r="AA1264" s="159"/>
      <c r="AB1264" s="160"/>
      <c r="AC1264" s="174"/>
    </row>
    <row r="1265" spans="10:29" ht="12.5">
      <c r="J1265" s="149"/>
      <c r="K1265" s="171">
        <f>MAX(K$1232:K1264)+1</f>
        <v>34</v>
      </c>
      <c r="L1265" s="172">
        <f t="shared" si="141"/>
        <v>1</v>
      </c>
      <c r="M1265" s="152"/>
      <c r="N1265" s="153"/>
      <c r="O1265" s="153"/>
      <c r="P1265" s="153"/>
      <c r="Q1265" s="153"/>
      <c r="R1265" s="153"/>
      <c r="S1265" s="154"/>
      <c r="T1265" s="153"/>
      <c r="U1265" s="169"/>
      <c r="V1265" s="156"/>
      <c r="W1265" s="158"/>
      <c r="X1265" s="158"/>
      <c r="Y1265" s="158"/>
      <c r="Z1265" s="158"/>
      <c r="AA1265" s="159"/>
      <c r="AB1265" s="160"/>
      <c r="AC1265" s="174"/>
    </row>
    <row r="1266" spans="10:29" ht="12.5">
      <c r="J1266" s="149"/>
      <c r="K1266" s="171">
        <f>MAX(K$1232:K1265)+1</f>
        <v>35</v>
      </c>
      <c r="L1266" s="172">
        <f t="shared" si="141"/>
        <v>1</v>
      </c>
      <c r="M1266" s="152"/>
      <c r="N1266" s="153"/>
      <c r="O1266" s="153"/>
      <c r="P1266" s="153"/>
      <c r="Q1266" s="153"/>
      <c r="R1266" s="153"/>
      <c r="S1266" s="154"/>
      <c r="T1266" s="153"/>
      <c r="U1266" s="169"/>
      <c r="V1266" s="156"/>
      <c r="W1266" s="158"/>
      <c r="X1266" s="158"/>
      <c r="Y1266" s="158"/>
      <c r="Z1266" s="158"/>
      <c r="AA1266" s="159"/>
      <c r="AB1266" s="160"/>
      <c r="AC1266" s="174"/>
    </row>
    <row r="1267" spans="10:29" ht="12.5">
      <c r="J1267" s="149"/>
      <c r="K1267" s="171">
        <f>MAX(K$1232:K1266)+1</f>
        <v>36</v>
      </c>
      <c r="L1267" s="172">
        <f t="shared" si="141"/>
        <v>1</v>
      </c>
      <c r="M1267" s="152"/>
      <c r="N1267" s="153"/>
      <c r="O1267" s="153"/>
      <c r="P1267" s="153"/>
      <c r="Q1267" s="153"/>
      <c r="R1267" s="153"/>
      <c r="S1267" s="154"/>
      <c r="T1267" s="153"/>
      <c r="U1267" s="169"/>
      <c r="V1267" s="156"/>
      <c r="W1267" s="158"/>
      <c r="X1267" s="158"/>
      <c r="Y1267" s="158"/>
      <c r="Z1267" s="158"/>
      <c r="AA1267" s="159"/>
      <c r="AB1267" s="160"/>
      <c r="AC1267" s="174"/>
    </row>
    <row r="1268" spans="10:29" ht="12.5">
      <c r="J1268" s="149"/>
      <c r="K1268" s="171">
        <f>MAX(K$1232:K1267)+1</f>
        <v>37</v>
      </c>
      <c r="L1268" s="172">
        <f t="shared" si="141"/>
        <v>1</v>
      </c>
      <c r="M1268" s="152"/>
      <c r="N1268" s="153"/>
      <c r="O1268" s="153"/>
      <c r="P1268" s="153"/>
      <c r="Q1268" s="153"/>
      <c r="R1268" s="153"/>
      <c r="S1268" s="154"/>
      <c r="T1268" s="153"/>
      <c r="U1268" s="169"/>
      <c r="V1268" s="156"/>
      <c r="W1268" s="158"/>
      <c r="X1268" s="158"/>
      <c r="Y1268" s="158"/>
      <c r="Z1268" s="158"/>
      <c r="AA1268" s="159"/>
      <c r="AB1268" s="160"/>
      <c r="AC1268" s="174"/>
    </row>
    <row r="1269" spans="10:29" ht="12.5">
      <c r="J1269" s="149"/>
      <c r="K1269" s="171">
        <f>MAX(K$1232:K1268)+1</f>
        <v>38</v>
      </c>
      <c r="L1269" s="172">
        <f t="shared" si="141"/>
        <v>1</v>
      </c>
      <c r="M1269" s="152"/>
      <c r="N1269" s="153"/>
      <c r="O1269" s="153"/>
      <c r="P1269" s="153"/>
      <c r="Q1269" s="153"/>
      <c r="R1269" s="153"/>
      <c r="S1269" s="154"/>
      <c r="T1269" s="153"/>
      <c r="U1269" s="169"/>
      <c r="V1269" s="156"/>
      <c r="W1269" s="158"/>
      <c r="X1269" s="158"/>
      <c r="Y1269" s="158"/>
      <c r="Z1269" s="158"/>
      <c r="AA1269" s="159"/>
      <c r="AB1269" s="160"/>
      <c r="AC1269" s="174"/>
    </row>
    <row r="1270" spans="10:29" ht="12.5">
      <c r="J1270" s="149"/>
      <c r="K1270" s="171">
        <f>MAX(K$1232:K1269)+1</f>
        <v>39</v>
      </c>
      <c r="L1270" s="172">
        <f t="shared" si="141"/>
        <v>1</v>
      </c>
      <c r="M1270" s="152"/>
      <c r="N1270" s="153"/>
      <c r="O1270" s="153"/>
      <c r="P1270" s="153"/>
      <c r="Q1270" s="153"/>
      <c r="R1270" s="153"/>
      <c r="S1270" s="154"/>
      <c r="T1270" s="153"/>
      <c r="U1270" s="169"/>
      <c r="V1270" s="156"/>
      <c r="W1270" s="158"/>
      <c r="X1270" s="158"/>
      <c r="Y1270" s="158"/>
      <c r="Z1270" s="158"/>
      <c r="AA1270" s="159"/>
      <c r="AB1270" s="160"/>
      <c r="AC1270" s="174"/>
    </row>
    <row r="1271" spans="10:29" ht="12.5">
      <c r="J1271" s="149"/>
      <c r="K1271" s="171">
        <f>MAX(K$1232:K1270)+1</f>
        <v>40</v>
      </c>
      <c r="L1271" s="172">
        <f t="shared" si="141"/>
        <v>1</v>
      </c>
      <c r="M1271" s="152" t="s">
        <v>296</v>
      </c>
      <c r="N1271" s="153"/>
      <c r="O1271" s="153"/>
      <c r="P1271" s="153"/>
      <c r="Q1271" s="153"/>
      <c r="R1271" s="153"/>
      <c r="S1271" s="154">
        <f t="shared" si="142"/>
        <v>0</v>
      </c>
      <c r="T1271" s="153"/>
      <c r="U1271" s="169">
        <f>'[1]Pricing Schedule'!F20</f>
        <v>27.714613439555443</v>
      </c>
      <c r="V1271" s="156"/>
      <c r="W1271" s="158"/>
      <c r="X1271" s="158"/>
      <c r="Y1271" s="158">
        <f>'[1]Pricing Schedule'!L20*'[1]Pricing Schedule'!$G20</f>
        <v>0</v>
      </c>
      <c r="Z1271" s="158">
        <f>'[1]Pricing Schedule'!M20*'[1]Pricing Schedule'!$G20</f>
        <v>0</v>
      </c>
      <c r="AA1271" s="159" t="s">
        <v>278</v>
      </c>
      <c r="AB1271" s="160"/>
      <c r="AC1271" s="174">
        <f t="shared" si="143"/>
        <v>0</v>
      </c>
    </row>
    <row r="1272" spans="10:29" ht="12.5">
      <c r="J1272" s="149"/>
      <c r="K1272" s="171">
        <f>MAX(K$1232:K1271)+1</f>
        <v>41</v>
      </c>
      <c r="L1272" s="172">
        <f t="shared" si="141"/>
        <v>1</v>
      </c>
      <c r="M1272" s="152" t="s">
        <v>297</v>
      </c>
      <c r="N1272" s="153"/>
      <c r="O1272" s="153"/>
      <c r="P1272" s="153"/>
      <c r="Q1272" s="153"/>
      <c r="R1272" s="153"/>
      <c r="S1272" s="154">
        <f t="shared" si="142"/>
        <v>0</v>
      </c>
      <c r="T1272" s="153"/>
      <c r="U1272" s="169">
        <f>'[1]Pricing Schedule'!F21</f>
        <v>0</v>
      </c>
      <c r="V1272" s="156"/>
      <c r="W1272" s="158"/>
      <c r="X1272" s="158"/>
      <c r="Y1272" s="158">
        <f>'[1]Pricing Schedule'!L21*'[1]Pricing Schedule'!$G21</f>
        <v>0</v>
      </c>
      <c r="Z1272" s="158">
        <f>'[1]Pricing Schedule'!M21*'[1]Pricing Schedule'!$G21</f>
        <v>0</v>
      </c>
      <c r="AA1272" s="159" t="s">
        <v>278</v>
      </c>
      <c r="AB1272" s="160"/>
      <c r="AC1272" s="174">
        <f t="shared" si="143"/>
        <v>0</v>
      </c>
    </row>
    <row r="1273" spans="10:29" ht="12.5">
      <c r="J1273" s="149"/>
      <c r="K1273" s="171">
        <f>MAX(K$1232:K1272)+1</f>
        <v>42</v>
      </c>
      <c r="L1273" s="172">
        <f t="shared" si="141"/>
        <v>1</v>
      </c>
      <c r="M1273" s="152" t="s">
        <v>298</v>
      </c>
      <c r="N1273" s="153"/>
      <c r="O1273" s="153"/>
      <c r="P1273" s="153"/>
      <c r="Q1273" s="153"/>
      <c r="R1273" s="153"/>
      <c r="S1273" s="154">
        <f t="shared" si="142"/>
        <v>0</v>
      </c>
      <c r="T1273" s="153"/>
      <c r="U1273" s="169">
        <f>'[1]Pricing Schedule'!F22</f>
        <v>6.2483566890144072E-3</v>
      </c>
      <c r="V1273" s="156"/>
      <c r="W1273" s="158"/>
      <c r="X1273" s="158"/>
      <c r="Y1273" s="158">
        <f>'[1]Pricing Schedule'!L22*'[1]Pricing Schedule'!$G22</f>
        <v>0</v>
      </c>
      <c r="Z1273" s="158">
        <f>'[1]Pricing Schedule'!M22*'[1]Pricing Schedule'!$G22</f>
        <v>0</v>
      </c>
      <c r="AA1273" s="159" t="s">
        <v>278</v>
      </c>
      <c r="AB1273" s="160"/>
      <c r="AC1273" s="174">
        <f t="shared" si="143"/>
        <v>0</v>
      </c>
    </row>
    <row r="1274" spans="10:29" ht="12.5">
      <c r="J1274" s="149"/>
      <c r="K1274" s="171">
        <f>MAX(K$1232:K1273)+1</f>
        <v>43</v>
      </c>
      <c r="L1274" s="172">
        <f t="shared" si="141"/>
        <v>1</v>
      </c>
      <c r="M1274" s="152" t="s">
        <v>299</v>
      </c>
      <c r="N1274" s="153"/>
      <c r="O1274" s="153"/>
      <c r="P1274" s="153"/>
      <c r="Q1274" s="153"/>
      <c r="R1274" s="153"/>
      <c r="S1274" s="154">
        <f t="shared" si="142"/>
        <v>0</v>
      </c>
      <c r="T1274" s="153"/>
      <c r="U1274" s="169">
        <f>'[1]Pricing Schedule'!F23</f>
        <v>9.632727029297513E-3</v>
      </c>
      <c r="V1274" s="156"/>
      <c r="W1274" s="158"/>
      <c r="X1274" s="158"/>
      <c r="Y1274" s="158">
        <f>'[1]Pricing Schedule'!L23*'[1]Pricing Schedule'!$G23</f>
        <v>0</v>
      </c>
      <c r="Z1274" s="158">
        <f>'[1]Pricing Schedule'!M23*'[1]Pricing Schedule'!$G23</f>
        <v>0</v>
      </c>
      <c r="AA1274" s="159" t="s">
        <v>278</v>
      </c>
      <c r="AB1274" s="160"/>
      <c r="AC1274" s="174">
        <f t="shared" si="143"/>
        <v>0</v>
      </c>
    </row>
    <row r="1275" spans="10:29" ht="12.5">
      <c r="J1275" s="149"/>
      <c r="K1275" s="171">
        <f>MAX(K$1232:K1274)+1</f>
        <v>44</v>
      </c>
      <c r="L1275" s="172">
        <f t="shared" si="141"/>
        <v>1</v>
      </c>
      <c r="M1275" s="152" t="s">
        <v>300</v>
      </c>
      <c r="N1275" s="153"/>
      <c r="O1275" s="153"/>
      <c r="P1275" s="153"/>
      <c r="Q1275" s="153"/>
      <c r="R1275" s="153"/>
      <c r="S1275" s="154">
        <f t="shared" si="142"/>
        <v>0</v>
      </c>
      <c r="T1275" s="153"/>
      <c r="U1275" s="169">
        <f>'[1]Pricing Schedule'!F24</f>
        <v>9.1676292833337732E-3</v>
      </c>
      <c r="V1275" s="156"/>
      <c r="W1275" s="158"/>
      <c r="X1275" s="158"/>
      <c r="Y1275" s="158">
        <f>'[1]Pricing Schedule'!L24*'[1]Pricing Schedule'!$G24</f>
        <v>0</v>
      </c>
      <c r="Z1275" s="158">
        <f>'[1]Pricing Schedule'!M24*'[1]Pricing Schedule'!$G24</f>
        <v>0</v>
      </c>
      <c r="AA1275" s="159" t="s">
        <v>278</v>
      </c>
      <c r="AB1275" s="160"/>
      <c r="AC1275" s="174">
        <f t="shared" si="143"/>
        <v>0</v>
      </c>
    </row>
    <row r="1276" spans="10:29" ht="12.5">
      <c r="J1276" s="149"/>
      <c r="K1276" s="171">
        <f>MAX(K$1232:K1275)+1</f>
        <v>45</v>
      </c>
      <c r="L1276" s="172">
        <f t="shared" si="141"/>
        <v>1</v>
      </c>
      <c r="M1276" s="152" t="s">
        <v>301</v>
      </c>
      <c r="N1276" s="153"/>
      <c r="O1276" s="153"/>
      <c r="P1276" s="153"/>
      <c r="Q1276" s="153"/>
      <c r="R1276" s="153"/>
      <c r="S1276" s="154">
        <f t="shared" si="142"/>
        <v>0</v>
      </c>
      <c r="T1276" s="153"/>
      <c r="U1276" s="169">
        <f>'[1]Pricing Schedule'!F25</f>
        <v>0</v>
      </c>
      <c r="V1276" s="156"/>
      <c r="W1276" s="158"/>
      <c r="X1276" s="158"/>
      <c r="Y1276" s="158">
        <f>'[1]Pricing Schedule'!L25*'[1]Pricing Schedule'!$G25</f>
        <v>0</v>
      </c>
      <c r="Z1276" s="158">
        <f>'[1]Pricing Schedule'!M25*'[1]Pricing Schedule'!$G25</f>
        <v>0</v>
      </c>
      <c r="AA1276" s="159" t="s">
        <v>278</v>
      </c>
      <c r="AB1276" s="160"/>
      <c r="AC1276" s="174">
        <f t="shared" si="143"/>
        <v>0</v>
      </c>
    </row>
    <row r="1277" spans="10:29" ht="12.5">
      <c r="J1277" s="149"/>
      <c r="K1277" s="171">
        <f>MAX(K$1232:K1276)+1</f>
        <v>46</v>
      </c>
      <c r="L1277" s="172">
        <f t="shared" si="141"/>
        <v>1</v>
      </c>
      <c r="M1277" s="152" t="s">
        <v>302</v>
      </c>
      <c r="N1277" s="153"/>
      <c r="O1277" s="153"/>
      <c r="P1277" s="153"/>
      <c r="Q1277" s="153"/>
      <c r="R1277" s="153"/>
      <c r="S1277" s="154">
        <f t="shared" si="142"/>
        <v>0</v>
      </c>
      <c r="T1277" s="153"/>
      <c r="U1277" s="169">
        <f>'[1]Pricing Schedule'!F26</f>
        <v>0.43</v>
      </c>
      <c r="V1277" s="156"/>
      <c r="W1277" s="158"/>
      <c r="X1277" s="158"/>
      <c r="Y1277" s="158">
        <f>'[1]Pricing Schedule'!L26*'[1]Pricing Schedule'!$G26</f>
        <v>0</v>
      </c>
      <c r="Z1277" s="158">
        <f>'[1]Pricing Schedule'!M26*'[1]Pricing Schedule'!$G26</f>
        <v>0</v>
      </c>
      <c r="AA1277" s="159" t="s">
        <v>278</v>
      </c>
      <c r="AB1277" s="160"/>
      <c r="AC1277" s="174">
        <f t="shared" si="143"/>
        <v>0</v>
      </c>
    </row>
    <row r="1278" spans="10:29" ht="12.5">
      <c r="J1278" s="149"/>
      <c r="K1278" s="171">
        <f>MAX(K$1232:K1277)+1</f>
        <v>47</v>
      </c>
      <c r="L1278" s="172">
        <f t="shared" si="141"/>
        <v>1</v>
      </c>
      <c r="M1278" s="152" t="s">
        <v>303</v>
      </c>
      <c r="N1278" s="153"/>
      <c r="O1278" s="153"/>
      <c r="P1278" s="153"/>
      <c r="Q1278" s="153"/>
      <c r="R1278" s="153"/>
      <c r="S1278" s="154">
        <f t="shared" si="142"/>
        <v>0</v>
      </c>
      <c r="T1278" s="153"/>
      <c r="U1278" s="169">
        <f>'[1]Pricing Schedule'!F27</f>
        <v>3.3040000000000003</v>
      </c>
      <c r="V1278" s="156"/>
      <c r="W1278" s="158"/>
      <c r="X1278" s="158"/>
      <c r="Y1278" s="158">
        <f>'[1]Pricing Schedule'!L27*'[1]Pricing Schedule'!$G27</f>
        <v>0</v>
      </c>
      <c r="Z1278" s="158">
        <f>'[1]Pricing Schedule'!M27*'[1]Pricing Schedule'!$G27</f>
        <v>0</v>
      </c>
      <c r="AA1278" s="159" t="s">
        <v>278</v>
      </c>
      <c r="AB1278" s="160"/>
      <c r="AC1278" s="174">
        <f t="shared" si="143"/>
        <v>0</v>
      </c>
    </row>
    <row r="1279" spans="10:29" ht="12.5">
      <c r="J1279" s="149"/>
      <c r="K1279" s="171">
        <f>MAX(K$1232:K1278)+1</f>
        <v>48</v>
      </c>
      <c r="L1279" s="172">
        <f t="shared" si="141"/>
        <v>1</v>
      </c>
      <c r="M1279" s="152" t="s">
        <v>304</v>
      </c>
      <c r="N1279" s="153"/>
      <c r="O1279" s="153"/>
      <c r="P1279" s="153"/>
      <c r="Q1279" s="153"/>
      <c r="R1279" s="153"/>
      <c r="S1279" s="154">
        <f t="shared" si="142"/>
        <v>0</v>
      </c>
      <c r="T1279" s="153"/>
      <c r="U1279" s="169">
        <f>'[1]Pricing Schedule'!F28</f>
        <v>0</v>
      </c>
      <c r="V1279" s="156"/>
      <c r="W1279" s="158"/>
      <c r="X1279" s="158"/>
      <c r="Y1279" s="158">
        <f>'[1]Pricing Schedule'!L28*'[1]Pricing Schedule'!$G28</f>
        <v>0</v>
      </c>
      <c r="Z1279" s="158">
        <f>'[1]Pricing Schedule'!M28*'[1]Pricing Schedule'!$G28</f>
        <v>0</v>
      </c>
      <c r="AA1279" s="159" t="s">
        <v>278</v>
      </c>
      <c r="AB1279" s="160"/>
      <c r="AC1279" s="174">
        <f t="shared" si="143"/>
        <v>0</v>
      </c>
    </row>
    <row r="1280" spans="10:29" ht="12.5">
      <c r="J1280" s="149"/>
      <c r="K1280" s="171">
        <f>MAX(K$1232:K1279)+1</f>
        <v>49</v>
      </c>
      <c r="L1280" s="172">
        <f t="shared" si="141"/>
        <v>1</v>
      </c>
      <c r="M1280" s="152" t="s">
        <v>305</v>
      </c>
      <c r="N1280" s="153"/>
      <c r="O1280" s="153"/>
      <c r="P1280" s="153"/>
      <c r="Q1280" s="153"/>
      <c r="R1280" s="153"/>
      <c r="S1280" s="154">
        <f t="shared" si="142"/>
        <v>0</v>
      </c>
      <c r="T1280" s="153"/>
      <c r="U1280" s="169">
        <f>'[1]Pricing Schedule'!F29</f>
        <v>37.301732017384431</v>
      </c>
      <c r="V1280" s="156"/>
      <c r="W1280" s="158"/>
      <c r="X1280" s="158"/>
      <c r="Y1280" s="158">
        <f>'[1]Pricing Schedule'!L29*'[1]Pricing Schedule'!$G29</f>
        <v>15</v>
      </c>
      <c r="Z1280" s="158">
        <f>'[1]Pricing Schedule'!M29*'[1]Pricing Schedule'!$G29</f>
        <v>15</v>
      </c>
      <c r="AA1280" s="159" t="s">
        <v>278</v>
      </c>
      <c r="AB1280" s="160"/>
      <c r="AC1280" s="174">
        <f t="shared" si="143"/>
        <v>559.52598026076646</v>
      </c>
    </row>
    <row r="1281" spans="10:29" ht="12.5">
      <c r="J1281" s="149"/>
      <c r="K1281" s="171">
        <f>MAX(K$1232:K1280)+1</f>
        <v>50</v>
      </c>
      <c r="L1281" s="172">
        <f t="shared" si="141"/>
        <v>1</v>
      </c>
      <c r="M1281" s="152" t="s">
        <v>306</v>
      </c>
      <c r="N1281" s="153"/>
      <c r="O1281" s="153"/>
      <c r="P1281" s="153"/>
      <c r="Q1281" s="153"/>
      <c r="R1281" s="153"/>
      <c r="S1281" s="154">
        <f t="shared" si="142"/>
        <v>0</v>
      </c>
      <c r="T1281" s="153"/>
      <c r="U1281" s="169">
        <f>'[1]Pricing Schedule'!F30</f>
        <v>0</v>
      </c>
      <c r="V1281" s="156"/>
      <c r="W1281" s="158"/>
      <c r="X1281" s="158"/>
      <c r="Y1281" s="158">
        <f>'[1]Pricing Schedule'!L30*'[1]Pricing Schedule'!$G30</f>
        <v>825</v>
      </c>
      <c r="Z1281" s="158">
        <f>'[1]Pricing Schedule'!M30*'[1]Pricing Schedule'!$G30</f>
        <v>825</v>
      </c>
      <c r="AA1281" s="159" t="s">
        <v>278</v>
      </c>
      <c r="AB1281" s="160"/>
      <c r="AC1281" s="174">
        <f t="shared" si="143"/>
        <v>0</v>
      </c>
    </row>
    <row r="1282" spans="10:29" ht="12.5">
      <c r="J1282" s="149"/>
      <c r="K1282" s="171">
        <f>MAX(K$1232:K1281)+1</f>
        <v>51</v>
      </c>
      <c r="L1282" s="172">
        <f t="shared" si="141"/>
        <v>1</v>
      </c>
      <c r="M1282" s="152" t="s">
        <v>307</v>
      </c>
      <c r="N1282" s="153"/>
      <c r="O1282" s="153"/>
      <c r="P1282" s="153"/>
      <c r="Q1282" s="153"/>
      <c r="R1282" s="153"/>
      <c r="S1282" s="154">
        <f t="shared" si="142"/>
        <v>0</v>
      </c>
      <c r="T1282" s="153"/>
      <c r="U1282" s="169">
        <f>'[1]Pricing Schedule'!F31</f>
        <v>6.2280933670392545E-3</v>
      </c>
      <c r="V1282" s="156"/>
      <c r="W1282" s="158"/>
      <c r="X1282" s="158"/>
      <c r="Y1282" s="158">
        <f>'[1]Pricing Schedule'!L31*'[1]Pricing Schedule'!$G31</f>
        <v>10125</v>
      </c>
      <c r="Z1282" s="158">
        <f>'[1]Pricing Schedule'!M31*'[1]Pricing Schedule'!$G31</f>
        <v>10125</v>
      </c>
      <c r="AA1282" s="159" t="s">
        <v>278</v>
      </c>
      <c r="AB1282" s="160"/>
      <c r="AC1282" s="174">
        <f>INDEX(Y1282:Z1282,1,MATCH(_WellBasketSelection,$Y$1231:$Z$1231,0))*U1282</f>
        <v>63.05944534127245</v>
      </c>
    </row>
    <row r="1283" spans="10:29" ht="12.5">
      <c r="J1283" s="149"/>
      <c r="K1283" s="171">
        <f>MAX(K$1232:K1282)+1</f>
        <v>52</v>
      </c>
      <c r="L1283" s="172">
        <f t="shared" si="141"/>
        <v>1</v>
      </c>
      <c r="M1283" s="152" t="s">
        <v>308</v>
      </c>
      <c r="N1283" s="153"/>
      <c r="O1283" s="153"/>
      <c r="P1283" s="153"/>
      <c r="Q1283" s="153"/>
      <c r="R1283" s="153"/>
      <c r="S1283" s="154">
        <f t="shared" si="142"/>
        <v>0</v>
      </c>
      <c r="T1283" s="153"/>
      <c r="U1283" s="169">
        <f>'[1]Pricing Schedule'!F32</f>
        <v>9.5816184528679949E-3</v>
      </c>
      <c r="V1283" s="156"/>
      <c r="W1283" s="158"/>
      <c r="X1283" s="158"/>
      <c r="Y1283" s="158">
        <f>'[1]Pricing Schedule'!L32*'[1]Pricing Schedule'!$G32</f>
        <v>18150</v>
      </c>
      <c r="Z1283" s="158">
        <f>'[1]Pricing Schedule'!M32*'[1]Pricing Schedule'!$G32</f>
        <v>18150</v>
      </c>
      <c r="AA1283" s="159" t="s">
        <v>278</v>
      </c>
      <c r="AB1283" s="160"/>
      <c r="AC1283" s="174">
        <f t="shared" si="143"/>
        <v>173.90637491955411</v>
      </c>
    </row>
    <row r="1284" spans="10:29" ht="12.5">
      <c r="J1284" s="149"/>
      <c r="K1284" s="171">
        <f>MAX(K$1232:K1283)+1</f>
        <v>53</v>
      </c>
      <c r="L1284" s="172">
        <f t="shared" si="141"/>
        <v>1</v>
      </c>
      <c r="M1284" s="152" t="s">
        <v>309</v>
      </c>
      <c r="N1284" s="153"/>
      <c r="O1284" s="153"/>
      <c r="P1284" s="153"/>
      <c r="Q1284" s="153"/>
      <c r="R1284" s="153"/>
      <c r="S1284" s="154">
        <f t="shared" si="142"/>
        <v>0</v>
      </c>
      <c r="T1284" s="153"/>
      <c r="U1284" s="169">
        <f>'[1]Pricing Schedule'!F33</f>
        <v>9.5382157181949888E-3</v>
      </c>
      <c r="V1284" s="156"/>
      <c r="W1284" s="158"/>
      <c r="X1284" s="158"/>
      <c r="Y1284" s="158">
        <f>'[1]Pricing Schedule'!L33*'[1]Pricing Schedule'!$G33</f>
        <v>18000</v>
      </c>
      <c r="Z1284" s="158">
        <f>'[1]Pricing Schedule'!M33*'[1]Pricing Schedule'!$G33</f>
        <v>18000</v>
      </c>
      <c r="AA1284" s="159" t="s">
        <v>278</v>
      </c>
      <c r="AB1284" s="160"/>
      <c r="AC1284" s="174">
        <f t="shared" si="143"/>
        <v>171.6878829275098</v>
      </c>
    </row>
    <row r="1285" spans="10:29" ht="12.5">
      <c r="J1285" s="149"/>
      <c r="K1285" s="171">
        <f>MAX(K$1232:K1284)+1</f>
        <v>54</v>
      </c>
      <c r="L1285" s="172">
        <f t="shared" si="141"/>
        <v>1</v>
      </c>
      <c r="M1285" s="152" t="s">
        <v>310</v>
      </c>
      <c r="N1285" s="153"/>
      <c r="O1285" s="153"/>
      <c r="P1285" s="153"/>
      <c r="Q1285" s="153"/>
      <c r="R1285" s="153"/>
      <c r="S1285" s="154">
        <f t="shared" si="142"/>
        <v>0</v>
      </c>
      <c r="T1285" s="153"/>
      <c r="U1285" s="169">
        <f>'[1]Pricing Schedule'!F34</f>
        <v>2.2924170963877805E-2</v>
      </c>
      <c r="V1285" s="156"/>
      <c r="W1285" s="158"/>
      <c r="X1285" s="158"/>
      <c r="Y1285" s="158">
        <f>'[1]Pricing Schedule'!L34*'[1]Pricing Schedule'!$G34</f>
        <v>6300</v>
      </c>
      <c r="Z1285" s="158">
        <f>'[1]Pricing Schedule'!M34*'[1]Pricing Schedule'!$G34</f>
        <v>6300</v>
      </c>
      <c r="AA1285" s="159" t="s">
        <v>278</v>
      </c>
      <c r="AB1285" s="160"/>
      <c r="AC1285" s="174">
        <f t="shared" si="143"/>
        <v>144.42227707243018</v>
      </c>
    </row>
    <row r="1286" spans="10:29" ht="12.5">
      <c r="J1286" s="149"/>
      <c r="K1286" s="171">
        <f>MAX(K$1232:K1285)+1</f>
        <v>55</v>
      </c>
      <c r="L1286" s="172">
        <f t="shared" si="141"/>
        <v>1</v>
      </c>
      <c r="M1286" s="152" t="s">
        <v>311</v>
      </c>
      <c r="N1286" s="153"/>
      <c r="O1286" s="153"/>
      <c r="P1286" s="153"/>
      <c r="Q1286" s="153"/>
      <c r="R1286" s="153"/>
      <c r="S1286" s="154">
        <f t="shared" si="142"/>
        <v>0</v>
      </c>
      <c r="T1286" s="153"/>
      <c r="U1286" s="169">
        <f>'[1]Pricing Schedule'!F35</f>
        <v>0.43</v>
      </c>
      <c r="V1286" s="156"/>
      <c r="W1286" s="158"/>
      <c r="X1286" s="158"/>
      <c r="Y1286" s="158">
        <f>'[1]Pricing Schedule'!L35*'[1]Pricing Schedule'!$G35</f>
        <v>15</v>
      </c>
      <c r="Z1286" s="158">
        <f>'[1]Pricing Schedule'!M35*'[1]Pricing Schedule'!$G35</f>
        <v>15</v>
      </c>
      <c r="AA1286" s="159" t="s">
        <v>278</v>
      </c>
      <c r="AB1286" s="160"/>
      <c r="AC1286" s="174">
        <f t="shared" si="143"/>
        <v>6.45</v>
      </c>
    </row>
    <row r="1287" spans="10:29" ht="12.5">
      <c r="J1287" s="149"/>
      <c r="K1287" s="171">
        <f>MAX(K$1232:K1286)+1</f>
        <v>56</v>
      </c>
      <c r="L1287" s="172">
        <f t="shared" si="141"/>
        <v>1</v>
      </c>
      <c r="M1287" s="152" t="s">
        <v>312</v>
      </c>
      <c r="N1287" s="153"/>
      <c r="O1287" s="153"/>
      <c r="P1287" s="153"/>
      <c r="Q1287" s="153"/>
      <c r="R1287" s="153"/>
      <c r="S1287" s="154">
        <f t="shared" si="142"/>
        <v>0</v>
      </c>
      <c r="T1287" s="153"/>
      <c r="U1287" s="169">
        <f>'[1]Pricing Schedule'!F36</f>
        <v>3.532</v>
      </c>
      <c r="V1287" s="156"/>
      <c r="W1287" s="158"/>
      <c r="X1287" s="158"/>
      <c r="Y1287" s="158">
        <f>'[1]Pricing Schedule'!L36*'[1]Pricing Schedule'!$G36</f>
        <v>0</v>
      </c>
      <c r="Z1287" s="158">
        <f>'[1]Pricing Schedule'!M36*'[1]Pricing Schedule'!$G36</f>
        <v>0</v>
      </c>
      <c r="AA1287" s="159" t="s">
        <v>278</v>
      </c>
      <c r="AB1287" s="160"/>
      <c r="AC1287" s="174">
        <f t="shared" si="143"/>
        <v>0</v>
      </c>
    </row>
    <row r="1288" spans="10:29" ht="12.5">
      <c r="J1288" s="149"/>
      <c r="K1288" s="171">
        <f>MAX(K$1232:K1287)+1</f>
        <v>57</v>
      </c>
      <c r="L1288" s="172">
        <f t="shared" si="141"/>
        <v>1</v>
      </c>
      <c r="M1288" s="152" t="s">
        <v>313</v>
      </c>
      <c r="N1288" s="153"/>
      <c r="O1288" s="153"/>
      <c r="P1288" s="153"/>
      <c r="Q1288" s="153"/>
      <c r="R1288" s="153"/>
      <c r="S1288" s="154">
        <f t="shared" si="142"/>
        <v>0</v>
      </c>
      <c r="T1288" s="153"/>
      <c r="U1288" s="169">
        <f>'[1]Pricing Schedule'!F37</f>
        <v>0</v>
      </c>
      <c r="V1288" s="156"/>
      <c r="W1288" s="158"/>
      <c r="X1288" s="158"/>
      <c r="Y1288" s="158">
        <f>'[1]Pricing Schedule'!L37*'[1]Pricing Schedule'!$G37</f>
        <v>15</v>
      </c>
      <c r="Z1288" s="158">
        <f>'[1]Pricing Schedule'!M37*'[1]Pricing Schedule'!$G37</f>
        <v>15</v>
      </c>
      <c r="AA1288" s="159" t="s">
        <v>278</v>
      </c>
      <c r="AB1288" s="160"/>
      <c r="AC1288" s="174">
        <f t="shared" si="143"/>
        <v>0</v>
      </c>
    </row>
    <row r="1289" spans="10:29" ht="12.5">
      <c r="J1289" s="149"/>
      <c r="K1289" s="171">
        <f>MAX(K$1232:K1288)+1</f>
        <v>58</v>
      </c>
      <c r="L1289" s="172">
        <f t="shared" si="141"/>
        <v>1</v>
      </c>
      <c r="M1289" s="152" t="s">
        <v>314</v>
      </c>
      <c r="N1289" s="153"/>
      <c r="O1289" s="153"/>
      <c r="P1289" s="153"/>
      <c r="Q1289" s="153"/>
      <c r="R1289" s="153"/>
      <c r="S1289" s="154">
        <f t="shared" si="142"/>
        <v>0</v>
      </c>
      <c r="T1289" s="153"/>
      <c r="U1289" s="169">
        <f>'[1]Pricing Schedule'!F38</f>
        <v>43.734477050869039</v>
      </c>
      <c r="V1289" s="156"/>
      <c r="W1289" s="158"/>
      <c r="X1289" s="158"/>
      <c r="Y1289" s="158">
        <f>'[1]Pricing Schedule'!L38*'[1]Pricing Schedule'!$G38</f>
        <v>3</v>
      </c>
      <c r="Z1289" s="158">
        <f>'[1]Pricing Schedule'!M38*'[1]Pricing Schedule'!$G38</f>
        <v>3</v>
      </c>
      <c r="AA1289" s="159" t="s">
        <v>278</v>
      </c>
      <c r="AB1289" s="160"/>
      <c r="AC1289" s="174">
        <f t="shared" si="143"/>
        <v>131.20343115260712</v>
      </c>
    </row>
    <row r="1290" spans="10:29" ht="12.5">
      <c r="J1290" s="149"/>
      <c r="K1290" s="171">
        <f>MAX(K$1232:K1289)+1</f>
        <v>59</v>
      </c>
      <c r="L1290" s="172">
        <f t="shared" si="141"/>
        <v>1</v>
      </c>
      <c r="M1290" s="152" t="s">
        <v>315</v>
      </c>
      <c r="N1290" s="153"/>
      <c r="O1290" s="153"/>
      <c r="P1290" s="153"/>
      <c r="Q1290" s="153"/>
      <c r="R1290" s="153"/>
      <c r="S1290" s="154">
        <f t="shared" si="142"/>
        <v>0</v>
      </c>
      <c r="T1290" s="153"/>
      <c r="U1290" s="169">
        <f>'[1]Pricing Schedule'!F39</f>
        <v>0</v>
      </c>
      <c r="V1290" s="156"/>
      <c r="W1290" s="158"/>
      <c r="X1290" s="158"/>
      <c r="Y1290" s="158">
        <f>'[1]Pricing Schedule'!L39*'[1]Pricing Schedule'!$G39</f>
        <v>165</v>
      </c>
      <c r="Z1290" s="158">
        <f>'[1]Pricing Schedule'!M39*'[1]Pricing Schedule'!$G39</f>
        <v>165</v>
      </c>
      <c r="AA1290" s="159" t="s">
        <v>278</v>
      </c>
      <c r="AB1290" s="160"/>
      <c r="AC1290" s="174">
        <f t="shared" si="143"/>
        <v>0</v>
      </c>
    </row>
    <row r="1291" spans="10:29" ht="12.5">
      <c r="J1291" s="149"/>
      <c r="K1291" s="171">
        <f>MAX(K$1232:K1290)+1</f>
        <v>60</v>
      </c>
      <c r="L1291" s="172">
        <f t="shared" si="141"/>
        <v>1</v>
      </c>
      <c r="M1291" s="152" t="s">
        <v>316</v>
      </c>
      <c r="N1291" s="153"/>
      <c r="O1291" s="153"/>
      <c r="P1291" s="153"/>
      <c r="Q1291" s="153"/>
      <c r="R1291" s="153"/>
      <c r="S1291" s="154">
        <f t="shared" si="142"/>
        <v>0</v>
      </c>
      <c r="T1291" s="153"/>
      <c r="U1291" s="169">
        <f>'[1]Pricing Schedule'!F40</f>
        <v>6.2280933670392545E-3</v>
      </c>
      <c r="V1291" s="156"/>
      <c r="W1291" s="158"/>
      <c r="X1291" s="158"/>
      <c r="Y1291" s="158">
        <f>'[1]Pricing Schedule'!L40*'[1]Pricing Schedule'!$G40</f>
        <v>2025</v>
      </c>
      <c r="Z1291" s="158">
        <f>'[1]Pricing Schedule'!M40*'[1]Pricing Schedule'!$G40</f>
        <v>2025</v>
      </c>
      <c r="AA1291" s="159" t="s">
        <v>278</v>
      </c>
      <c r="AB1291" s="160"/>
      <c r="AC1291" s="174">
        <f t="shared" si="143"/>
        <v>12.61188906825449</v>
      </c>
    </row>
    <row r="1292" spans="10:29" ht="12.5">
      <c r="J1292" s="149"/>
      <c r="K1292" s="171">
        <f>MAX(K$1232:K1291)+1</f>
        <v>61</v>
      </c>
      <c r="L1292" s="172">
        <f t="shared" si="141"/>
        <v>1</v>
      </c>
      <c r="M1292" s="152" t="s">
        <v>317</v>
      </c>
      <c r="N1292" s="153"/>
      <c r="O1292" s="153"/>
      <c r="P1292" s="153"/>
      <c r="Q1292" s="153"/>
      <c r="R1292" s="153"/>
      <c r="S1292" s="154">
        <f t="shared" si="142"/>
        <v>0</v>
      </c>
      <c r="T1292" s="153"/>
      <c r="U1292" s="169">
        <f>'[1]Pricing Schedule'!F41</f>
        <v>1.0073026969569238E-2</v>
      </c>
      <c r="V1292" s="156"/>
      <c r="W1292" s="158"/>
      <c r="X1292" s="158"/>
      <c r="Y1292" s="158">
        <f>'[1]Pricing Schedule'!L41*'[1]Pricing Schedule'!$G41</f>
        <v>3960</v>
      </c>
      <c r="Z1292" s="158">
        <f>'[1]Pricing Schedule'!M41*'[1]Pricing Schedule'!$G41</f>
        <v>3960</v>
      </c>
      <c r="AA1292" s="159" t="s">
        <v>278</v>
      </c>
      <c r="AB1292" s="160"/>
      <c r="AC1292" s="174">
        <f t="shared" si="143"/>
        <v>39.889186799494183</v>
      </c>
    </row>
    <row r="1293" spans="10:29" ht="12.5">
      <c r="J1293" s="149"/>
      <c r="K1293" s="171">
        <f>MAX(K$1232:K1292)+1</f>
        <v>62</v>
      </c>
      <c r="L1293" s="172">
        <f t="shared" si="141"/>
        <v>1</v>
      </c>
      <c r="M1293" s="152" t="s">
        <v>318</v>
      </c>
      <c r="N1293" s="153"/>
      <c r="O1293" s="153"/>
      <c r="P1293" s="153"/>
      <c r="Q1293" s="153"/>
      <c r="R1293" s="153"/>
      <c r="S1293" s="154">
        <f t="shared" si="142"/>
        <v>0</v>
      </c>
      <c r="T1293" s="153"/>
      <c r="U1293" s="169">
        <f>'[1]Pricing Schedule'!F42</f>
        <v>9.8104483560355182E-3</v>
      </c>
      <c r="V1293" s="156"/>
      <c r="W1293" s="158"/>
      <c r="X1293" s="158"/>
      <c r="Y1293" s="158">
        <f>'[1]Pricing Schedule'!L42*'[1]Pricing Schedule'!$G42</f>
        <v>3900</v>
      </c>
      <c r="Z1293" s="158">
        <f>'[1]Pricing Schedule'!M42*'[1]Pricing Schedule'!$G42</f>
        <v>3900</v>
      </c>
      <c r="AA1293" s="159" t="s">
        <v>278</v>
      </c>
      <c r="AB1293" s="160"/>
      <c r="AC1293" s="174">
        <f t="shared" si="143"/>
        <v>38.260748588538519</v>
      </c>
    </row>
    <row r="1294" spans="10:29" ht="12.5">
      <c r="J1294" s="149"/>
      <c r="K1294" s="171">
        <f>MAX(K$1232:K1293)+1</f>
        <v>63</v>
      </c>
      <c r="L1294" s="172">
        <f t="shared" si="141"/>
        <v>1</v>
      </c>
      <c r="M1294" s="152" t="s">
        <v>319</v>
      </c>
      <c r="N1294" s="153"/>
      <c r="O1294" s="153"/>
      <c r="P1294" s="153"/>
      <c r="Q1294" s="153"/>
      <c r="R1294" s="153"/>
      <c r="S1294" s="154">
        <f t="shared" si="142"/>
        <v>0</v>
      </c>
      <c r="T1294" s="153"/>
      <c r="U1294" s="169">
        <f>'[1]Pricing Schedule'!F43</f>
        <v>2.9001190145422167E-2</v>
      </c>
      <c r="V1294" s="156"/>
      <c r="W1294" s="158"/>
      <c r="X1294" s="158"/>
      <c r="Y1294" s="158">
        <f>'[1]Pricing Schedule'!L43*'[1]Pricing Schedule'!$G43</f>
        <v>1350</v>
      </c>
      <c r="Z1294" s="158">
        <f>'[1]Pricing Schedule'!M43*'[1]Pricing Schedule'!$G43</f>
        <v>1350</v>
      </c>
      <c r="AA1294" s="159" t="s">
        <v>278</v>
      </c>
      <c r="AB1294" s="160"/>
      <c r="AC1294" s="174">
        <f t="shared" si="143"/>
        <v>39.151606696319924</v>
      </c>
    </row>
    <row r="1295" spans="10:29" ht="12.5">
      <c r="J1295" s="149"/>
      <c r="K1295" s="171">
        <f>MAX(K$1232:K1294)+1</f>
        <v>64</v>
      </c>
      <c r="L1295" s="172">
        <f t="shared" si="141"/>
        <v>1</v>
      </c>
      <c r="M1295" s="152" t="s">
        <v>320</v>
      </c>
      <c r="N1295" s="153"/>
      <c r="O1295" s="153"/>
      <c r="P1295" s="153"/>
      <c r="Q1295" s="153"/>
      <c r="R1295" s="153"/>
      <c r="S1295" s="154">
        <f t="shared" si="142"/>
        <v>0</v>
      </c>
      <c r="T1295" s="153"/>
      <c r="U1295" s="169">
        <f>'[1]Pricing Schedule'!F44</f>
        <v>0.43</v>
      </c>
      <c r="V1295" s="156"/>
      <c r="W1295" s="158"/>
      <c r="X1295" s="158"/>
      <c r="Y1295" s="158">
        <f>'[1]Pricing Schedule'!L44*'[1]Pricing Schedule'!$G44</f>
        <v>3</v>
      </c>
      <c r="Z1295" s="158">
        <f>'[1]Pricing Schedule'!M44*'[1]Pricing Schedule'!$G44</f>
        <v>3</v>
      </c>
      <c r="AA1295" s="159" t="s">
        <v>278</v>
      </c>
      <c r="AB1295" s="160"/>
      <c r="AC1295" s="174">
        <f t="shared" si="143"/>
        <v>1.29</v>
      </c>
    </row>
    <row r="1296" spans="10:29" ht="12.5">
      <c r="J1296" s="149"/>
      <c r="K1296" s="171">
        <f>MAX(K$1232:K1295)+1</f>
        <v>65</v>
      </c>
      <c r="L1296" s="172">
        <f t="shared" si="141"/>
        <v>1</v>
      </c>
      <c r="M1296" s="152" t="s">
        <v>321</v>
      </c>
      <c r="N1296" s="153"/>
      <c r="O1296" s="153"/>
      <c r="P1296" s="153"/>
      <c r="Q1296" s="153"/>
      <c r="R1296" s="153"/>
      <c r="S1296" s="154">
        <f t="shared" si="142"/>
        <v>0</v>
      </c>
      <c r="T1296" s="153"/>
      <c r="U1296" s="169">
        <f>'[1]Pricing Schedule'!F45</f>
        <v>3.6160000000000001</v>
      </c>
      <c r="V1296" s="156"/>
      <c r="W1296" s="158"/>
      <c r="X1296" s="158"/>
      <c r="Y1296" s="158">
        <f>'[1]Pricing Schedule'!L45*'[1]Pricing Schedule'!$G45</f>
        <v>0</v>
      </c>
      <c r="Z1296" s="158">
        <f>'[1]Pricing Schedule'!M45*'[1]Pricing Schedule'!$G45</f>
        <v>0</v>
      </c>
      <c r="AA1296" s="159" t="s">
        <v>278</v>
      </c>
      <c r="AB1296" s="160"/>
      <c r="AC1296" s="174">
        <f t="shared" si="143"/>
        <v>0</v>
      </c>
    </row>
    <row r="1297" spans="10:29" ht="12.5">
      <c r="J1297" s="149"/>
      <c r="K1297" s="171">
        <f>MAX(K$1232:K1296)+1</f>
        <v>66</v>
      </c>
      <c r="L1297" s="172">
        <f t="shared" ref="L1297:L1360" si="144">IF(J1296="",L1296,L1296+1)</f>
        <v>1</v>
      </c>
      <c r="M1297" s="152" t="s">
        <v>322</v>
      </c>
      <c r="N1297" s="153"/>
      <c r="O1297" s="153"/>
      <c r="P1297" s="153"/>
      <c r="Q1297" s="153"/>
      <c r="R1297" s="153"/>
      <c r="S1297" s="154">
        <f t="shared" ref="S1297:S1352" si="145">SUM(N1297:R1297)</f>
        <v>0</v>
      </c>
      <c r="T1297" s="153"/>
      <c r="U1297" s="169">
        <f>'[1]Pricing Schedule'!F46</f>
        <v>0</v>
      </c>
      <c r="V1297" s="156"/>
      <c r="W1297" s="158"/>
      <c r="X1297" s="158"/>
      <c r="Y1297" s="158">
        <f>'[1]Pricing Schedule'!L46*'[1]Pricing Schedule'!$G46</f>
        <v>3</v>
      </c>
      <c r="Z1297" s="158">
        <f>'[1]Pricing Schedule'!M46*'[1]Pricing Schedule'!$G46</f>
        <v>3</v>
      </c>
      <c r="AA1297" s="159" t="s">
        <v>278</v>
      </c>
      <c r="AB1297" s="160"/>
      <c r="AC1297" s="174">
        <f t="shared" si="143"/>
        <v>0</v>
      </c>
    </row>
    <row r="1298" spans="10:29" ht="12.5">
      <c r="J1298" s="149"/>
      <c r="K1298" s="171">
        <f>MAX(K$1232:K1297)+1</f>
        <v>67</v>
      </c>
      <c r="L1298" s="172">
        <f t="shared" si="144"/>
        <v>1</v>
      </c>
      <c r="M1298" s="152"/>
      <c r="N1298" s="153"/>
      <c r="O1298" s="153"/>
      <c r="P1298" s="153"/>
      <c r="Q1298" s="153"/>
      <c r="R1298" s="153"/>
      <c r="S1298" s="154"/>
      <c r="T1298" s="153"/>
      <c r="U1298" s="169"/>
      <c r="V1298" s="156"/>
      <c r="W1298" s="158"/>
      <c r="X1298" s="158"/>
      <c r="Y1298" s="158"/>
      <c r="Z1298" s="158"/>
      <c r="AA1298" s="159"/>
      <c r="AB1298" s="160"/>
      <c r="AC1298" s="174"/>
    </row>
    <row r="1299" spans="10:29" ht="12.5">
      <c r="J1299" s="149"/>
      <c r="K1299" s="171">
        <f>MAX(K$1232:K1298)+1</f>
        <v>68</v>
      </c>
      <c r="L1299" s="172">
        <f t="shared" si="144"/>
        <v>1</v>
      </c>
      <c r="M1299" s="152"/>
      <c r="N1299" s="153"/>
      <c r="O1299" s="153"/>
      <c r="P1299" s="153"/>
      <c r="Q1299" s="153"/>
      <c r="R1299" s="153"/>
      <c r="S1299" s="154"/>
      <c r="T1299" s="153"/>
      <c r="U1299" s="169"/>
      <c r="V1299" s="156"/>
      <c r="W1299" s="158"/>
      <c r="X1299" s="158"/>
      <c r="Y1299" s="158"/>
      <c r="Z1299" s="158"/>
      <c r="AA1299" s="159"/>
      <c r="AB1299" s="160"/>
      <c r="AC1299" s="174"/>
    </row>
    <row r="1300" spans="10:29" ht="12.5">
      <c r="J1300" s="149"/>
      <c r="K1300" s="171">
        <f>MAX(K$1232:K1299)+1</f>
        <v>69</v>
      </c>
      <c r="L1300" s="172">
        <f t="shared" si="144"/>
        <v>1</v>
      </c>
      <c r="M1300" s="152"/>
      <c r="N1300" s="153"/>
      <c r="O1300" s="153"/>
      <c r="P1300" s="153"/>
      <c r="Q1300" s="153"/>
      <c r="R1300" s="153"/>
      <c r="S1300" s="154"/>
      <c r="T1300" s="153"/>
      <c r="U1300" s="169"/>
      <c r="V1300" s="156"/>
      <c r="W1300" s="158"/>
      <c r="X1300" s="158"/>
      <c r="Y1300" s="158"/>
      <c r="Z1300" s="158"/>
      <c r="AA1300" s="159"/>
      <c r="AB1300" s="160"/>
      <c r="AC1300" s="174"/>
    </row>
    <row r="1301" spans="10:29" ht="12.5">
      <c r="J1301" s="149"/>
      <c r="K1301" s="171">
        <f>MAX(K$1232:K1300)+1</f>
        <v>70</v>
      </c>
      <c r="L1301" s="172">
        <f t="shared" si="144"/>
        <v>1</v>
      </c>
      <c r="M1301" s="152"/>
      <c r="N1301" s="153"/>
      <c r="O1301" s="153"/>
      <c r="P1301" s="153"/>
      <c r="Q1301" s="153"/>
      <c r="R1301" s="153"/>
      <c r="S1301" s="154"/>
      <c r="T1301" s="153"/>
      <c r="U1301" s="169"/>
      <c r="V1301" s="156"/>
      <c r="W1301" s="158"/>
      <c r="X1301" s="158"/>
      <c r="Y1301" s="158"/>
      <c r="Z1301" s="158"/>
      <c r="AA1301" s="159"/>
      <c r="AB1301" s="160"/>
      <c r="AC1301" s="174"/>
    </row>
    <row r="1302" spans="10:29" ht="12.5">
      <c r="J1302" s="149"/>
      <c r="K1302" s="171">
        <f>MAX(K$1232:K1301)+1</f>
        <v>71</v>
      </c>
      <c r="L1302" s="172">
        <f t="shared" si="144"/>
        <v>1</v>
      </c>
      <c r="M1302" s="152"/>
      <c r="N1302" s="153"/>
      <c r="O1302" s="153"/>
      <c r="P1302" s="153"/>
      <c r="Q1302" s="153"/>
      <c r="R1302" s="153"/>
      <c r="S1302" s="154"/>
      <c r="T1302" s="153"/>
      <c r="U1302" s="169"/>
      <c r="V1302" s="156"/>
      <c r="W1302" s="158"/>
      <c r="X1302" s="158"/>
      <c r="Y1302" s="158"/>
      <c r="Z1302" s="158"/>
      <c r="AA1302" s="159"/>
      <c r="AB1302" s="160"/>
      <c r="AC1302" s="174"/>
    </row>
    <row r="1303" spans="10:29" ht="12.5">
      <c r="J1303" s="149"/>
      <c r="K1303" s="171">
        <f>MAX(K$1232:K1302)+1</f>
        <v>72</v>
      </c>
      <c r="L1303" s="172">
        <f t="shared" si="144"/>
        <v>1</v>
      </c>
      <c r="M1303" s="152"/>
      <c r="N1303" s="153"/>
      <c r="O1303" s="153"/>
      <c r="P1303" s="153"/>
      <c r="Q1303" s="153"/>
      <c r="R1303" s="153"/>
      <c r="S1303" s="154"/>
      <c r="T1303" s="153"/>
      <c r="U1303" s="169"/>
      <c r="V1303" s="156"/>
      <c r="W1303" s="158"/>
      <c r="X1303" s="158"/>
      <c r="Y1303" s="158"/>
      <c r="Z1303" s="158"/>
      <c r="AA1303" s="159"/>
      <c r="AB1303" s="160"/>
      <c r="AC1303" s="174"/>
    </row>
    <row r="1304" spans="10:29" ht="12.5">
      <c r="J1304" s="149"/>
      <c r="K1304" s="171">
        <f>MAX(K$1232:K1303)+1</f>
        <v>73</v>
      </c>
      <c r="L1304" s="172">
        <f t="shared" si="144"/>
        <v>1</v>
      </c>
      <c r="M1304" s="152"/>
      <c r="N1304" s="153"/>
      <c r="O1304" s="153"/>
      <c r="P1304" s="153"/>
      <c r="Q1304" s="153"/>
      <c r="R1304" s="153"/>
      <c r="S1304" s="154"/>
      <c r="T1304" s="153"/>
      <c r="U1304" s="169"/>
      <c r="V1304" s="156"/>
      <c r="W1304" s="158"/>
      <c r="X1304" s="158"/>
      <c r="Y1304" s="158"/>
      <c r="Z1304" s="158"/>
      <c r="AA1304" s="159"/>
      <c r="AB1304" s="160"/>
      <c r="AC1304" s="174"/>
    </row>
    <row r="1305" spans="10:29" ht="12.5">
      <c r="J1305" s="149"/>
      <c r="K1305" s="171">
        <f>MAX(K$1232:K1304)+1</f>
        <v>74</v>
      </c>
      <c r="L1305" s="172">
        <f t="shared" si="144"/>
        <v>1</v>
      </c>
      <c r="M1305" s="152"/>
      <c r="N1305" s="153"/>
      <c r="O1305" s="153"/>
      <c r="P1305" s="153"/>
      <c r="Q1305" s="153"/>
      <c r="R1305" s="153"/>
      <c r="S1305" s="154"/>
      <c r="T1305" s="153"/>
      <c r="U1305" s="169"/>
      <c r="V1305" s="156"/>
      <c r="W1305" s="158"/>
      <c r="X1305" s="158"/>
      <c r="Y1305" s="158"/>
      <c r="Z1305" s="158"/>
      <c r="AA1305" s="159"/>
      <c r="AB1305" s="160"/>
      <c r="AC1305" s="174"/>
    </row>
    <row r="1306" spans="10:29" ht="12.5">
      <c r="J1306" s="149"/>
      <c r="K1306" s="171">
        <f>MAX(K$1232:K1305)+1</f>
        <v>75</v>
      </c>
      <c r="L1306" s="172">
        <f t="shared" si="144"/>
        <v>1</v>
      </c>
      <c r="M1306" s="152"/>
      <c r="N1306" s="153"/>
      <c r="O1306" s="153"/>
      <c r="P1306" s="153"/>
      <c r="Q1306" s="153"/>
      <c r="R1306" s="153"/>
      <c r="S1306" s="154"/>
      <c r="T1306" s="153"/>
      <c r="U1306" s="169"/>
      <c r="V1306" s="156"/>
      <c r="W1306" s="158"/>
      <c r="X1306" s="158"/>
      <c r="Y1306" s="158"/>
      <c r="Z1306" s="158"/>
      <c r="AA1306" s="159"/>
      <c r="AB1306" s="160"/>
      <c r="AC1306" s="174"/>
    </row>
    <row r="1307" spans="10:29" ht="12.5">
      <c r="J1307" s="149"/>
      <c r="K1307" s="171">
        <f>MAX(K$1232:K1306)+1</f>
        <v>76</v>
      </c>
      <c r="L1307" s="172">
        <f t="shared" si="144"/>
        <v>1</v>
      </c>
      <c r="M1307" s="152"/>
      <c r="N1307" s="153"/>
      <c r="O1307" s="153"/>
      <c r="P1307" s="153"/>
      <c r="Q1307" s="153"/>
      <c r="R1307" s="153"/>
      <c r="S1307" s="154"/>
      <c r="T1307" s="153"/>
      <c r="U1307" s="169"/>
      <c r="V1307" s="156"/>
      <c r="W1307" s="158"/>
      <c r="X1307" s="158"/>
      <c r="Y1307" s="158"/>
      <c r="Z1307" s="158"/>
      <c r="AA1307" s="159"/>
      <c r="AB1307" s="160"/>
      <c r="AC1307" s="174"/>
    </row>
    <row r="1308" spans="10:29" ht="12.5">
      <c r="J1308" s="149"/>
      <c r="K1308" s="171">
        <f>MAX(K$1232:K1307)+1</f>
        <v>77</v>
      </c>
      <c r="L1308" s="172">
        <f t="shared" si="144"/>
        <v>1</v>
      </c>
      <c r="M1308" s="152"/>
      <c r="N1308" s="153"/>
      <c r="O1308" s="153"/>
      <c r="P1308" s="153"/>
      <c r="Q1308" s="153"/>
      <c r="R1308" s="153"/>
      <c r="S1308" s="154"/>
      <c r="T1308" s="153"/>
      <c r="U1308" s="169"/>
      <c r="V1308" s="156"/>
      <c r="W1308" s="158"/>
      <c r="X1308" s="158"/>
      <c r="Y1308" s="158"/>
      <c r="Z1308" s="158"/>
      <c r="AA1308" s="159"/>
      <c r="AB1308" s="160"/>
      <c r="AC1308" s="174"/>
    </row>
    <row r="1309" spans="10:29" ht="12.5">
      <c r="J1309" s="149"/>
      <c r="K1309" s="171">
        <f>MAX(K$1232:K1308)+1</f>
        <v>78</v>
      </c>
      <c r="L1309" s="172">
        <f t="shared" si="144"/>
        <v>1</v>
      </c>
      <c r="M1309" s="152"/>
      <c r="N1309" s="153"/>
      <c r="O1309" s="153"/>
      <c r="P1309" s="153"/>
      <c r="Q1309" s="153"/>
      <c r="R1309" s="153"/>
      <c r="S1309" s="154"/>
      <c r="T1309" s="153"/>
      <c r="U1309" s="169"/>
      <c r="V1309" s="156"/>
      <c r="W1309" s="158"/>
      <c r="X1309" s="158"/>
      <c r="Y1309" s="158"/>
      <c r="Z1309" s="158"/>
      <c r="AA1309" s="159"/>
      <c r="AB1309" s="160"/>
      <c r="AC1309" s="174"/>
    </row>
    <row r="1310" spans="10:29" ht="12.5">
      <c r="J1310" s="149"/>
      <c r="K1310" s="171">
        <f>MAX(K$1232:K1309)+1</f>
        <v>79</v>
      </c>
      <c r="L1310" s="172">
        <f t="shared" si="144"/>
        <v>1</v>
      </c>
      <c r="M1310" s="152"/>
      <c r="N1310" s="153"/>
      <c r="O1310" s="153"/>
      <c r="P1310" s="153"/>
      <c r="Q1310" s="153"/>
      <c r="R1310" s="153"/>
      <c r="S1310" s="154"/>
      <c r="T1310" s="153"/>
      <c r="U1310" s="169"/>
      <c r="V1310" s="156"/>
      <c r="W1310" s="158"/>
      <c r="X1310" s="158"/>
      <c r="Y1310" s="158"/>
      <c r="Z1310" s="158"/>
      <c r="AA1310" s="159"/>
      <c r="AB1310" s="160"/>
      <c r="AC1310" s="174"/>
    </row>
    <row r="1311" spans="10:29" ht="12.5">
      <c r="J1311" s="149"/>
      <c r="K1311" s="171">
        <f>MAX(K$1232:K1310)+1</f>
        <v>80</v>
      </c>
      <c r="L1311" s="172">
        <f t="shared" si="144"/>
        <v>1</v>
      </c>
      <c r="M1311" s="152"/>
      <c r="N1311" s="153"/>
      <c r="O1311" s="153"/>
      <c r="P1311" s="153"/>
      <c r="Q1311" s="153"/>
      <c r="R1311" s="153"/>
      <c r="S1311" s="154"/>
      <c r="T1311" s="153"/>
      <c r="U1311" s="169"/>
      <c r="V1311" s="156"/>
      <c r="W1311" s="158"/>
      <c r="X1311" s="158"/>
      <c r="Y1311" s="158"/>
      <c r="Z1311" s="158"/>
      <c r="AA1311" s="159"/>
      <c r="AB1311" s="160"/>
      <c r="AC1311" s="174"/>
    </row>
    <row r="1312" spans="10:29" ht="12.5">
      <c r="J1312" s="149"/>
      <c r="K1312" s="171">
        <f>MAX(K$1232:K1311)+1</f>
        <v>81</v>
      </c>
      <c r="L1312" s="172">
        <f t="shared" si="144"/>
        <v>1</v>
      </c>
      <c r="M1312" s="152"/>
      <c r="N1312" s="153"/>
      <c r="O1312" s="153"/>
      <c r="P1312" s="153"/>
      <c r="Q1312" s="153"/>
      <c r="R1312" s="153"/>
      <c r="S1312" s="154"/>
      <c r="T1312" s="153"/>
      <c r="U1312" s="169"/>
      <c r="V1312" s="156"/>
      <c r="W1312" s="158"/>
      <c r="X1312" s="158"/>
      <c r="Y1312" s="158"/>
      <c r="Z1312" s="158"/>
      <c r="AA1312" s="159"/>
      <c r="AB1312" s="160"/>
      <c r="AC1312" s="174"/>
    </row>
    <row r="1313" spans="10:29" ht="12.5">
      <c r="J1313" s="149"/>
      <c r="K1313" s="171">
        <f>MAX(K$1232:K1312)+1</f>
        <v>82</v>
      </c>
      <c r="L1313" s="172">
        <f t="shared" si="144"/>
        <v>1</v>
      </c>
      <c r="M1313" s="152"/>
      <c r="N1313" s="153"/>
      <c r="O1313" s="153"/>
      <c r="P1313" s="153"/>
      <c r="Q1313" s="153"/>
      <c r="R1313" s="153"/>
      <c r="S1313" s="154"/>
      <c r="T1313" s="153"/>
      <c r="U1313" s="169"/>
      <c r="V1313" s="156"/>
      <c r="W1313" s="158"/>
      <c r="X1313" s="158"/>
      <c r="Y1313" s="158"/>
      <c r="Z1313" s="158"/>
      <c r="AA1313" s="159"/>
      <c r="AB1313" s="160"/>
      <c r="AC1313" s="174"/>
    </row>
    <row r="1314" spans="10:29" ht="12.5">
      <c r="J1314" s="149"/>
      <c r="K1314" s="171">
        <f>MAX(K$1232:K1313)+1</f>
        <v>83</v>
      </c>
      <c r="L1314" s="172">
        <f t="shared" si="144"/>
        <v>1</v>
      </c>
      <c r="M1314" s="152"/>
      <c r="N1314" s="153"/>
      <c r="O1314" s="153"/>
      <c r="P1314" s="153"/>
      <c r="Q1314" s="153"/>
      <c r="R1314" s="153"/>
      <c r="S1314" s="154"/>
      <c r="T1314" s="153"/>
      <c r="U1314" s="169"/>
      <c r="V1314" s="156"/>
      <c r="W1314" s="158"/>
      <c r="X1314" s="158"/>
      <c r="Y1314" s="158"/>
      <c r="Z1314" s="158"/>
      <c r="AA1314" s="159"/>
      <c r="AB1314" s="160"/>
      <c r="AC1314" s="174"/>
    </row>
    <row r="1315" spans="10:29" ht="12.5">
      <c r="J1315" s="149"/>
      <c r="K1315" s="171">
        <f>MAX(K$1232:K1314)+1</f>
        <v>84</v>
      </c>
      <c r="L1315" s="172">
        <f t="shared" si="144"/>
        <v>1</v>
      </c>
      <c r="M1315" s="152"/>
      <c r="N1315" s="153"/>
      <c r="O1315" s="153"/>
      <c r="P1315" s="153"/>
      <c r="Q1315" s="153"/>
      <c r="R1315" s="153"/>
      <c r="S1315" s="154"/>
      <c r="T1315" s="153"/>
      <c r="U1315" s="169"/>
      <c r="V1315" s="156"/>
      <c r="W1315" s="158"/>
      <c r="X1315" s="158"/>
      <c r="Y1315" s="158"/>
      <c r="Z1315" s="158"/>
      <c r="AA1315" s="159"/>
      <c r="AB1315" s="160"/>
      <c r="AC1315" s="174"/>
    </row>
    <row r="1316" spans="10:29" ht="12.5">
      <c r="J1316" s="149"/>
      <c r="K1316" s="171">
        <f>MAX(K$1232:K1315)+1</f>
        <v>85</v>
      </c>
      <c r="L1316" s="172">
        <f t="shared" si="144"/>
        <v>1</v>
      </c>
      <c r="M1316" s="152"/>
      <c r="N1316" s="153"/>
      <c r="O1316" s="153"/>
      <c r="P1316" s="153"/>
      <c r="Q1316" s="153"/>
      <c r="R1316" s="153"/>
      <c r="S1316" s="154"/>
      <c r="T1316" s="153"/>
      <c r="U1316" s="169"/>
      <c r="V1316" s="156"/>
      <c r="W1316" s="158"/>
      <c r="X1316" s="158"/>
      <c r="Y1316" s="158"/>
      <c r="Z1316" s="158"/>
      <c r="AA1316" s="159"/>
      <c r="AB1316" s="160"/>
      <c r="AC1316" s="174"/>
    </row>
    <row r="1317" spans="10:29" ht="12.5">
      <c r="J1317" s="149"/>
      <c r="K1317" s="171">
        <f>MAX(K$1232:K1316)+1</f>
        <v>86</v>
      </c>
      <c r="L1317" s="172">
        <f t="shared" si="144"/>
        <v>1</v>
      </c>
      <c r="M1317" s="152"/>
      <c r="N1317" s="153"/>
      <c r="O1317" s="153"/>
      <c r="P1317" s="153"/>
      <c r="Q1317" s="153"/>
      <c r="R1317" s="153"/>
      <c r="S1317" s="154"/>
      <c r="T1317" s="153"/>
      <c r="U1317" s="169"/>
      <c r="V1317" s="156"/>
      <c r="W1317" s="158"/>
      <c r="X1317" s="158"/>
      <c r="Y1317" s="158"/>
      <c r="Z1317" s="158"/>
      <c r="AA1317" s="159"/>
      <c r="AB1317" s="160"/>
      <c r="AC1317" s="174"/>
    </row>
    <row r="1318" spans="10:29" ht="12.5">
      <c r="J1318" s="149"/>
      <c r="K1318" s="171">
        <f>MAX(K$1232:K1317)+1</f>
        <v>87</v>
      </c>
      <c r="L1318" s="172">
        <f t="shared" si="144"/>
        <v>1</v>
      </c>
      <c r="M1318" s="152"/>
      <c r="N1318" s="153"/>
      <c r="O1318" s="153"/>
      <c r="P1318" s="153"/>
      <c r="Q1318" s="153"/>
      <c r="R1318" s="153"/>
      <c r="S1318" s="154"/>
      <c r="T1318" s="153"/>
      <c r="U1318" s="169"/>
      <c r="V1318" s="156"/>
      <c r="W1318" s="158"/>
      <c r="X1318" s="158"/>
      <c r="Y1318" s="158"/>
      <c r="Z1318" s="158"/>
      <c r="AA1318" s="159"/>
      <c r="AB1318" s="160"/>
      <c r="AC1318" s="174"/>
    </row>
    <row r="1319" spans="10:29" ht="12.5">
      <c r="J1319" s="149"/>
      <c r="K1319" s="171">
        <f>MAX(K$1232:K1318)+1</f>
        <v>88</v>
      </c>
      <c r="L1319" s="172">
        <f t="shared" si="144"/>
        <v>1</v>
      </c>
      <c r="M1319" s="161"/>
      <c r="N1319" s="153"/>
      <c r="O1319" s="153"/>
      <c r="P1319" s="153"/>
      <c r="Q1319" s="153"/>
      <c r="R1319" s="153"/>
      <c r="S1319" s="154"/>
      <c r="T1319" s="153"/>
      <c r="U1319" s="169"/>
      <c r="V1319" s="156"/>
      <c r="W1319" s="158"/>
      <c r="X1319" s="158"/>
      <c r="Y1319" s="158"/>
      <c r="Z1319" s="158"/>
      <c r="AA1319" s="159"/>
      <c r="AB1319" s="160"/>
      <c r="AC1319" s="174"/>
    </row>
    <row r="1320" spans="10:29" ht="12.5">
      <c r="J1320" s="149"/>
      <c r="K1320" s="171">
        <f>MAX(K$1232:K1319)+1</f>
        <v>89</v>
      </c>
      <c r="L1320" s="172">
        <f t="shared" si="144"/>
        <v>1</v>
      </c>
      <c r="M1320" s="161"/>
      <c r="N1320" s="153"/>
      <c r="O1320" s="153"/>
      <c r="P1320" s="153"/>
      <c r="Q1320" s="153"/>
      <c r="R1320" s="153"/>
      <c r="S1320" s="154"/>
      <c r="T1320" s="153"/>
      <c r="U1320" s="169"/>
      <c r="V1320" s="156"/>
      <c r="W1320" s="158"/>
      <c r="X1320" s="158"/>
      <c r="Y1320" s="158"/>
      <c r="Z1320" s="158"/>
      <c r="AA1320" s="159"/>
      <c r="AB1320" s="160"/>
      <c r="AC1320" s="174"/>
    </row>
    <row r="1321" spans="10:29" ht="12.5">
      <c r="J1321" s="149"/>
      <c r="K1321" s="171">
        <f>MAX(K$1232:K1320)+1</f>
        <v>90</v>
      </c>
      <c r="L1321" s="172">
        <f t="shared" si="144"/>
        <v>1</v>
      </c>
      <c r="M1321" s="161"/>
      <c r="N1321" s="153"/>
      <c r="O1321" s="153"/>
      <c r="P1321" s="153"/>
      <c r="Q1321" s="153"/>
      <c r="R1321" s="153"/>
      <c r="S1321" s="154"/>
      <c r="T1321" s="153"/>
      <c r="U1321" s="169"/>
      <c r="V1321" s="156"/>
      <c r="W1321" s="158"/>
      <c r="X1321" s="158"/>
      <c r="Y1321" s="158"/>
      <c r="Z1321" s="158"/>
      <c r="AA1321" s="159"/>
      <c r="AB1321" s="160"/>
      <c r="AC1321" s="174"/>
    </row>
    <row r="1322" spans="10:29" ht="12.5">
      <c r="J1322" s="149"/>
      <c r="K1322" s="171">
        <f>MAX(K$1232:K1321)+1</f>
        <v>91</v>
      </c>
      <c r="L1322" s="172">
        <f t="shared" si="144"/>
        <v>1</v>
      </c>
      <c r="M1322" s="152"/>
      <c r="N1322" s="153"/>
      <c r="O1322" s="153"/>
      <c r="P1322" s="153"/>
      <c r="Q1322" s="153"/>
      <c r="R1322" s="153"/>
      <c r="S1322" s="154">
        <f t="shared" ref="S1322:S1369" si="146">SUM(N1322:R1322)</f>
        <v>0</v>
      </c>
      <c r="T1322" s="153"/>
      <c r="U1322" s="169">
        <f t="shared" ref="U1322:U1385" si="147">T1322+S1322</f>
        <v>0</v>
      </c>
      <c r="V1322" s="156"/>
      <c r="W1322" s="158"/>
      <c r="X1322" s="158"/>
      <c r="Y1322" s="158"/>
      <c r="Z1322" s="153"/>
      <c r="AA1322" s="159" t="s">
        <v>278</v>
      </c>
      <c r="AB1322" s="160"/>
      <c r="AC1322" s="174">
        <f t="shared" ref="AC1322:AC1369" si="148">INDEX(Y1322:Z1322,1,MATCH(_WellBasketSelection,$Y$1231:$Z$1231,0))*U1322</f>
        <v>0</v>
      </c>
    </row>
    <row r="1323" spans="10:29" ht="12.5">
      <c r="J1323" s="149"/>
      <c r="K1323" s="171">
        <f>MAX(K$1232:K1322)+1</f>
        <v>92</v>
      </c>
      <c r="L1323" s="172">
        <f t="shared" si="144"/>
        <v>1</v>
      </c>
      <c r="M1323" s="152"/>
      <c r="N1323" s="153"/>
      <c r="O1323" s="153"/>
      <c r="P1323" s="153"/>
      <c r="Q1323" s="153"/>
      <c r="R1323" s="153"/>
      <c r="S1323" s="154">
        <f t="shared" si="146"/>
        <v>0</v>
      </c>
      <c r="T1323" s="153"/>
      <c r="U1323" s="169">
        <f t="shared" si="147"/>
        <v>0</v>
      </c>
      <c r="V1323" s="156"/>
      <c r="W1323" s="158"/>
      <c r="X1323" s="158"/>
      <c r="Y1323" s="158"/>
      <c r="Z1323" s="153"/>
      <c r="AA1323" s="159" t="s">
        <v>278</v>
      </c>
      <c r="AB1323" s="160"/>
      <c r="AC1323" s="174">
        <f t="shared" si="148"/>
        <v>0</v>
      </c>
    </row>
    <row r="1324" spans="10:29" ht="12.5">
      <c r="J1324" s="149"/>
      <c r="K1324" s="171">
        <f>MAX(K$1232:K1323)+1</f>
        <v>93</v>
      </c>
      <c r="L1324" s="172">
        <f t="shared" si="144"/>
        <v>1</v>
      </c>
      <c r="M1324" s="152"/>
      <c r="N1324" s="153"/>
      <c r="O1324" s="153"/>
      <c r="P1324" s="153"/>
      <c r="Q1324" s="153"/>
      <c r="R1324" s="153"/>
      <c r="S1324" s="154">
        <f t="shared" si="146"/>
        <v>0</v>
      </c>
      <c r="T1324" s="153"/>
      <c r="U1324" s="169">
        <f t="shared" si="147"/>
        <v>0</v>
      </c>
      <c r="V1324" s="156"/>
      <c r="W1324" s="158"/>
      <c r="X1324" s="158"/>
      <c r="Y1324" s="158"/>
      <c r="Z1324" s="153"/>
      <c r="AA1324" s="159" t="s">
        <v>278</v>
      </c>
      <c r="AB1324" s="160"/>
      <c r="AC1324" s="174">
        <f t="shared" si="148"/>
        <v>0</v>
      </c>
    </row>
    <row r="1325" spans="10:29" ht="12.5">
      <c r="J1325" s="149"/>
      <c r="K1325" s="171">
        <f>MAX(K$1232:K1324)+1</f>
        <v>94</v>
      </c>
      <c r="L1325" s="172">
        <f t="shared" si="144"/>
        <v>1</v>
      </c>
      <c r="M1325" s="152"/>
      <c r="N1325" s="153"/>
      <c r="O1325" s="153"/>
      <c r="P1325" s="153"/>
      <c r="Q1325" s="153"/>
      <c r="R1325" s="153"/>
      <c r="S1325" s="154">
        <f t="shared" si="146"/>
        <v>0</v>
      </c>
      <c r="T1325" s="153"/>
      <c r="U1325" s="169">
        <f t="shared" si="147"/>
        <v>0</v>
      </c>
      <c r="V1325" s="156"/>
      <c r="W1325" s="158"/>
      <c r="X1325" s="158"/>
      <c r="Y1325" s="158"/>
      <c r="Z1325" s="153"/>
      <c r="AA1325" s="159" t="s">
        <v>278</v>
      </c>
      <c r="AB1325" s="160"/>
      <c r="AC1325" s="174">
        <f t="shared" si="148"/>
        <v>0</v>
      </c>
    </row>
    <row r="1326" spans="10:29" ht="12.5">
      <c r="J1326" s="149"/>
      <c r="K1326" s="171">
        <f>MAX(K$1232:K1325)+1</f>
        <v>95</v>
      </c>
      <c r="L1326" s="172">
        <f t="shared" si="144"/>
        <v>1</v>
      </c>
      <c r="M1326" s="152"/>
      <c r="N1326" s="153"/>
      <c r="O1326" s="153"/>
      <c r="P1326" s="153"/>
      <c r="Q1326" s="153"/>
      <c r="R1326" s="153"/>
      <c r="S1326" s="154">
        <f t="shared" si="146"/>
        <v>0</v>
      </c>
      <c r="T1326" s="153"/>
      <c r="U1326" s="169">
        <f t="shared" si="147"/>
        <v>0</v>
      </c>
      <c r="V1326" s="156"/>
      <c r="W1326" s="158"/>
      <c r="X1326" s="158"/>
      <c r="Y1326" s="158"/>
      <c r="Z1326" s="153"/>
      <c r="AA1326" s="159" t="s">
        <v>278</v>
      </c>
      <c r="AB1326" s="160"/>
      <c r="AC1326" s="174">
        <f t="shared" si="148"/>
        <v>0</v>
      </c>
    </row>
    <row r="1327" spans="10:29" ht="12.5">
      <c r="J1327" s="149"/>
      <c r="K1327" s="171">
        <f>MAX(K$1232:K1326)+1</f>
        <v>96</v>
      </c>
      <c r="L1327" s="172">
        <f t="shared" si="144"/>
        <v>1</v>
      </c>
      <c r="M1327" s="152"/>
      <c r="N1327" s="153"/>
      <c r="O1327" s="153"/>
      <c r="P1327" s="153"/>
      <c r="Q1327" s="153"/>
      <c r="R1327" s="153"/>
      <c r="S1327" s="154">
        <f t="shared" si="146"/>
        <v>0</v>
      </c>
      <c r="T1327" s="153"/>
      <c r="U1327" s="169">
        <f t="shared" si="147"/>
        <v>0</v>
      </c>
      <c r="V1327" s="156"/>
      <c r="W1327" s="158"/>
      <c r="X1327" s="158"/>
      <c r="Y1327" s="158"/>
      <c r="Z1327" s="153"/>
      <c r="AA1327" s="159" t="s">
        <v>278</v>
      </c>
      <c r="AB1327" s="160"/>
      <c r="AC1327" s="174">
        <f t="shared" si="148"/>
        <v>0</v>
      </c>
    </row>
    <row r="1328" spans="10:29" ht="12.5">
      <c r="J1328" s="149"/>
      <c r="K1328" s="171">
        <f>MAX(K$1232:K1327)+1</f>
        <v>97</v>
      </c>
      <c r="L1328" s="172">
        <f t="shared" si="144"/>
        <v>1</v>
      </c>
      <c r="M1328" s="152"/>
      <c r="N1328" s="153"/>
      <c r="O1328" s="153"/>
      <c r="P1328" s="153"/>
      <c r="Q1328" s="153"/>
      <c r="R1328" s="153"/>
      <c r="S1328" s="154">
        <f t="shared" si="146"/>
        <v>0</v>
      </c>
      <c r="T1328" s="153"/>
      <c r="U1328" s="169">
        <f t="shared" si="147"/>
        <v>0</v>
      </c>
      <c r="V1328" s="156"/>
      <c r="W1328" s="158"/>
      <c r="X1328" s="158"/>
      <c r="Y1328" s="158"/>
      <c r="Z1328" s="153"/>
      <c r="AA1328" s="159" t="s">
        <v>278</v>
      </c>
      <c r="AB1328" s="160"/>
      <c r="AC1328" s="174">
        <f t="shared" si="148"/>
        <v>0</v>
      </c>
    </row>
    <row r="1329" spans="10:29" ht="12.5">
      <c r="J1329" s="149"/>
      <c r="K1329" s="171">
        <f>MAX(K$1232:K1328)+1</f>
        <v>98</v>
      </c>
      <c r="L1329" s="172">
        <f t="shared" si="144"/>
        <v>1</v>
      </c>
      <c r="M1329" s="152"/>
      <c r="N1329" s="153"/>
      <c r="O1329" s="153"/>
      <c r="P1329" s="153"/>
      <c r="Q1329" s="153"/>
      <c r="R1329" s="153"/>
      <c r="S1329" s="154">
        <f t="shared" si="146"/>
        <v>0</v>
      </c>
      <c r="T1329" s="153"/>
      <c r="U1329" s="169">
        <f t="shared" si="147"/>
        <v>0</v>
      </c>
      <c r="V1329" s="156"/>
      <c r="W1329" s="158"/>
      <c r="X1329" s="158"/>
      <c r="Y1329" s="158"/>
      <c r="Z1329" s="153"/>
      <c r="AA1329" s="159" t="s">
        <v>278</v>
      </c>
      <c r="AB1329" s="160"/>
      <c r="AC1329" s="174">
        <f t="shared" si="148"/>
        <v>0</v>
      </c>
    </row>
    <row r="1330" spans="10:29" ht="12.5">
      <c r="J1330" s="149"/>
      <c r="K1330" s="171">
        <f>MAX(K$1232:K1329)+1</f>
        <v>99</v>
      </c>
      <c r="L1330" s="172">
        <f t="shared" si="144"/>
        <v>1</v>
      </c>
      <c r="M1330" s="152"/>
      <c r="N1330" s="153"/>
      <c r="O1330" s="153"/>
      <c r="P1330" s="153"/>
      <c r="Q1330" s="153"/>
      <c r="R1330" s="153"/>
      <c r="S1330" s="154">
        <f t="shared" si="146"/>
        <v>0</v>
      </c>
      <c r="T1330" s="153"/>
      <c r="U1330" s="169">
        <f t="shared" si="147"/>
        <v>0</v>
      </c>
      <c r="V1330" s="156"/>
      <c r="W1330" s="158"/>
      <c r="X1330" s="158"/>
      <c r="Y1330" s="158"/>
      <c r="Z1330" s="153"/>
      <c r="AA1330" s="159" t="s">
        <v>278</v>
      </c>
      <c r="AB1330" s="160"/>
      <c r="AC1330" s="174">
        <f t="shared" si="148"/>
        <v>0</v>
      </c>
    </row>
    <row r="1331" spans="10:29" ht="12.5">
      <c r="J1331" s="149"/>
      <c r="K1331" s="171">
        <f>MAX(K$1232:K1330)+1</f>
        <v>100</v>
      </c>
      <c r="L1331" s="172">
        <f t="shared" si="144"/>
        <v>1</v>
      </c>
      <c r="M1331" s="152"/>
      <c r="N1331" s="153"/>
      <c r="O1331" s="153"/>
      <c r="P1331" s="153"/>
      <c r="Q1331" s="153"/>
      <c r="R1331" s="153"/>
      <c r="S1331" s="154">
        <f t="shared" si="146"/>
        <v>0</v>
      </c>
      <c r="T1331" s="153"/>
      <c r="U1331" s="169">
        <f t="shared" si="147"/>
        <v>0</v>
      </c>
      <c r="V1331" s="156"/>
      <c r="W1331" s="158"/>
      <c r="X1331" s="158"/>
      <c r="Y1331" s="158"/>
      <c r="Z1331" s="153"/>
      <c r="AA1331" s="159" t="s">
        <v>278</v>
      </c>
      <c r="AB1331" s="160"/>
      <c r="AC1331" s="174">
        <f t="shared" si="148"/>
        <v>0</v>
      </c>
    </row>
    <row r="1332" spans="10:29" ht="12.5">
      <c r="J1332" s="149"/>
      <c r="K1332" s="171">
        <f>MAX(K$1232:K1331)+1</f>
        <v>101</v>
      </c>
      <c r="L1332" s="172">
        <f t="shared" si="144"/>
        <v>1</v>
      </c>
      <c r="M1332" s="152"/>
      <c r="N1332" s="153"/>
      <c r="O1332" s="153"/>
      <c r="P1332" s="153"/>
      <c r="Q1332" s="153"/>
      <c r="R1332" s="153"/>
      <c r="S1332" s="154">
        <f t="shared" si="146"/>
        <v>0</v>
      </c>
      <c r="T1332" s="153"/>
      <c r="U1332" s="169">
        <f t="shared" si="147"/>
        <v>0</v>
      </c>
      <c r="V1332" s="156"/>
      <c r="W1332" s="158"/>
      <c r="X1332" s="158"/>
      <c r="Y1332" s="158"/>
      <c r="Z1332" s="153"/>
      <c r="AA1332" s="159" t="s">
        <v>278</v>
      </c>
      <c r="AB1332" s="160"/>
      <c r="AC1332" s="174">
        <f t="shared" si="148"/>
        <v>0</v>
      </c>
    </row>
    <row r="1333" spans="10:29" ht="12.5">
      <c r="J1333" s="149"/>
      <c r="K1333" s="171">
        <f>MAX(K$1232:K1332)+1</f>
        <v>102</v>
      </c>
      <c r="L1333" s="172">
        <f t="shared" si="144"/>
        <v>1</v>
      </c>
      <c r="M1333" s="152"/>
      <c r="N1333" s="153"/>
      <c r="O1333" s="153"/>
      <c r="P1333" s="153"/>
      <c r="Q1333" s="153"/>
      <c r="R1333" s="153"/>
      <c r="S1333" s="154">
        <f t="shared" si="146"/>
        <v>0</v>
      </c>
      <c r="T1333" s="153"/>
      <c r="U1333" s="169">
        <f t="shared" si="147"/>
        <v>0</v>
      </c>
      <c r="V1333" s="156"/>
      <c r="W1333" s="158"/>
      <c r="X1333" s="158"/>
      <c r="Y1333" s="158"/>
      <c r="Z1333" s="153"/>
      <c r="AA1333" s="159" t="s">
        <v>278</v>
      </c>
      <c r="AB1333" s="160"/>
      <c r="AC1333" s="174">
        <f t="shared" si="148"/>
        <v>0</v>
      </c>
    </row>
    <row r="1334" spans="10:29" ht="12.5">
      <c r="J1334" s="149"/>
      <c r="K1334" s="171">
        <f>MAX(K$1232:K1333)+1</f>
        <v>103</v>
      </c>
      <c r="L1334" s="172">
        <f t="shared" si="144"/>
        <v>1</v>
      </c>
      <c r="M1334" s="152"/>
      <c r="N1334" s="153"/>
      <c r="O1334" s="153"/>
      <c r="P1334" s="153"/>
      <c r="Q1334" s="153"/>
      <c r="R1334" s="153"/>
      <c r="S1334" s="154">
        <f t="shared" si="146"/>
        <v>0</v>
      </c>
      <c r="T1334" s="153"/>
      <c r="U1334" s="169">
        <f t="shared" si="147"/>
        <v>0</v>
      </c>
      <c r="V1334" s="156"/>
      <c r="W1334" s="158"/>
      <c r="X1334" s="158"/>
      <c r="Y1334" s="158"/>
      <c r="Z1334" s="153"/>
      <c r="AA1334" s="159" t="s">
        <v>278</v>
      </c>
      <c r="AB1334" s="160"/>
      <c r="AC1334" s="174">
        <f t="shared" si="148"/>
        <v>0</v>
      </c>
    </row>
    <row r="1335" spans="10:29" ht="12.5">
      <c r="J1335" s="149"/>
      <c r="K1335" s="171">
        <f>MAX(K$1232:K1334)+1</f>
        <v>104</v>
      </c>
      <c r="L1335" s="172">
        <f t="shared" si="144"/>
        <v>1</v>
      </c>
      <c r="M1335" s="152"/>
      <c r="N1335" s="153"/>
      <c r="O1335" s="153"/>
      <c r="P1335" s="153"/>
      <c r="Q1335" s="153"/>
      <c r="R1335" s="153"/>
      <c r="S1335" s="154">
        <f t="shared" si="146"/>
        <v>0</v>
      </c>
      <c r="T1335" s="153"/>
      <c r="U1335" s="169">
        <f t="shared" si="147"/>
        <v>0</v>
      </c>
      <c r="V1335" s="156"/>
      <c r="W1335" s="158"/>
      <c r="X1335" s="158"/>
      <c r="Y1335" s="158"/>
      <c r="Z1335" s="153"/>
      <c r="AA1335" s="159" t="s">
        <v>278</v>
      </c>
      <c r="AB1335" s="160"/>
      <c r="AC1335" s="174">
        <f t="shared" si="148"/>
        <v>0</v>
      </c>
    </row>
    <row r="1336" spans="10:29" ht="12.5">
      <c r="J1336" s="149"/>
      <c r="K1336" s="171">
        <f>MAX(K$1232:K1335)+1</f>
        <v>105</v>
      </c>
      <c r="L1336" s="172">
        <f t="shared" si="144"/>
        <v>1</v>
      </c>
      <c r="M1336" s="152"/>
      <c r="N1336" s="153"/>
      <c r="O1336" s="153"/>
      <c r="P1336" s="153"/>
      <c r="Q1336" s="153"/>
      <c r="R1336" s="153"/>
      <c r="S1336" s="154">
        <f t="shared" si="146"/>
        <v>0</v>
      </c>
      <c r="T1336" s="153"/>
      <c r="U1336" s="169">
        <f t="shared" si="147"/>
        <v>0</v>
      </c>
      <c r="V1336" s="156"/>
      <c r="W1336" s="158"/>
      <c r="X1336" s="158"/>
      <c r="Y1336" s="158"/>
      <c r="Z1336" s="153"/>
      <c r="AA1336" s="159" t="s">
        <v>278</v>
      </c>
      <c r="AB1336" s="160"/>
      <c r="AC1336" s="174">
        <f t="shared" si="148"/>
        <v>0</v>
      </c>
    </row>
    <row r="1337" spans="10:29" ht="12.5">
      <c r="J1337" s="149"/>
      <c r="K1337" s="171">
        <f>MAX(K$1232:K1336)+1</f>
        <v>106</v>
      </c>
      <c r="L1337" s="172">
        <f t="shared" si="144"/>
        <v>1</v>
      </c>
      <c r="M1337" s="152"/>
      <c r="N1337" s="153"/>
      <c r="O1337" s="153"/>
      <c r="P1337" s="153"/>
      <c r="Q1337" s="153"/>
      <c r="R1337" s="153"/>
      <c r="S1337" s="154">
        <f t="shared" si="146"/>
        <v>0</v>
      </c>
      <c r="T1337" s="153"/>
      <c r="U1337" s="169">
        <f t="shared" si="147"/>
        <v>0</v>
      </c>
      <c r="V1337" s="156"/>
      <c r="W1337" s="158"/>
      <c r="X1337" s="158"/>
      <c r="Y1337" s="158"/>
      <c r="Z1337" s="153"/>
      <c r="AA1337" s="159" t="s">
        <v>278</v>
      </c>
      <c r="AB1337" s="160"/>
      <c r="AC1337" s="174">
        <f t="shared" si="148"/>
        <v>0</v>
      </c>
    </row>
    <row r="1338" spans="10:29" ht="12.5">
      <c r="J1338" s="149"/>
      <c r="K1338" s="171">
        <f>MAX(K$1232:K1337)+1</f>
        <v>107</v>
      </c>
      <c r="L1338" s="172">
        <f t="shared" si="144"/>
        <v>1</v>
      </c>
      <c r="M1338" s="152"/>
      <c r="N1338" s="153"/>
      <c r="O1338" s="153"/>
      <c r="P1338" s="153"/>
      <c r="Q1338" s="153"/>
      <c r="R1338" s="153"/>
      <c r="S1338" s="154">
        <f t="shared" si="146"/>
        <v>0</v>
      </c>
      <c r="T1338" s="153"/>
      <c r="U1338" s="169">
        <f t="shared" si="147"/>
        <v>0</v>
      </c>
      <c r="V1338" s="156"/>
      <c r="W1338" s="158"/>
      <c r="X1338" s="158"/>
      <c r="Y1338" s="158"/>
      <c r="Z1338" s="153"/>
      <c r="AA1338" s="159" t="s">
        <v>278</v>
      </c>
      <c r="AB1338" s="160"/>
      <c r="AC1338" s="174">
        <f t="shared" si="148"/>
        <v>0</v>
      </c>
    </row>
    <row r="1339" spans="10:29" ht="12.5">
      <c r="J1339" s="149"/>
      <c r="K1339" s="171">
        <f>MAX(K$1232:K1338)+1</f>
        <v>108</v>
      </c>
      <c r="L1339" s="172">
        <f t="shared" si="144"/>
        <v>1</v>
      </c>
      <c r="M1339" s="152"/>
      <c r="N1339" s="153"/>
      <c r="O1339" s="153"/>
      <c r="P1339" s="153"/>
      <c r="Q1339" s="153"/>
      <c r="R1339" s="153"/>
      <c r="S1339" s="154">
        <f t="shared" si="146"/>
        <v>0</v>
      </c>
      <c r="T1339" s="153"/>
      <c r="U1339" s="169">
        <f t="shared" si="147"/>
        <v>0</v>
      </c>
      <c r="V1339" s="156"/>
      <c r="W1339" s="158"/>
      <c r="X1339" s="158"/>
      <c r="Y1339" s="158"/>
      <c r="Z1339" s="153"/>
      <c r="AA1339" s="159" t="s">
        <v>278</v>
      </c>
      <c r="AB1339" s="160"/>
      <c r="AC1339" s="174">
        <f t="shared" si="148"/>
        <v>0</v>
      </c>
    </row>
    <row r="1340" spans="10:29" ht="12.5">
      <c r="J1340" s="149"/>
      <c r="K1340" s="171">
        <f>MAX(K$1232:K1339)+1</f>
        <v>109</v>
      </c>
      <c r="L1340" s="172">
        <f t="shared" si="144"/>
        <v>1</v>
      </c>
      <c r="M1340" s="152"/>
      <c r="N1340" s="153"/>
      <c r="O1340" s="153"/>
      <c r="P1340" s="153"/>
      <c r="Q1340" s="153"/>
      <c r="R1340" s="153"/>
      <c r="S1340" s="154">
        <f t="shared" si="146"/>
        <v>0</v>
      </c>
      <c r="T1340" s="153"/>
      <c r="U1340" s="169">
        <f t="shared" si="147"/>
        <v>0</v>
      </c>
      <c r="V1340" s="156"/>
      <c r="W1340" s="158"/>
      <c r="X1340" s="158"/>
      <c r="Y1340" s="158"/>
      <c r="Z1340" s="153"/>
      <c r="AA1340" s="159" t="s">
        <v>278</v>
      </c>
      <c r="AB1340" s="160"/>
      <c r="AC1340" s="174">
        <f t="shared" si="148"/>
        <v>0</v>
      </c>
    </row>
    <row r="1341" spans="10:29" ht="12.5">
      <c r="J1341" s="149"/>
      <c r="K1341" s="171">
        <f>MAX(K$1232:K1340)+1</f>
        <v>110</v>
      </c>
      <c r="L1341" s="172">
        <f t="shared" si="144"/>
        <v>1</v>
      </c>
      <c r="M1341" s="152"/>
      <c r="N1341" s="153"/>
      <c r="O1341" s="153"/>
      <c r="P1341" s="153"/>
      <c r="Q1341" s="153"/>
      <c r="R1341" s="153"/>
      <c r="S1341" s="154">
        <f t="shared" si="146"/>
        <v>0</v>
      </c>
      <c r="T1341" s="153"/>
      <c r="U1341" s="169">
        <f t="shared" si="147"/>
        <v>0</v>
      </c>
      <c r="V1341" s="156"/>
      <c r="W1341" s="158"/>
      <c r="X1341" s="158"/>
      <c r="Y1341" s="158"/>
      <c r="Z1341" s="153"/>
      <c r="AA1341" s="159" t="s">
        <v>278</v>
      </c>
      <c r="AB1341" s="160"/>
      <c r="AC1341" s="174">
        <f t="shared" si="148"/>
        <v>0</v>
      </c>
    </row>
    <row r="1342" spans="10:29" ht="12.5">
      <c r="J1342" s="149"/>
      <c r="K1342" s="171">
        <f>MAX(K$1232:K1341)+1</f>
        <v>111</v>
      </c>
      <c r="L1342" s="172">
        <f t="shared" si="144"/>
        <v>1</v>
      </c>
      <c r="M1342" s="152"/>
      <c r="N1342" s="153"/>
      <c r="O1342" s="153"/>
      <c r="P1342" s="153"/>
      <c r="Q1342" s="153"/>
      <c r="R1342" s="153"/>
      <c r="S1342" s="154">
        <f t="shared" si="146"/>
        <v>0</v>
      </c>
      <c r="T1342" s="153"/>
      <c r="U1342" s="169">
        <f t="shared" si="147"/>
        <v>0</v>
      </c>
      <c r="V1342" s="156"/>
      <c r="W1342" s="158"/>
      <c r="X1342" s="158"/>
      <c r="Y1342" s="158"/>
      <c r="Z1342" s="153"/>
      <c r="AA1342" s="159" t="s">
        <v>278</v>
      </c>
      <c r="AB1342" s="160"/>
      <c r="AC1342" s="174">
        <f t="shared" si="148"/>
        <v>0</v>
      </c>
    </row>
    <row r="1343" spans="10:29" ht="12.5">
      <c r="J1343" s="149"/>
      <c r="K1343" s="171">
        <f>MAX(K$1232:K1342)+1</f>
        <v>112</v>
      </c>
      <c r="L1343" s="172">
        <f t="shared" si="144"/>
        <v>1</v>
      </c>
      <c r="M1343" s="152"/>
      <c r="N1343" s="153"/>
      <c r="O1343" s="153"/>
      <c r="P1343" s="153"/>
      <c r="Q1343" s="153"/>
      <c r="R1343" s="153"/>
      <c r="S1343" s="154">
        <f t="shared" si="146"/>
        <v>0</v>
      </c>
      <c r="T1343" s="153"/>
      <c r="U1343" s="169">
        <f t="shared" si="147"/>
        <v>0</v>
      </c>
      <c r="V1343" s="156"/>
      <c r="W1343" s="158"/>
      <c r="X1343" s="158"/>
      <c r="Y1343" s="158"/>
      <c r="Z1343" s="153"/>
      <c r="AA1343" s="159" t="s">
        <v>278</v>
      </c>
      <c r="AB1343" s="160"/>
      <c r="AC1343" s="174">
        <f t="shared" si="148"/>
        <v>0</v>
      </c>
    </row>
    <row r="1344" spans="10:29" ht="12.5">
      <c r="J1344" s="149"/>
      <c r="K1344" s="171">
        <f>MAX(K$1232:K1343)+1</f>
        <v>113</v>
      </c>
      <c r="L1344" s="172">
        <f t="shared" si="144"/>
        <v>1</v>
      </c>
      <c r="M1344" s="152"/>
      <c r="N1344" s="153"/>
      <c r="O1344" s="153"/>
      <c r="P1344" s="153"/>
      <c r="Q1344" s="153"/>
      <c r="R1344" s="153"/>
      <c r="S1344" s="154">
        <f t="shared" si="146"/>
        <v>0</v>
      </c>
      <c r="T1344" s="153"/>
      <c r="U1344" s="169">
        <f t="shared" si="147"/>
        <v>0</v>
      </c>
      <c r="V1344" s="156"/>
      <c r="W1344" s="158"/>
      <c r="X1344" s="158"/>
      <c r="Y1344" s="158"/>
      <c r="Z1344" s="153"/>
      <c r="AA1344" s="159" t="s">
        <v>278</v>
      </c>
      <c r="AB1344" s="160"/>
      <c r="AC1344" s="174">
        <f t="shared" si="148"/>
        <v>0</v>
      </c>
    </row>
    <row r="1345" spans="10:29" ht="12.5">
      <c r="J1345" s="149"/>
      <c r="K1345" s="171">
        <f>MAX(K$1232:K1344)+1</f>
        <v>114</v>
      </c>
      <c r="L1345" s="172">
        <f t="shared" si="144"/>
        <v>1</v>
      </c>
      <c r="M1345" s="152"/>
      <c r="N1345" s="153"/>
      <c r="O1345" s="153"/>
      <c r="P1345" s="153"/>
      <c r="Q1345" s="153"/>
      <c r="R1345" s="153"/>
      <c r="S1345" s="154">
        <f t="shared" si="146"/>
        <v>0</v>
      </c>
      <c r="T1345" s="153"/>
      <c r="U1345" s="169">
        <f t="shared" si="147"/>
        <v>0</v>
      </c>
      <c r="V1345" s="156"/>
      <c r="W1345" s="158"/>
      <c r="X1345" s="158"/>
      <c r="Y1345" s="158"/>
      <c r="Z1345" s="153"/>
      <c r="AA1345" s="159" t="s">
        <v>278</v>
      </c>
      <c r="AB1345" s="160"/>
      <c r="AC1345" s="174">
        <f t="shared" si="148"/>
        <v>0</v>
      </c>
    </row>
    <row r="1346" spans="10:29" ht="12.5">
      <c r="J1346" s="149"/>
      <c r="K1346" s="171">
        <f>MAX(K$1232:K1345)+1</f>
        <v>115</v>
      </c>
      <c r="L1346" s="172">
        <f t="shared" si="144"/>
        <v>1</v>
      </c>
      <c r="M1346" s="152"/>
      <c r="N1346" s="153"/>
      <c r="O1346" s="153"/>
      <c r="P1346" s="153"/>
      <c r="Q1346" s="153"/>
      <c r="R1346" s="153"/>
      <c r="S1346" s="154">
        <f t="shared" si="146"/>
        <v>0</v>
      </c>
      <c r="T1346" s="153"/>
      <c r="U1346" s="169">
        <f t="shared" si="147"/>
        <v>0</v>
      </c>
      <c r="V1346" s="156"/>
      <c r="W1346" s="158"/>
      <c r="X1346" s="158"/>
      <c r="Y1346" s="158"/>
      <c r="Z1346" s="153"/>
      <c r="AA1346" s="159" t="s">
        <v>278</v>
      </c>
      <c r="AB1346" s="160"/>
      <c r="AC1346" s="174">
        <f t="shared" si="148"/>
        <v>0</v>
      </c>
    </row>
    <row r="1347" spans="10:29" ht="12.5">
      <c r="J1347" s="149"/>
      <c r="K1347" s="171">
        <f>MAX(K$1232:K1346)+1</f>
        <v>116</v>
      </c>
      <c r="L1347" s="172">
        <f t="shared" si="144"/>
        <v>1</v>
      </c>
      <c r="M1347" s="152"/>
      <c r="N1347" s="153"/>
      <c r="O1347" s="153"/>
      <c r="P1347" s="153"/>
      <c r="Q1347" s="153"/>
      <c r="R1347" s="153"/>
      <c r="S1347" s="154">
        <f t="shared" si="146"/>
        <v>0</v>
      </c>
      <c r="T1347" s="153"/>
      <c r="U1347" s="169">
        <f t="shared" si="147"/>
        <v>0</v>
      </c>
      <c r="V1347" s="156"/>
      <c r="W1347" s="158"/>
      <c r="X1347" s="158"/>
      <c r="Y1347" s="158"/>
      <c r="Z1347" s="153"/>
      <c r="AA1347" s="159" t="s">
        <v>278</v>
      </c>
      <c r="AB1347" s="160"/>
      <c r="AC1347" s="174">
        <f t="shared" si="148"/>
        <v>0</v>
      </c>
    </row>
    <row r="1348" spans="10:29" ht="12.5">
      <c r="J1348" s="149"/>
      <c r="K1348" s="171">
        <f>MAX(K$1232:K1347)+1</f>
        <v>117</v>
      </c>
      <c r="L1348" s="172">
        <f t="shared" si="144"/>
        <v>1</v>
      </c>
      <c r="M1348" s="152"/>
      <c r="N1348" s="153"/>
      <c r="O1348" s="153"/>
      <c r="P1348" s="153"/>
      <c r="Q1348" s="153"/>
      <c r="R1348" s="153"/>
      <c r="S1348" s="154">
        <f t="shared" si="146"/>
        <v>0</v>
      </c>
      <c r="T1348" s="153"/>
      <c r="U1348" s="169">
        <f t="shared" si="147"/>
        <v>0</v>
      </c>
      <c r="V1348" s="156"/>
      <c r="W1348" s="158"/>
      <c r="X1348" s="158"/>
      <c r="Y1348" s="158"/>
      <c r="Z1348" s="153"/>
      <c r="AA1348" s="159" t="s">
        <v>278</v>
      </c>
      <c r="AB1348" s="160"/>
      <c r="AC1348" s="174">
        <f t="shared" si="148"/>
        <v>0</v>
      </c>
    </row>
    <row r="1349" spans="10:29" ht="12.5">
      <c r="J1349" s="149"/>
      <c r="K1349" s="171">
        <f>MAX(K$1232:K1348)+1</f>
        <v>118</v>
      </c>
      <c r="L1349" s="172">
        <f t="shared" si="144"/>
        <v>1</v>
      </c>
      <c r="M1349" s="152"/>
      <c r="N1349" s="153"/>
      <c r="O1349" s="153"/>
      <c r="P1349" s="153"/>
      <c r="Q1349" s="153"/>
      <c r="R1349" s="153"/>
      <c r="S1349" s="154">
        <f t="shared" si="146"/>
        <v>0</v>
      </c>
      <c r="T1349" s="153"/>
      <c r="U1349" s="169">
        <f t="shared" si="147"/>
        <v>0</v>
      </c>
      <c r="V1349" s="156"/>
      <c r="W1349" s="158"/>
      <c r="X1349" s="158"/>
      <c r="Y1349" s="158"/>
      <c r="Z1349" s="153"/>
      <c r="AA1349" s="159" t="s">
        <v>278</v>
      </c>
      <c r="AB1349" s="160"/>
      <c r="AC1349" s="174">
        <f t="shared" si="148"/>
        <v>0</v>
      </c>
    </row>
    <row r="1350" spans="10:29" ht="12.5">
      <c r="J1350" s="149"/>
      <c r="K1350" s="171">
        <f>MAX(K$1232:K1349)+1</f>
        <v>119</v>
      </c>
      <c r="L1350" s="172">
        <f t="shared" si="144"/>
        <v>1</v>
      </c>
      <c r="M1350" s="152"/>
      <c r="N1350" s="153"/>
      <c r="O1350" s="153"/>
      <c r="P1350" s="153"/>
      <c r="Q1350" s="153"/>
      <c r="R1350" s="153"/>
      <c r="S1350" s="154">
        <f t="shared" si="146"/>
        <v>0</v>
      </c>
      <c r="T1350" s="153"/>
      <c r="U1350" s="169">
        <f t="shared" si="147"/>
        <v>0</v>
      </c>
      <c r="V1350" s="156"/>
      <c r="W1350" s="158"/>
      <c r="X1350" s="158"/>
      <c r="Y1350" s="158"/>
      <c r="Z1350" s="153"/>
      <c r="AA1350" s="159" t="s">
        <v>278</v>
      </c>
      <c r="AB1350" s="160"/>
      <c r="AC1350" s="174">
        <f t="shared" si="148"/>
        <v>0</v>
      </c>
    </row>
    <row r="1351" spans="10:29" ht="12.5">
      <c r="J1351" s="149"/>
      <c r="K1351" s="171">
        <f>MAX(K$1232:K1350)+1</f>
        <v>120</v>
      </c>
      <c r="L1351" s="172">
        <f t="shared" si="144"/>
        <v>1</v>
      </c>
      <c r="M1351" s="152"/>
      <c r="N1351" s="153"/>
      <c r="O1351" s="153"/>
      <c r="P1351" s="153"/>
      <c r="Q1351" s="153"/>
      <c r="R1351" s="153"/>
      <c r="S1351" s="154">
        <f t="shared" si="146"/>
        <v>0</v>
      </c>
      <c r="T1351" s="153"/>
      <c r="U1351" s="169">
        <f t="shared" si="147"/>
        <v>0</v>
      </c>
      <c r="V1351" s="156"/>
      <c r="W1351" s="158"/>
      <c r="X1351" s="158"/>
      <c r="Y1351" s="158"/>
      <c r="Z1351" s="153"/>
      <c r="AA1351" s="159" t="s">
        <v>278</v>
      </c>
      <c r="AB1351" s="160"/>
      <c r="AC1351" s="174">
        <f t="shared" si="148"/>
        <v>0</v>
      </c>
    </row>
    <row r="1352" spans="10:29" ht="12.5">
      <c r="J1352" s="149"/>
      <c r="K1352" s="171">
        <f>MAX(K$1232:K1351)+1</f>
        <v>121</v>
      </c>
      <c r="L1352" s="172">
        <f t="shared" si="144"/>
        <v>1</v>
      </c>
      <c r="M1352" s="152"/>
      <c r="N1352" s="153"/>
      <c r="O1352" s="153"/>
      <c r="P1352" s="153"/>
      <c r="Q1352" s="153"/>
      <c r="R1352" s="153"/>
      <c r="S1352" s="154">
        <f t="shared" si="146"/>
        <v>0</v>
      </c>
      <c r="T1352" s="153"/>
      <c r="U1352" s="169">
        <f t="shared" si="147"/>
        <v>0</v>
      </c>
      <c r="V1352" s="156"/>
      <c r="W1352" s="158"/>
      <c r="X1352" s="158"/>
      <c r="Y1352" s="158"/>
      <c r="Z1352" s="153"/>
      <c r="AA1352" s="159" t="s">
        <v>278</v>
      </c>
      <c r="AB1352" s="160"/>
      <c r="AC1352" s="174">
        <f t="shared" si="148"/>
        <v>0</v>
      </c>
    </row>
    <row r="1353" spans="10:29" ht="12.5">
      <c r="J1353" s="149"/>
      <c r="K1353" s="171">
        <f>MAX(K$1232:K1352)+1</f>
        <v>122</v>
      </c>
      <c r="L1353" s="172">
        <f t="shared" si="144"/>
        <v>1</v>
      </c>
      <c r="M1353" s="152"/>
      <c r="N1353" s="153"/>
      <c r="O1353" s="153"/>
      <c r="P1353" s="153"/>
      <c r="Q1353" s="153"/>
      <c r="R1353" s="153"/>
      <c r="S1353" s="154">
        <f t="shared" si="146"/>
        <v>0</v>
      </c>
      <c r="T1353" s="153"/>
      <c r="U1353" s="169">
        <f t="shared" si="147"/>
        <v>0</v>
      </c>
      <c r="V1353" s="156"/>
      <c r="W1353" s="158"/>
      <c r="X1353" s="158"/>
      <c r="Y1353" s="158"/>
      <c r="Z1353" s="153"/>
      <c r="AA1353" s="159" t="s">
        <v>278</v>
      </c>
      <c r="AB1353" s="160"/>
      <c r="AC1353" s="174">
        <f t="shared" si="148"/>
        <v>0</v>
      </c>
    </row>
    <row r="1354" spans="10:29" ht="12.5">
      <c r="J1354" s="149"/>
      <c r="K1354" s="171">
        <f>MAX(K$1232:K1353)+1</f>
        <v>123</v>
      </c>
      <c r="L1354" s="172">
        <f t="shared" si="144"/>
        <v>1</v>
      </c>
      <c r="M1354" s="152"/>
      <c r="N1354" s="153"/>
      <c r="O1354" s="153"/>
      <c r="P1354" s="153"/>
      <c r="Q1354" s="153"/>
      <c r="R1354" s="153"/>
      <c r="S1354" s="154">
        <f t="shared" si="146"/>
        <v>0</v>
      </c>
      <c r="T1354" s="153"/>
      <c r="U1354" s="169">
        <f t="shared" si="147"/>
        <v>0</v>
      </c>
      <c r="V1354" s="156"/>
      <c r="W1354" s="158"/>
      <c r="X1354" s="158"/>
      <c r="Y1354" s="158"/>
      <c r="Z1354" s="153"/>
      <c r="AA1354" s="159" t="s">
        <v>278</v>
      </c>
      <c r="AB1354" s="160"/>
      <c r="AC1354" s="174">
        <f t="shared" si="148"/>
        <v>0</v>
      </c>
    </row>
    <row r="1355" spans="10:29" ht="12.5">
      <c r="J1355" s="149"/>
      <c r="K1355" s="171">
        <f>MAX(K$1232:K1354)+1</f>
        <v>124</v>
      </c>
      <c r="L1355" s="172">
        <f t="shared" si="144"/>
        <v>1</v>
      </c>
      <c r="M1355" s="152"/>
      <c r="N1355" s="153"/>
      <c r="O1355" s="153"/>
      <c r="P1355" s="153"/>
      <c r="Q1355" s="153"/>
      <c r="R1355" s="153"/>
      <c r="S1355" s="154">
        <f t="shared" si="146"/>
        <v>0</v>
      </c>
      <c r="T1355" s="153"/>
      <c r="U1355" s="169">
        <f t="shared" si="147"/>
        <v>0</v>
      </c>
      <c r="V1355" s="156"/>
      <c r="W1355" s="158"/>
      <c r="X1355" s="158"/>
      <c r="Y1355" s="158"/>
      <c r="Z1355" s="153"/>
      <c r="AA1355" s="159" t="s">
        <v>278</v>
      </c>
      <c r="AB1355" s="160"/>
      <c r="AC1355" s="174">
        <f t="shared" si="148"/>
        <v>0</v>
      </c>
    </row>
    <row r="1356" spans="10:29" ht="12.5">
      <c r="J1356" s="149"/>
      <c r="K1356" s="171">
        <f>MAX(K$1232:K1355)+1</f>
        <v>125</v>
      </c>
      <c r="L1356" s="172">
        <f t="shared" si="144"/>
        <v>1</v>
      </c>
      <c r="M1356" s="152"/>
      <c r="N1356" s="153"/>
      <c r="O1356" s="153"/>
      <c r="P1356" s="153"/>
      <c r="Q1356" s="153"/>
      <c r="R1356" s="153"/>
      <c r="S1356" s="154">
        <f t="shared" si="146"/>
        <v>0</v>
      </c>
      <c r="T1356" s="153"/>
      <c r="U1356" s="169">
        <f t="shared" si="147"/>
        <v>0</v>
      </c>
      <c r="V1356" s="156"/>
      <c r="W1356" s="158"/>
      <c r="X1356" s="158"/>
      <c r="Y1356" s="158"/>
      <c r="Z1356" s="153"/>
      <c r="AA1356" s="159" t="s">
        <v>278</v>
      </c>
      <c r="AB1356" s="160"/>
      <c r="AC1356" s="174">
        <f t="shared" si="148"/>
        <v>0</v>
      </c>
    </row>
    <row r="1357" spans="10:29" ht="12.5">
      <c r="J1357" s="149"/>
      <c r="K1357" s="171">
        <f>MAX(K$1232:K1356)+1</f>
        <v>126</v>
      </c>
      <c r="L1357" s="172">
        <f t="shared" si="144"/>
        <v>1</v>
      </c>
      <c r="M1357" s="152"/>
      <c r="N1357" s="153"/>
      <c r="O1357" s="153"/>
      <c r="P1357" s="153"/>
      <c r="Q1357" s="153"/>
      <c r="R1357" s="153"/>
      <c r="S1357" s="154">
        <f t="shared" si="146"/>
        <v>0</v>
      </c>
      <c r="T1357" s="153"/>
      <c r="U1357" s="169">
        <f t="shared" si="147"/>
        <v>0</v>
      </c>
      <c r="V1357" s="156"/>
      <c r="W1357" s="158"/>
      <c r="X1357" s="158"/>
      <c r="Y1357" s="158"/>
      <c r="Z1357" s="153"/>
      <c r="AA1357" s="159" t="s">
        <v>278</v>
      </c>
      <c r="AB1357" s="160"/>
      <c r="AC1357" s="174">
        <f t="shared" si="148"/>
        <v>0</v>
      </c>
    </row>
    <row r="1358" spans="10:29" ht="12.5">
      <c r="J1358" s="149"/>
      <c r="K1358" s="171">
        <f>MAX(K$1232:K1357)+1</f>
        <v>127</v>
      </c>
      <c r="L1358" s="172">
        <f t="shared" si="144"/>
        <v>1</v>
      </c>
      <c r="M1358" s="152"/>
      <c r="N1358" s="153"/>
      <c r="O1358" s="153"/>
      <c r="P1358" s="153"/>
      <c r="Q1358" s="153"/>
      <c r="R1358" s="153"/>
      <c r="S1358" s="154">
        <f t="shared" si="146"/>
        <v>0</v>
      </c>
      <c r="T1358" s="153"/>
      <c r="U1358" s="169">
        <f t="shared" si="147"/>
        <v>0</v>
      </c>
      <c r="V1358" s="156"/>
      <c r="W1358" s="158"/>
      <c r="X1358" s="158"/>
      <c r="Y1358" s="158"/>
      <c r="Z1358" s="153"/>
      <c r="AA1358" s="159" t="s">
        <v>278</v>
      </c>
      <c r="AB1358" s="160"/>
      <c r="AC1358" s="174">
        <f t="shared" si="148"/>
        <v>0</v>
      </c>
    </row>
    <row r="1359" spans="10:29" ht="12.5">
      <c r="J1359" s="149"/>
      <c r="K1359" s="171">
        <f>MAX(K$1232:K1358)+1</f>
        <v>128</v>
      </c>
      <c r="L1359" s="172">
        <f t="shared" si="144"/>
        <v>1</v>
      </c>
      <c r="M1359" s="152"/>
      <c r="N1359" s="153"/>
      <c r="O1359" s="153"/>
      <c r="P1359" s="153"/>
      <c r="Q1359" s="153"/>
      <c r="R1359" s="153"/>
      <c r="S1359" s="154">
        <f t="shared" si="146"/>
        <v>0</v>
      </c>
      <c r="T1359" s="153"/>
      <c r="U1359" s="169">
        <f t="shared" si="147"/>
        <v>0</v>
      </c>
      <c r="V1359" s="156"/>
      <c r="W1359" s="158"/>
      <c r="X1359" s="158"/>
      <c r="Y1359" s="158"/>
      <c r="Z1359" s="153"/>
      <c r="AA1359" s="159" t="s">
        <v>278</v>
      </c>
      <c r="AB1359" s="160"/>
      <c r="AC1359" s="174">
        <f t="shared" si="148"/>
        <v>0</v>
      </c>
    </row>
    <row r="1360" spans="10:29" ht="12.5">
      <c r="J1360" s="149"/>
      <c r="K1360" s="171">
        <f>MAX(K$1232:K1359)+1</f>
        <v>129</v>
      </c>
      <c r="L1360" s="172">
        <f t="shared" si="144"/>
        <v>1</v>
      </c>
      <c r="M1360" s="152"/>
      <c r="N1360" s="153"/>
      <c r="O1360" s="153"/>
      <c r="P1360" s="153"/>
      <c r="Q1360" s="153"/>
      <c r="R1360" s="153"/>
      <c r="S1360" s="154">
        <f t="shared" si="146"/>
        <v>0</v>
      </c>
      <c r="T1360" s="153"/>
      <c r="U1360" s="169">
        <f t="shared" si="147"/>
        <v>0</v>
      </c>
      <c r="V1360" s="156"/>
      <c r="W1360" s="158"/>
      <c r="X1360" s="158"/>
      <c r="Y1360" s="158"/>
      <c r="Z1360" s="153"/>
      <c r="AA1360" s="159" t="s">
        <v>278</v>
      </c>
      <c r="AB1360" s="160"/>
      <c r="AC1360" s="174">
        <f t="shared" si="148"/>
        <v>0</v>
      </c>
    </row>
    <row r="1361" spans="10:29" ht="12.5">
      <c r="J1361" s="149"/>
      <c r="K1361" s="171">
        <f>MAX(K$1232:K1360)+1</f>
        <v>130</v>
      </c>
      <c r="L1361" s="172">
        <f t="shared" ref="L1361:L1424" si="149">IF(J1360="",L1360,L1360+1)</f>
        <v>1</v>
      </c>
      <c r="M1361" s="152"/>
      <c r="N1361" s="153"/>
      <c r="O1361" s="153"/>
      <c r="P1361" s="153"/>
      <c r="Q1361" s="153"/>
      <c r="R1361" s="153"/>
      <c r="S1361" s="154">
        <f t="shared" si="146"/>
        <v>0</v>
      </c>
      <c r="T1361" s="153"/>
      <c r="U1361" s="169">
        <f t="shared" si="147"/>
        <v>0</v>
      </c>
      <c r="V1361" s="156"/>
      <c r="W1361" s="158"/>
      <c r="X1361" s="158"/>
      <c r="Y1361" s="158"/>
      <c r="Z1361" s="153"/>
      <c r="AA1361" s="159" t="s">
        <v>278</v>
      </c>
      <c r="AB1361" s="160"/>
      <c r="AC1361" s="174">
        <f t="shared" si="148"/>
        <v>0</v>
      </c>
    </row>
    <row r="1362" spans="10:29" ht="12.5">
      <c r="J1362" s="149"/>
      <c r="K1362" s="171">
        <f>MAX(K$1232:K1361)+1</f>
        <v>131</v>
      </c>
      <c r="L1362" s="172">
        <f t="shared" si="149"/>
        <v>1</v>
      </c>
      <c r="M1362" s="152"/>
      <c r="N1362" s="153"/>
      <c r="O1362" s="153"/>
      <c r="P1362" s="153"/>
      <c r="Q1362" s="153"/>
      <c r="R1362" s="153"/>
      <c r="S1362" s="154">
        <f t="shared" si="146"/>
        <v>0</v>
      </c>
      <c r="T1362" s="153"/>
      <c r="U1362" s="169">
        <f t="shared" si="147"/>
        <v>0</v>
      </c>
      <c r="V1362" s="156"/>
      <c r="W1362" s="158"/>
      <c r="X1362" s="158"/>
      <c r="Y1362" s="158"/>
      <c r="Z1362" s="153"/>
      <c r="AA1362" s="159" t="s">
        <v>278</v>
      </c>
      <c r="AB1362" s="160"/>
      <c r="AC1362" s="174">
        <f t="shared" si="148"/>
        <v>0</v>
      </c>
    </row>
    <row r="1363" spans="10:29" ht="12.5">
      <c r="J1363" s="149"/>
      <c r="K1363" s="171">
        <f>MAX(K$1232:K1362)+1</f>
        <v>132</v>
      </c>
      <c r="L1363" s="172">
        <f t="shared" si="149"/>
        <v>1</v>
      </c>
      <c r="M1363" s="152"/>
      <c r="N1363" s="153"/>
      <c r="O1363" s="153"/>
      <c r="P1363" s="153"/>
      <c r="Q1363" s="153"/>
      <c r="R1363" s="153"/>
      <c r="S1363" s="154">
        <f t="shared" si="146"/>
        <v>0</v>
      </c>
      <c r="T1363" s="153"/>
      <c r="U1363" s="169">
        <f t="shared" si="147"/>
        <v>0</v>
      </c>
      <c r="V1363" s="156"/>
      <c r="W1363" s="158"/>
      <c r="X1363" s="158"/>
      <c r="Y1363" s="158"/>
      <c r="Z1363" s="153"/>
      <c r="AA1363" s="159" t="s">
        <v>278</v>
      </c>
      <c r="AB1363" s="160"/>
      <c r="AC1363" s="174">
        <f t="shared" si="148"/>
        <v>0</v>
      </c>
    </row>
    <row r="1364" spans="10:29" ht="12.5">
      <c r="J1364" s="149"/>
      <c r="K1364" s="171">
        <f>MAX(K$1232:K1363)+1</f>
        <v>133</v>
      </c>
      <c r="L1364" s="172">
        <f t="shared" si="149"/>
        <v>1</v>
      </c>
      <c r="M1364" s="152"/>
      <c r="N1364" s="153"/>
      <c r="O1364" s="153"/>
      <c r="P1364" s="153"/>
      <c r="Q1364" s="153"/>
      <c r="R1364" s="153"/>
      <c r="S1364" s="154">
        <f t="shared" si="146"/>
        <v>0</v>
      </c>
      <c r="T1364" s="153"/>
      <c r="U1364" s="169">
        <f t="shared" si="147"/>
        <v>0</v>
      </c>
      <c r="V1364" s="156"/>
      <c r="W1364" s="158"/>
      <c r="X1364" s="158"/>
      <c r="Y1364" s="158"/>
      <c r="Z1364" s="153"/>
      <c r="AA1364" s="159" t="s">
        <v>278</v>
      </c>
      <c r="AB1364" s="160"/>
      <c r="AC1364" s="174">
        <f t="shared" si="148"/>
        <v>0</v>
      </c>
    </row>
    <row r="1365" spans="10:29" ht="12.5">
      <c r="J1365" s="149"/>
      <c r="K1365" s="171">
        <f>MAX(K$1232:K1364)+1</f>
        <v>134</v>
      </c>
      <c r="L1365" s="172">
        <f t="shared" si="149"/>
        <v>1</v>
      </c>
      <c r="M1365" s="152"/>
      <c r="N1365" s="153"/>
      <c r="O1365" s="153"/>
      <c r="P1365" s="153"/>
      <c r="Q1365" s="153"/>
      <c r="R1365" s="153"/>
      <c r="S1365" s="154">
        <f t="shared" si="146"/>
        <v>0</v>
      </c>
      <c r="T1365" s="153"/>
      <c r="U1365" s="169">
        <f t="shared" si="147"/>
        <v>0</v>
      </c>
      <c r="V1365" s="156"/>
      <c r="W1365" s="158"/>
      <c r="X1365" s="158"/>
      <c r="Y1365" s="158"/>
      <c r="Z1365" s="153"/>
      <c r="AA1365" s="159" t="s">
        <v>278</v>
      </c>
      <c r="AB1365" s="160"/>
      <c r="AC1365" s="174">
        <f t="shared" si="148"/>
        <v>0</v>
      </c>
    </row>
    <row r="1366" spans="10:29" ht="12.5">
      <c r="J1366" s="149"/>
      <c r="K1366" s="171">
        <f>MAX(K$1232:K1365)+1</f>
        <v>135</v>
      </c>
      <c r="L1366" s="172">
        <f t="shared" si="149"/>
        <v>1</v>
      </c>
      <c r="M1366" s="152"/>
      <c r="N1366" s="153"/>
      <c r="O1366" s="153"/>
      <c r="P1366" s="153"/>
      <c r="Q1366" s="153"/>
      <c r="R1366" s="153"/>
      <c r="S1366" s="154">
        <f t="shared" si="146"/>
        <v>0</v>
      </c>
      <c r="T1366" s="153"/>
      <c r="U1366" s="169">
        <f t="shared" si="147"/>
        <v>0</v>
      </c>
      <c r="V1366" s="156"/>
      <c r="W1366" s="158"/>
      <c r="X1366" s="158"/>
      <c r="Y1366" s="158"/>
      <c r="Z1366" s="153"/>
      <c r="AA1366" s="159" t="s">
        <v>278</v>
      </c>
      <c r="AB1366" s="160"/>
      <c r="AC1366" s="174">
        <f t="shared" si="148"/>
        <v>0</v>
      </c>
    </row>
    <row r="1367" spans="10:29" ht="12.5">
      <c r="J1367" s="149"/>
      <c r="K1367" s="171">
        <f>MAX(K$1232:K1366)+1</f>
        <v>136</v>
      </c>
      <c r="L1367" s="172">
        <f t="shared" si="149"/>
        <v>1</v>
      </c>
      <c r="M1367" s="152"/>
      <c r="N1367" s="153"/>
      <c r="O1367" s="153"/>
      <c r="P1367" s="153"/>
      <c r="Q1367" s="153"/>
      <c r="R1367" s="153"/>
      <c r="S1367" s="154">
        <f t="shared" si="146"/>
        <v>0</v>
      </c>
      <c r="T1367" s="153"/>
      <c r="U1367" s="169">
        <f t="shared" si="147"/>
        <v>0</v>
      </c>
      <c r="V1367" s="156"/>
      <c r="W1367" s="158"/>
      <c r="X1367" s="158"/>
      <c r="Y1367" s="158"/>
      <c r="Z1367" s="153"/>
      <c r="AA1367" s="159" t="s">
        <v>278</v>
      </c>
      <c r="AB1367" s="160"/>
      <c r="AC1367" s="174">
        <f t="shared" si="148"/>
        <v>0</v>
      </c>
    </row>
    <row r="1368" spans="10:29" ht="12.5">
      <c r="J1368" s="149"/>
      <c r="K1368" s="171">
        <f>MAX(K$1232:K1367)+1</f>
        <v>137</v>
      </c>
      <c r="L1368" s="172">
        <f t="shared" si="149"/>
        <v>1</v>
      </c>
      <c r="M1368" s="152"/>
      <c r="N1368" s="153"/>
      <c r="O1368" s="153"/>
      <c r="P1368" s="153"/>
      <c r="Q1368" s="153"/>
      <c r="R1368" s="153"/>
      <c r="S1368" s="154">
        <f t="shared" si="146"/>
        <v>0</v>
      </c>
      <c r="T1368" s="153"/>
      <c r="U1368" s="169">
        <f t="shared" si="147"/>
        <v>0</v>
      </c>
      <c r="V1368" s="156"/>
      <c r="W1368" s="158"/>
      <c r="X1368" s="158"/>
      <c r="Y1368" s="158"/>
      <c r="Z1368" s="153"/>
      <c r="AA1368" s="159" t="s">
        <v>278</v>
      </c>
      <c r="AB1368" s="160"/>
      <c r="AC1368" s="174">
        <f t="shared" si="148"/>
        <v>0</v>
      </c>
    </row>
    <row r="1369" spans="10:29" ht="12.5">
      <c r="J1369" s="149"/>
      <c r="K1369" s="171">
        <f>MAX(K$1232:K1368)+1</f>
        <v>138</v>
      </c>
      <c r="L1369" s="172">
        <f t="shared" si="149"/>
        <v>1</v>
      </c>
      <c r="M1369" s="152"/>
      <c r="N1369" s="153"/>
      <c r="O1369" s="153"/>
      <c r="P1369" s="153"/>
      <c r="Q1369" s="153"/>
      <c r="R1369" s="153"/>
      <c r="S1369" s="154">
        <f t="shared" si="146"/>
        <v>0</v>
      </c>
      <c r="T1369" s="153"/>
      <c r="U1369" s="169">
        <f t="shared" si="147"/>
        <v>0</v>
      </c>
      <c r="V1369" s="156"/>
      <c r="W1369" s="158"/>
      <c r="X1369" s="158"/>
      <c r="Y1369" s="158"/>
      <c r="Z1369" s="153"/>
      <c r="AA1369" s="159" t="s">
        <v>278</v>
      </c>
      <c r="AB1369" s="160"/>
      <c r="AC1369" s="174">
        <f t="shared" si="148"/>
        <v>0</v>
      </c>
    </row>
    <row r="1370" spans="10:29" ht="12.5">
      <c r="J1370" s="149"/>
      <c r="K1370" s="171">
        <f>MAX(K$1232:K1369)+1</f>
        <v>139</v>
      </c>
      <c r="L1370" s="172">
        <f t="shared" si="149"/>
        <v>1</v>
      </c>
      <c r="M1370" s="152"/>
      <c r="N1370" s="153"/>
      <c r="O1370" s="153"/>
      <c r="P1370" s="153"/>
      <c r="Q1370" s="153"/>
      <c r="R1370" s="153"/>
      <c r="S1370" s="154">
        <f t="shared" ref="S1370:S1433" si="150">SUM(N1370:R1370)</f>
        <v>0</v>
      </c>
      <c r="T1370" s="153"/>
      <c r="U1370" s="169">
        <f t="shared" si="147"/>
        <v>0</v>
      </c>
      <c r="V1370" s="156"/>
      <c r="W1370" s="158"/>
      <c r="X1370" s="158"/>
      <c r="Y1370" s="158"/>
      <c r="Z1370" s="153"/>
      <c r="AA1370" s="159" t="s">
        <v>278</v>
      </c>
      <c r="AB1370" s="160"/>
      <c r="AC1370" s="174">
        <f t="shared" ref="AC1370:AC1433" si="151">INDEX(Y1370:Z1370,1,MATCH(_WellBasketSelection,$Y$1231:$Z$1231,0))*U1370</f>
        <v>0</v>
      </c>
    </row>
    <row r="1371" spans="10:29" ht="12.5">
      <c r="J1371" s="149"/>
      <c r="K1371" s="171">
        <f>MAX(K$1232:K1370)+1</f>
        <v>140</v>
      </c>
      <c r="L1371" s="172">
        <f t="shared" si="149"/>
        <v>1</v>
      </c>
      <c r="M1371" s="152"/>
      <c r="N1371" s="153"/>
      <c r="O1371" s="153"/>
      <c r="P1371" s="153"/>
      <c r="Q1371" s="153"/>
      <c r="R1371" s="153"/>
      <c r="S1371" s="154">
        <f t="shared" si="150"/>
        <v>0</v>
      </c>
      <c r="T1371" s="153"/>
      <c r="U1371" s="169">
        <f t="shared" si="147"/>
        <v>0</v>
      </c>
      <c r="V1371" s="156"/>
      <c r="W1371" s="158"/>
      <c r="X1371" s="158"/>
      <c r="Y1371" s="158"/>
      <c r="Z1371" s="153"/>
      <c r="AA1371" s="159" t="s">
        <v>278</v>
      </c>
      <c r="AB1371" s="160"/>
      <c r="AC1371" s="174">
        <f t="shared" si="151"/>
        <v>0</v>
      </c>
    </row>
    <row r="1372" spans="10:29" ht="12.5">
      <c r="J1372" s="149"/>
      <c r="K1372" s="171">
        <f>MAX(K$1232:K1371)+1</f>
        <v>141</v>
      </c>
      <c r="L1372" s="172">
        <f t="shared" si="149"/>
        <v>1</v>
      </c>
      <c r="M1372" s="152"/>
      <c r="N1372" s="153"/>
      <c r="O1372" s="153"/>
      <c r="P1372" s="153"/>
      <c r="Q1372" s="153"/>
      <c r="R1372" s="153"/>
      <c r="S1372" s="154">
        <f t="shared" si="150"/>
        <v>0</v>
      </c>
      <c r="T1372" s="153"/>
      <c r="U1372" s="169">
        <f t="shared" si="147"/>
        <v>0</v>
      </c>
      <c r="V1372" s="156"/>
      <c r="W1372" s="158"/>
      <c r="X1372" s="158"/>
      <c r="Y1372" s="158"/>
      <c r="Z1372" s="153"/>
      <c r="AA1372" s="159" t="s">
        <v>278</v>
      </c>
      <c r="AB1372" s="160"/>
      <c r="AC1372" s="174">
        <f t="shared" si="151"/>
        <v>0</v>
      </c>
    </row>
    <row r="1373" spans="10:29" ht="12.5">
      <c r="J1373" s="149"/>
      <c r="K1373" s="171">
        <f>MAX(K$1232:K1372)+1</f>
        <v>142</v>
      </c>
      <c r="L1373" s="172">
        <f t="shared" si="149"/>
        <v>1</v>
      </c>
      <c r="M1373" s="152"/>
      <c r="N1373" s="153"/>
      <c r="O1373" s="153"/>
      <c r="P1373" s="153"/>
      <c r="Q1373" s="153"/>
      <c r="R1373" s="153"/>
      <c r="S1373" s="154">
        <f t="shared" si="150"/>
        <v>0</v>
      </c>
      <c r="T1373" s="153"/>
      <c r="U1373" s="169">
        <f t="shared" si="147"/>
        <v>0</v>
      </c>
      <c r="V1373" s="156"/>
      <c r="W1373" s="158"/>
      <c r="X1373" s="158"/>
      <c r="Y1373" s="158"/>
      <c r="Z1373" s="153"/>
      <c r="AA1373" s="159" t="s">
        <v>278</v>
      </c>
      <c r="AB1373" s="160"/>
      <c r="AC1373" s="174">
        <f t="shared" si="151"/>
        <v>0</v>
      </c>
    </row>
    <row r="1374" spans="10:29" ht="12.5">
      <c r="J1374" s="149"/>
      <c r="K1374" s="171">
        <f>MAX(K$1232:K1373)+1</f>
        <v>143</v>
      </c>
      <c r="L1374" s="172">
        <f t="shared" si="149"/>
        <v>1</v>
      </c>
      <c r="M1374" s="152"/>
      <c r="N1374" s="153"/>
      <c r="O1374" s="153"/>
      <c r="P1374" s="153"/>
      <c r="Q1374" s="153"/>
      <c r="R1374" s="153"/>
      <c r="S1374" s="154">
        <f t="shared" si="150"/>
        <v>0</v>
      </c>
      <c r="T1374" s="153"/>
      <c r="U1374" s="169">
        <f t="shared" si="147"/>
        <v>0</v>
      </c>
      <c r="V1374" s="156"/>
      <c r="W1374" s="158"/>
      <c r="X1374" s="158"/>
      <c r="Y1374" s="158"/>
      <c r="Z1374" s="153"/>
      <c r="AA1374" s="159" t="s">
        <v>278</v>
      </c>
      <c r="AB1374" s="160"/>
      <c r="AC1374" s="174">
        <f t="shared" si="151"/>
        <v>0</v>
      </c>
    </row>
    <row r="1375" spans="10:29" ht="12.5">
      <c r="J1375" s="149"/>
      <c r="K1375" s="171">
        <f>MAX(K$1232:K1374)+1</f>
        <v>144</v>
      </c>
      <c r="L1375" s="172">
        <f t="shared" si="149"/>
        <v>1</v>
      </c>
      <c r="M1375" s="152"/>
      <c r="N1375" s="153"/>
      <c r="O1375" s="153"/>
      <c r="P1375" s="153"/>
      <c r="Q1375" s="153"/>
      <c r="R1375" s="153"/>
      <c r="S1375" s="154">
        <f t="shared" si="150"/>
        <v>0</v>
      </c>
      <c r="T1375" s="153"/>
      <c r="U1375" s="169">
        <f t="shared" si="147"/>
        <v>0</v>
      </c>
      <c r="V1375" s="156"/>
      <c r="W1375" s="158"/>
      <c r="X1375" s="158"/>
      <c r="Y1375" s="158"/>
      <c r="Z1375" s="153"/>
      <c r="AA1375" s="159" t="s">
        <v>278</v>
      </c>
      <c r="AB1375" s="160"/>
      <c r="AC1375" s="174">
        <f t="shared" si="151"/>
        <v>0</v>
      </c>
    </row>
    <row r="1376" spans="10:29" ht="12.5">
      <c r="J1376" s="149"/>
      <c r="K1376" s="171">
        <f>MAX(K$1232:K1375)+1</f>
        <v>145</v>
      </c>
      <c r="L1376" s="172">
        <f t="shared" si="149"/>
        <v>1</v>
      </c>
      <c r="M1376" s="152"/>
      <c r="N1376" s="153"/>
      <c r="O1376" s="153"/>
      <c r="P1376" s="153"/>
      <c r="Q1376" s="153"/>
      <c r="R1376" s="153"/>
      <c r="S1376" s="154">
        <f t="shared" si="150"/>
        <v>0</v>
      </c>
      <c r="T1376" s="153"/>
      <c r="U1376" s="169">
        <f t="shared" si="147"/>
        <v>0</v>
      </c>
      <c r="V1376" s="156"/>
      <c r="W1376" s="158"/>
      <c r="X1376" s="158"/>
      <c r="Y1376" s="158"/>
      <c r="Z1376" s="153"/>
      <c r="AA1376" s="159" t="s">
        <v>278</v>
      </c>
      <c r="AB1376" s="160"/>
      <c r="AC1376" s="174">
        <f t="shared" si="151"/>
        <v>0</v>
      </c>
    </row>
    <row r="1377" spans="10:29" ht="12.5">
      <c r="J1377" s="149"/>
      <c r="K1377" s="171">
        <f>MAX(K$1232:K1376)+1</f>
        <v>146</v>
      </c>
      <c r="L1377" s="172">
        <f t="shared" si="149"/>
        <v>1</v>
      </c>
      <c r="M1377" s="152"/>
      <c r="N1377" s="153"/>
      <c r="O1377" s="153"/>
      <c r="P1377" s="153"/>
      <c r="Q1377" s="153"/>
      <c r="R1377" s="153"/>
      <c r="S1377" s="154">
        <f t="shared" si="150"/>
        <v>0</v>
      </c>
      <c r="T1377" s="153"/>
      <c r="U1377" s="169">
        <f t="shared" si="147"/>
        <v>0</v>
      </c>
      <c r="V1377" s="156"/>
      <c r="W1377" s="158"/>
      <c r="X1377" s="158"/>
      <c r="Y1377" s="158"/>
      <c r="Z1377" s="153"/>
      <c r="AA1377" s="159" t="s">
        <v>278</v>
      </c>
      <c r="AB1377" s="160"/>
      <c r="AC1377" s="174">
        <f t="shared" si="151"/>
        <v>0</v>
      </c>
    </row>
    <row r="1378" spans="10:29" ht="12.5">
      <c r="J1378" s="149"/>
      <c r="K1378" s="171">
        <f>MAX(K$1232:K1377)+1</f>
        <v>147</v>
      </c>
      <c r="L1378" s="172">
        <f t="shared" si="149"/>
        <v>1</v>
      </c>
      <c r="M1378" s="152"/>
      <c r="N1378" s="153"/>
      <c r="O1378" s="153"/>
      <c r="P1378" s="153"/>
      <c r="Q1378" s="153"/>
      <c r="R1378" s="153"/>
      <c r="S1378" s="154">
        <f t="shared" si="150"/>
        <v>0</v>
      </c>
      <c r="T1378" s="153"/>
      <c r="U1378" s="169">
        <f t="shared" si="147"/>
        <v>0</v>
      </c>
      <c r="V1378" s="156"/>
      <c r="W1378" s="158"/>
      <c r="X1378" s="158"/>
      <c r="Y1378" s="158"/>
      <c r="Z1378" s="153"/>
      <c r="AA1378" s="159" t="s">
        <v>278</v>
      </c>
      <c r="AB1378" s="160"/>
      <c r="AC1378" s="174">
        <f t="shared" si="151"/>
        <v>0</v>
      </c>
    </row>
    <row r="1379" spans="10:29" ht="12.5">
      <c r="J1379" s="149"/>
      <c r="K1379" s="171">
        <f>MAX(K$1232:K1378)+1</f>
        <v>148</v>
      </c>
      <c r="L1379" s="172">
        <f t="shared" si="149"/>
        <v>1</v>
      </c>
      <c r="M1379" s="152"/>
      <c r="N1379" s="153"/>
      <c r="O1379" s="153"/>
      <c r="P1379" s="153"/>
      <c r="Q1379" s="153"/>
      <c r="R1379" s="153"/>
      <c r="S1379" s="154">
        <f t="shared" si="150"/>
        <v>0</v>
      </c>
      <c r="T1379" s="153"/>
      <c r="U1379" s="169">
        <f t="shared" si="147"/>
        <v>0</v>
      </c>
      <c r="V1379" s="156"/>
      <c r="W1379" s="158"/>
      <c r="X1379" s="158"/>
      <c r="Y1379" s="158"/>
      <c r="Z1379" s="153"/>
      <c r="AA1379" s="159" t="s">
        <v>278</v>
      </c>
      <c r="AB1379" s="160"/>
      <c r="AC1379" s="174">
        <f t="shared" si="151"/>
        <v>0</v>
      </c>
    </row>
    <row r="1380" spans="10:29" ht="12.5">
      <c r="J1380" s="149"/>
      <c r="K1380" s="171">
        <f>MAX(K$1232:K1379)+1</f>
        <v>149</v>
      </c>
      <c r="L1380" s="172">
        <f t="shared" si="149"/>
        <v>1</v>
      </c>
      <c r="M1380" s="152"/>
      <c r="N1380" s="153"/>
      <c r="O1380" s="153"/>
      <c r="P1380" s="153"/>
      <c r="Q1380" s="153"/>
      <c r="R1380" s="153"/>
      <c r="S1380" s="154">
        <f t="shared" si="150"/>
        <v>0</v>
      </c>
      <c r="T1380" s="153"/>
      <c r="U1380" s="169">
        <f t="shared" si="147"/>
        <v>0</v>
      </c>
      <c r="V1380" s="156"/>
      <c r="W1380" s="158"/>
      <c r="X1380" s="158"/>
      <c r="Y1380" s="158"/>
      <c r="Z1380" s="153"/>
      <c r="AA1380" s="159" t="s">
        <v>278</v>
      </c>
      <c r="AB1380" s="160"/>
      <c r="AC1380" s="174">
        <f t="shared" si="151"/>
        <v>0</v>
      </c>
    </row>
    <row r="1381" spans="10:29" ht="12.5">
      <c r="J1381" s="149"/>
      <c r="K1381" s="171">
        <f>MAX(K$1232:K1380)+1</f>
        <v>150</v>
      </c>
      <c r="L1381" s="172">
        <f t="shared" si="149"/>
        <v>1</v>
      </c>
      <c r="M1381" s="152"/>
      <c r="N1381" s="153"/>
      <c r="O1381" s="153"/>
      <c r="P1381" s="153"/>
      <c r="Q1381" s="153"/>
      <c r="R1381" s="153"/>
      <c r="S1381" s="154">
        <f t="shared" si="150"/>
        <v>0</v>
      </c>
      <c r="T1381" s="153"/>
      <c r="U1381" s="169">
        <f t="shared" si="147"/>
        <v>0</v>
      </c>
      <c r="V1381" s="156"/>
      <c r="W1381" s="158"/>
      <c r="X1381" s="158"/>
      <c r="Y1381" s="158"/>
      <c r="Z1381" s="153"/>
      <c r="AA1381" s="159" t="s">
        <v>278</v>
      </c>
      <c r="AB1381" s="160"/>
      <c r="AC1381" s="174">
        <f t="shared" si="151"/>
        <v>0</v>
      </c>
    </row>
    <row r="1382" spans="10:29" ht="12.5">
      <c r="J1382" s="149"/>
      <c r="K1382" s="171">
        <f>MAX(K$1232:K1381)+1</f>
        <v>151</v>
      </c>
      <c r="L1382" s="172">
        <f t="shared" si="149"/>
        <v>1</v>
      </c>
      <c r="M1382" s="152"/>
      <c r="N1382" s="153"/>
      <c r="O1382" s="153"/>
      <c r="P1382" s="153"/>
      <c r="Q1382" s="153"/>
      <c r="R1382" s="153"/>
      <c r="S1382" s="154">
        <f t="shared" si="150"/>
        <v>0</v>
      </c>
      <c r="T1382" s="153"/>
      <c r="U1382" s="169">
        <f t="shared" si="147"/>
        <v>0</v>
      </c>
      <c r="V1382" s="156"/>
      <c r="W1382" s="158"/>
      <c r="X1382" s="158"/>
      <c r="Y1382" s="158"/>
      <c r="Z1382" s="153"/>
      <c r="AA1382" s="159" t="s">
        <v>278</v>
      </c>
      <c r="AB1382" s="160"/>
      <c r="AC1382" s="174">
        <f t="shared" si="151"/>
        <v>0</v>
      </c>
    </row>
    <row r="1383" spans="10:29" ht="12.5">
      <c r="J1383" s="149"/>
      <c r="K1383" s="171">
        <f>MAX(K$1232:K1382)+1</f>
        <v>152</v>
      </c>
      <c r="L1383" s="172">
        <f t="shared" si="149"/>
        <v>1</v>
      </c>
      <c r="M1383" s="152"/>
      <c r="N1383" s="153"/>
      <c r="O1383" s="153"/>
      <c r="P1383" s="153"/>
      <c r="Q1383" s="153"/>
      <c r="R1383" s="153"/>
      <c r="S1383" s="154">
        <f t="shared" si="150"/>
        <v>0</v>
      </c>
      <c r="T1383" s="153"/>
      <c r="U1383" s="169">
        <f t="shared" si="147"/>
        <v>0</v>
      </c>
      <c r="V1383" s="156"/>
      <c r="W1383" s="158"/>
      <c r="X1383" s="158"/>
      <c r="Y1383" s="158"/>
      <c r="Z1383" s="153"/>
      <c r="AA1383" s="159" t="s">
        <v>278</v>
      </c>
      <c r="AB1383" s="160"/>
      <c r="AC1383" s="174">
        <f t="shared" si="151"/>
        <v>0</v>
      </c>
    </row>
    <row r="1384" spans="10:29" ht="12.5">
      <c r="J1384" s="149"/>
      <c r="K1384" s="171">
        <f>MAX(K$1232:K1383)+1</f>
        <v>153</v>
      </c>
      <c r="L1384" s="172">
        <f t="shared" si="149"/>
        <v>1</v>
      </c>
      <c r="M1384" s="152"/>
      <c r="N1384" s="153"/>
      <c r="O1384" s="153"/>
      <c r="P1384" s="153"/>
      <c r="Q1384" s="153"/>
      <c r="R1384" s="153"/>
      <c r="S1384" s="154">
        <f t="shared" si="150"/>
        <v>0</v>
      </c>
      <c r="T1384" s="153"/>
      <c r="U1384" s="169">
        <f t="shared" si="147"/>
        <v>0</v>
      </c>
      <c r="V1384" s="156"/>
      <c r="W1384" s="158"/>
      <c r="X1384" s="158"/>
      <c r="Y1384" s="158"/>
      <c r="Z1384" s="153"/>
      <c r="AA1384" s="159" t="s">
        <v>278</v>
      </c>
      <c r="AB1384" s="160"/>
      <c r="AC1384" s="174">
        <f t="shared" si="151"/>
        <v>0</v>
      </c>
    </row>
    <row r="1385" spans="10:29" ht="12.5">
      <c r="J1385" s="149"/>
      <c r="K1385" s="171">
        <f>MAX(K$1232:K1384)+1</f>
        <v>154</v>
      </c>
      <c r="L1385" s="172">
        <f t="shared" si="149"/>
        <v>1</v>
      </c>
      <c r="M1385" s="152"/>
      <c r="N1385" s="153"/>
      <c r="O1385" s="153"/>
      <c r="P1385" s="153"/>
      <c r="Q1385" s="153"/>
      <c r="R1385" s="153"/>
      <c r="S1385" s="154">
        <f t="shared" si="150"/>
        <v>0</v>
      </c>
      <c r="T1385" s="153"/>
      <c r="U1385" s="169">
        <f t="shared" si="147"/>
        <v>0</v>
      </c>
      <c r="V1385" s="156"/>
      <c r="W1385" s="158"/>
      <c r="X1385" s="158"/>
      <c r="Y1385" s="158"/>
      <c r="Z1385" s="153"/>
      <c r="AA1385" s="159" t="s">
        <v>278</v>
      </c>
      <c r="AB1385" s="160"/>
      <c r="AC1385" s="174">
        <f t="shared" si="151"/>
        <v>0</v>
      </c>
    </row>
    <row r="1386" spans="10:29" ht="12.5">
      <c r="J1386" s="149"/>
      <c r="K1386" s="171">
        <f>MAX(K$1232:K1385)+1</f>
        <v>155</v>
      </c>
      <c r="L1386" s="172">
        <f t="shared" si="149"/>
        <v>1</v>
      </c>
      <c r="M1386" s="152"/>
      <c r="N1386" s="153"/>
      <c r="O1386" s="153"/>
      <c r="P1386" s="153"/>
      <c r="Q1386" s="153"/>
      <c r="R1386" s="153"/>
      <c r="S1386" s="154">
        <f t="shared" si="150"/>
        <v>0</v>
      </c>
      <c r="T1386" s="153"/>
      <c r="U1386" s="169">
        <f t="shared" ref="U1386:U1449" si="152">T1386+S1386</f>
        <v>0</v>
      </c>
      <c r="V1386" s="156"/>
      <c r="W1386" s="158"/>
      <c r="X1386" s="158"/>
      <c r="Y1386" s="158"/>
      <c r="Z1386" s="153"/>
      <c r="AA1386" s="159" t="s">
        <v>278</v>
      </c>
      <c r="AB1386" s="160"/>
      <c r="AC1386" s="174">
        <f t="shared" si="151"/>
        <v>0</v>
      </c>
    </row>
    <row r="1387" spans="10:29" ht="12.5">
      <c r="J1387" s="149"/>
      <c r="K1387" s="171">
        <f>MAX(K$1232:K1386)+1</f>
        <v>156</v>
      </c>
      <c r="L1387" s="172">
        <f t="shared" si="149"/>
        <v>1</v>
      </c>
      <c r="M1387" s="152"/>
      <c r="N1387" s="153"/>
      <c r="O1387" s="153"/>
      <c r="P1387" s="153"/>
      <c r="Q1387" s="153"/>
      <c r="R1387" s="153"/>
      <c r="S1387" s="154">
        <f t="shared" si="150"/>
        <v>0</v>
      </c>
      <c r="T1387" s="153"/>
      <c r="U1387" s="169">
        <f t="shared" si="152"/>
        <v>0</v>
      </c>
      <c r="V1387" s="156"/>
      <c r="W1387" s="158"/>
      <c r="X1387" s="158"/>
      <c r="Y1387" s="158"/>
      <c r="Z1387" s="153"/>
      <c r="AA1387" s="159" t="s">
        <v>278</v>
      </c>
      <c r="AB1387" s="160"/>
      <c r="AC1387" s="174">
        <f t="shared" si="151"/>
        <v>0</v>
      </c>
    </row>
    <row r="1388" spans="10:29" ht="12.5">
      <c r="J1388" s="149"/>
      <c r="K1388" s="171">
        <f>MAX(K$1232:K1387)+1</f>
        <v>157</v>
      </c>
      <c r="L1388" s="172">
        <f t="shared" si="149"/>
        <v>1</v>
      </c>
      <c r="M1388" s="152"/>
      <c r="N1388" s="153"/>
      <c r="O1388" s="153"/>
      <c r="P1388" s="153"/>
      <c r="Q1388" s="153"/>
      <c r="R1388" s="153"/>
      <c r="S1388" s="154">
        <f t="shared" si="150"/>
        <v>0</v>
      </c>
      <c r="T1388" s="153"/>
      <c r="U1388" s="169">
        <f t="shared" si="152"/>
        <v>0</v>
      </c>
      <c r="V1388" s="156"/>
      <c r="W1388" s="158"/>
      <c r="X1388" s="158"/>
      <c r="Y1388" s="158"/>
      <c r="Z1388" s="153"/>
      <c r="AA1388" s="159" t="s">
        <v>278</v>
      </c>
      <c r="AB1388" s="160"/>
      <c r="AC1388" s="174">
        <f t="shared" si="151"/>
        <v>0</v>
      </c>
    </row>
    <row r="1389" spans="10:29" ht="12.5">
      <c r="J1389" s="149"/>
      <c r="K1389" s="171">
        <f>MAX(K$1232:K1388)+1</f>
        <v>158</v>
      </c>
      <c r="L1389" s="172">
        <f t="shared" si="149"/>
        <v>1</v>
      </c>
      <c r="M1389" s="152"/>
      <c r="N1389" s="153"/>
      <c r="O1389" s="153"/>
      <c r="P1389" s="153"/>
      <c r="Q1389" s="153"/>
      <c r="R1389" s="153"/>
      <c r="S1389" s="154">
        <f t="shared" si="150"/>
        <v>0</v>
      </c>
      <c r="T1389" s="153"/>
      <c r="U1389" s="169">
        <f t="shared" si="152"/>
        <v>0</v>
      </c>
      <c r="V1389" s="156"/>
      <c r="W1389" s="158"/>
      <c r="X1389" s="158"/>
      <c r="Y1389" s="158"/>
      <c r="Z1389" s="153"/>
      <c r="AA1389" s="159" t="s">
        <v>278</v>
      </c>
      <c r="AB1389" s="160"/>
      <c r="AC1389" s="174">
        <f t="shared" si="151"/>
        <v>0</v>
      </c>
    </row>
    <row r="1390" spans="10:29" ht="12.5">
      <c r="J1390" s="149"/>
      <c r="K1390" s="171">
        <f>MAX(K$1232:K1389)+1</f>
        <v>159</v>
      </c>
      <c r="L1390" s="172">
        <f t="shared" si="149"/>
        <v>1</v>
      </c>
      <c r="M1390" s="152"/>
      <c r="N1390" s="153"/>
      <c r="O1390" s="153"/>
      <c r="P1390" s="153"/>
      <c r="Q1390" s="153"/>
      <c r="R1390" s="153"/>
      <c r="S1390" s="154">
        <f t="shared" si="150"/>
        <v>0</v>
      </c>
      <c r="T1390" s="153"/>
      <c r="U1390" s="169">
        <f t="shared" si="152"/>
        <v>0</v>
      </c>
      <c r="V1390" s="156"/>
      <c r="W1390" s="158"/>
      <c r="X1390" s="158"/>
      <c r="Y1390" s="158"/>
      <c r="Z1390" s="153"/>
      <c r="AA1390" s="159" t="s">
        <v>278</v>
      </c>
      <c r="AB1390" s="160"/>
      <c r="AC1390" s="174">
        <f t="shared" si="151"/>
        <v>0</v>
      </c>
    </row>
    <row r="1391" spans="10:29" ht="12.5">
      <c r="J1391" s="149"/>
      <c r="K1391" s="171">
        <f>MAX(K$1232:K1390)+1</f>
        <v>160</v>
      </c>
      <c r="L1391" s="172">
        <f t="shared" si="149"/>
        <v>1</v>
      </c>
      <c r="M1391" s="152"/>
      <c r="N1391" s="153"/>
      <c r="O1391" s="153"/>
      <c r="P1391" s="153"/>
      <c r="Q1391" s="153"/>
      <c r="R1391" s="153"/>
      <c r="S1391" s="154">
        <f t="shared" si="150"/>
        <v>0</v>
      </c>
      <c r="T1391" s="153"/>
      <c r="U1391" s="169">
        <f t="shared" si="152"/>
        <v>0</v>
      </c>
      <c r="V1391" s="156"/>
      <c r="W1391" s="158"/>
      <c r="X1391" s="158"/>
      <c r="Y1391" s="158"/>
      <c r="Z1391" s="153"/>
      <c r="AA1391" s="159" t="s">
        <v>278</v>
      </c>
      <c r="AB1391" s="160"/>
      <c r="AC1391" s="174">
        <f t="shared" si="151"/>
        <v>0</v>
      </c>
    </row>
    <row r="1392" spans="10:29" ht="12.5">
      <c r="J1392" s="149"/>
      <c r="K1392" s="171">
        <f>MAX(K$1232:K1391)+1</f>
        <v>161</v>
      </c>
      <c r="L1392" s="172">
        <f t="shared" si="149"/>
        <v>1</v>
      </c>
      <c r="M1392" s="152"/>
      <c r="N1392" s="153"/>
      <c r="O1392" s="153"/>
      <c r="P1392" s="153"/>
      <c r="Q1392" s="153"/>
      <c r="R1392" s="153"/>
      <c r="S1392" s="154">
        <f t="shared" si="150"/>
        <v>0</v>
      </c>
      <c r="T1392" s="153"/>
      <c r="U1392" s="169">
        <f t="shared" si="152"/>
        <v>0</v>
      </c>
      <c r="V1392" s="156"/>
      <c r="W1392" s="158"/>
      <c r="X1392" s="158"/>
      <c r="Y1392" s="158"/>
      <c r="Z1392" s="153"/>
      <c r="AA1392" s="159" t="s">
        <v>278</v>
      </c>
      <c r="AB1392" s="160"/>
      <c r="AC1392" s="174">
        <f t="shared" si="151"/>
        <v>0</v>
      </c>
    </row>
    <row r="1393" spans="10:29" ht="12.5">
      <c r="J1393" s="149"/>
      <c r="K1393" s="171">
        <f>MAX(K$1232:K1392)+1</f>
        <v>162</v>
      </c>
      <c r="L1393" s="172">
        <f t="shared" si="149"/>
        <v>1</v>
      </c>
      <c r="M1393" s="152"/>
      <c r="N1393" s="153"/>
      <c r="O1393" s="153"/>
      <c r="P1393" s="153"/>
      <c r="Q1393" s="153"/>
      <c r="R1393" s="153"/>
      <c r="S1393" s="154">
        <f t="shared" si="150"/>
        <v>0</v>
      </c>
      <c r="T1393" s="153"/>
      <c r="U1393" s="169">
        <f t="shared" si="152"/>
        <v>0</v>
      </c>
      <c r="V1393" s="156"/>
      <c r="W1393" s="158"/>
      <c r="X1393" s="158"/>
      <c r="Y1393" s="158"/>
      <c r="Z1393" s="153"/>
      <c r="AA1393" s="159" t="s">
        <v>278</v>
      </c>
      <c r="AB1393" s="160"/>
      <c r="AC1393" s="174">
        <f t="shared" si="151"/>
        <v>0</v>
      </c>
    </row>
    <row r="1394" spans="10:29" ht="12.5">
      <c r="J1394" s="149"/>
      <c r="K1394" s="171">
        <f>MAX(K$1232:K1393)+1</f>
        <v>163</v>
      </c>
      <c r="L1394" s="172">
        <f t="shared" si="149"/>
        <v>1</v>
      </c>
      <c r="M1394" s="152"/>
      <c r="N1394" s="153"/>
      <c r="O1394" s="153"/>
      <c r="P1394" s="153"/>
      <c r="Q1394" s="153"/>
      <c r="R1394" s="153"/>
      <c r="S1394" s="154">
        <f t="shared" si="150"/>
        <v>0</v>
      </c>
      <c r="T1394" s="153"/>
      <c r="U1394" s="169">
        <f t="shared" si="152"/>
        <v>0</v>
      </c>
      <c r="V1394" s="156"/>
      <c r="W1394" s="158"/>
      <c r="X1394" s="158"/>
      <c r="Y1394" s="158"/>
      <c r="Z1394" s="153"/>
      <c r="AA1394" s="159" t="s">
        <v>278</v>
      </c>
      <c r="AB1394" s="160"/>
      <c r="AC1394" s="174">
        <f t="shared" si="151"/>
        <v>0</v>
      </c>
    </row>
    <row r="1395" spans="10:29" ht="12.5">
      <c r="J1395" s="149"/>
      <c r="K1395" s="171">
        <f>MAX(K$1232:K1394)+1</f>
        <v>164</v>
      </c>
      <c r="L1395" s="172">
        <f t="shared" si="149"/>
        <v>1</v>
      </c>
      <c r="M1395" s="152"/>
      <c r="N1395" s="153"/>
      <c r="O1395" s="153"/>
      <c r="P1395" s="153"/>
      <c r="Q1395" s="153"/>
      <c r="R1395" s="153"/>
      <c r="S1395" s="154">
        <f t="shared" si="150"/>
        <v>0</v>
      </c>
      <c r="T1395" s="153"/>
      <c r="U1395" s="169">
        <f t="shared" si="152"/>
        <v>0</v>
      </c>
      <c r="V1395" s="156"/>
      <c r="W1395" s="158"/>
      <c r="X1395" s="158"/>
      <c r="Y1395" s="158"/>
      <c r="Z1395" s="153"/>
      <c r="AA1395" s="159" t="s">
        <v>278</v>
      </c>
      <c r="AB1395" s="160"/>
      <c r="AC1395" s="174">
        <f t="shared" si="151"/>
        <v>0</v>
      </c>
    </row>
    <row r="1396" spans="10:29" ht="12.5">
      <c r="J1396" s="149"/>
      <c r="K1396" s="171">
        <f>MAX(K$1232:K1395)+1</f>
        <v>165</v>
      </c>
      <c r="L1396" s="172">
        <f t="shared" si="149"/>
        <v>1</v>
      </c>
      <c r="M1396" s="152"/>
      <c r="N1396" s="153"/>
      <c r="O1396" s="153"/>
      <c r="P1396" s="153"/>
      <c r="Q1396" s="153"/>
      <c r="R1396" s="153"/>
      <c r="S1396" s="154">
        <f t="shared" si="150"/>
        <v>0</v>
      </c>
      <c r="T1396" s="153"/>
      <c r="U1396" s="169">
        <f t="shared" si="152"/>
        <v>0</v>
      </c>
      <c r="V1396" s="156"/>
      <c r="W1396" s="158"/>
      <c r="X1396" s="158"/>
      <c r="Y1396" s="158"/>
      <c r="Z1396" s="153"/>
      <c r="AA1396" s="159" t="s">
        <v>278</v>
      </c>
      <c r="AB1396" s="160"/>
      <c r="AC1396" s="174">
        <f t="shared" si="151"/>
        <v>0</v>
      </c>
    </row>
    <row r="1397" spans="10:29" ht="12.5">
      <c r="J1397" s="149"/>
      <c r="K1397" s="171">
        <f>MAX(K$1232:K1396)+1</f>
        <v>166</v>
      </c>
      <c r="L1397" s="172">
        <f t="shared" si="149"/>
        <v>1</v>
      </c>
      <c r="M1397" s="152"/>
      <c r="N1397" s="153"/>
      <c r="O1397" s="153"/>
      <c r="P1397" s="153"/>
      <c r="Q1397" s="153"/>
      <c r="R1397" s="153"/>
      <c r="S1397" s="154">
        <f t="shared" si="150"/>
        <v>0</v>
      </c>
      <c r="T1397" s="153"/>
      <c r="U1397" s="169">
        <f t="shared" si="152"/>
        <v>0</v>
      </c>
      <c r="V1397" s="156"/>
      <c r="W1397" s="158"/>
      <c r="X1397" s="158"/>
      <c r="Y1397" s="158"/>
      <c r="Z1397" s="153"/>
      <c r="AA1397" s="159" t="s">
        <v>278</v>
      </c>
      <c r="AB1397" s="160"/>
      <c r="AC1397" s="174">
        <f t="shared" si="151"/>
        <v>0</v>
      </c>
    </row>
    <row r="1398" spans="10:29" ht="12.5">
      <c r="J1398" s="149"/>
      <c r="K1398" s="171">
        <f>MAX(K$1232:K1397)+1</f>
        <v>167</v>
      </c>
      <c r="L1398" s="172">
        <f t="shared" si="149"/>
        <v>1</v>
      </c>
      <c r="M1398" s="152"/>
      <c r="N1398" s="153"/>
      <c r="O1398" s="153"/>
      <c r="P1398" s="153"/>
      <c r="Q1398" s="153"/>
      <c r="R1398" s="153"/>
      <c r="S1398" s="154">
        <f t="shared" si="150"/>
        <v>0</v>
      </c>
      <c r="T1398" s="153"/>
      <c r="U1398" s="169">
        <f t="shared" si="152"/>
        <v>0</v>
      </c>
      <c r="V1398" s="156"/>
      <c r="W1398" s="158"/>
      <c r="X1398" s="158"/>
      <c r="Y1398" s="158"/>
      <c r="Z1398" s="153"/>
      <c r="AA1398" s="159" t="s">
        <v>278</v>
      </c>
      <c r="AB1398" s="160"/>
      <c r="AC1398" s="174">
        <f t="shared" si="151"/>
        <v>0</v>
      </c>
    </row>
    <row r="1399" spans="10:29" ht="12.5">
      <c r="J1399" s="149"/>
      <c r="K1399" s="171">
        <f>MAX(K$1232:K1398)+1</f>
        <v>168</v>
      </c>
      <c r="L1399" s="172">
        <f t="shared" si="149"/>
        <v>1</v>
      </c>
      <c r="M1399" s="152"/>
      <c r="N1399" s="153"/>
      <c r="O1399" s="153"/>
      <c r="P1399" s="153"/>
      <c r="Q1399" s="153"/>
      <c r="R1399" s="153"/>
      <c r="S1399" s="154">
        <f t="shared" si="150"/>
        <v>0</v>
      </c>
      <c r="T1399" s="153"/>
      <c r="U1399" s="169">
        <f t="shared" si="152"/>
        <v>0</v>
      </c>
      <c r="V1399" s="156"/>
      <c r="W1399" s="158"/>
      <c r="X1399" s="158"/>
      <c r="Y1399" s="158"/>
      <c r="Z1399" s="153"/>
      <c r="AA1399" s="159" t="s">
        <v>278</v>
      </c>
      <c r="AB1399" s="160"/>
      <c r="AC1399" s="174">
        <f t="shared" si="151"/>
        <v>0</v>
      </c>
    </row>
    <row r="1400" spans="10:29" ht="12.5">
      <c r="J1400" s="149"/>
      <c r="K1400" s="171">
        <f>MAX(K$1232:K1399)+1</f>
        <v>169</v>
      </c>
      <c r="L1400" s="172">
        <f t="shared" si="149"/>
        <v>1</v>
      </c>
      <c r="M1400" s="152"/>
      <c r="N1400" s="153"/>
      <c r="O1400" s="153"/>
      <c r="P1400" s="153"/>
      <c r="Q1400" s="153"/>
      <c r="R1400" s="153"/>
      <c r="S1400" s="154">
        <f t="shared" si="150"/>
        <v>0</v>
      </c>
      <c r="T1400" s="153"/>
      <c r="U1400" s="169">
        <f t="shared" si="152"/>
        <v>0</v>
      </c>
      <c r="V1400" s="156"/>
      <c r="W1400" s="158"/>
      <c r="X1400" s="158"/>
      <c r="Y1400" s="158"/>
      <c r="Z1400" s="153"/>
      <c r="AA1400" s="159" t="s">
        <v>278</v>
      </c>
      <c r="AB1400" s="160"/>
      <c r="AC1400" s="174">
        <f t="shared" si="151"/>
        <v>0</v>
      </c>
    </row>
    <row r="1401" spans="10:29" ht="12.5">
      <c r="J1401" s="149"/>
      <c r="K1401" s="171">
        <f>MAX(K$1232:K1400)+1</f>
        <v>170</v>
      </c>
      <c r="L1401" s="172">
        <f t="shared" si="149"/>
        <v>1</v>
      </c>
      <c r="M1401" s="152"/>
      <c r="N1401" s="153"/>
      <c r="O1401" s="153"/>
      <c r="P1401" s="153"/>
      <c r="Q1401" s="153"/>
      <c r="R1401" s="153"/>
      <c r="S1401" s="154">
        <f t="shared" si="150"/>
        <v>0</v>
      </c>
      <c r="T1401" s="153"/>
      <c r="U1401" s="169">
        <f t="shared" si="152"/>
        <v>0</v>
      </c>
      <c r="V1401" s="156"/>
      <c r="W1401" s="158"/>
      <c r="X1401" s="158"/>
      <c r="Y1401" s="158"/>
      <c r="Z1401" s="153"/>
      <c r="AA1401" s="159" t="s">
        <v>278</v>
      </c>
      <c r="AB1401" s="160"/>
      <c r="AC1401" s="174">
        <f t="shared" si="151"/>
        <v>0</v>
      </c>
    </row>
    <row r="1402" spans="10:29" ht="12.5">
      <c r="J1402" s="149"/>
      <c r="K1402" s="171">
        <f>MAX(K$1232:K1401)+1</f>
        <v>171</v>
      </c>
      <c r="L1402" s="172">
        <f t="shared" si="149"/>
        <v>1</v>
      </c>
      <c r="M1402" s="152"/>
      <c r="N1402" s="153"/>
      <c r="O1402" s="153"/>
      <c r="P1402" s="153"/>
      <c r="Q1402" s="153"/>
      <c r="R1402" s="153"/>
      <c r="S1402" s="154">
        <f t="shared" si="150"/>
        <v>0</v>
      </c>
      <c r="T1402" s="153"/>
      <c r="U1402" s="169">
        <f t="shared" si="152"/>
        <v>0</v>
      </c>
      <c r="V1402" s="156"/>
      <c r="W1402" s="158"/>
      <c r="X1402" s="158"/>
      <c r="Y1402" s="158"/>
      <c r="Z1402" s="153"/>
      <c r="AA1402" s="159" t="s">
        <v>278</v>
      </c>
      <c r="AB1402" s="160"/>
      <c r="AC1402" s="174">
        <f t="shared" si="151"/>
        <v>0</v>
      </c>
    </row>
    <row r="1403" spans="10:29" ht="12.5">
      <c r="J1403" s="149"/>
      <c r="K1403" s="171">
        <f>MAX(K$1232:K1402)+1</f>
        <v>172</v>
      </c>
      <c r="L1403" s="172">
        <f t="shared" si="149"/>
        <v>1</v>
      </c>
      <c r="M1403" s="152"/>
      <c r="N1403" s="153"/>
      <c r="O1403" s="153"/>
      <c r="P1403" s="153"/>
      <c r="Q1403" s="153"/>
      <c r="R1403" s="153"/>
      <c r="S1403" s="154">
        <f t="shared" si="150"/>
        <v>0</v>
      </c>
      <c r="T1403" s="153"/>
      <c r="U1403" s="169">
        <f t="shared" si="152"/>
        <v>0</v>
      </c>
      <c r="V1403" s="156"/>
      <c r="W1403" s="158"/>
      <c r="X1403" s="158"/>
      <c r="Y1403" s="158"/>
      <c r="Z1403" s="153"/>
      <c r="AA1403" s="159" t="s">
        <v>278</v>
      </c>
      <c r="AB1403" s="160"/>
      <c r="AC1403" s="174">
        <f t="shared" si="151"/>
        <v>0</v>
      </c>
    </row>
    <row r="1404" spans="10:29" ht="12.5">
      <c r="J1404" s="149"/>
      <c r="K1404" s="171">
        <f>MAX(K$1232:K1403)+1</f>
        <v>173</v>
      </c>
      <c r="L1404" s="172">
        <f t="shared" si="149"/>
        <v>1</v>
      </c>
      <c r="M1404" s="152"/>
      <c r="N1404" s="153"/>
      <c r="O1404" s="153"/>
      <c r="P1404" s="153"/>
      <c r="Q1404" s="153"/>
      <c r="R1404" s="153"/>
      <c r="S1404" s="154">
        <f t="shared" si="150"/>
        <v>0</v>
      </c>
      <c r="T1404" s="153"/>
      <c r="U1404" s="169">
        <f t="shared" si="152"/>
        <v>0</v>
      </c>
      <c r="V1404" s="156"/>
      <c r="W1404" s="158"/>
      <c r="X1404" s="158"/>
      <c r="Y1404" s="158"/>
      <c r="Z1404" s="153"/>
      <c r="AA1404" s="159" t="s">
        <v>278</v>
      </c>
      <c r="AB1404" s="160"/>
      <c r="AC1404" s="174">
        <f t="shared" si="151"/>
        <v>0</v>
      </c>
    </row>
    <row r="1405" spans="10:29" ht="12.5">
      <c r="J1405" s="149"/>
      <c r="K1405" s="171">
        <f>MAX(K$1232:K1404)+1</f>
        <v>174</v>
      </c>
      <c r="L1405" s="172">
        <f t="shared" si="149"/>
        <v>1</v>
      </c>
      <c r="M1405" s="152"/>
      <c r="N1405" s="153"/>
      <c r="O1405" s="153"/>
      <c r="P1405" s="153"/>
      <c r="Q1405" s="153"/>
      <c r="R1405" s="153"/>
      <c r="S1405" s="154">
        <f t="shared" si="150"/>
        <v>0</v>
      </c>
      <c r="T1405" s="153"/>
      <c r="U1405" s="169">
        <f t="shared" si="152"/>
        <v>0</v>
      </c>
      <c r="V1405" s="156"/>
      <c r="W1405" s="158"/>
      <c r="X1405" s="158"/>
      <c r="Y1405" s="158"/>
      <c r="Z1405" s="153"/>
      <c r="AA1405" s="159" t="s">
        <v>278</v>
      </c>
      <c r="AB1405" s="160"/>
      <c r="AC1405" s="174">
        <f t="shared" si="151"/>
        <v>0</v>
      </c>
    </row>
    <row r="1406" spans="10:29" ht="12.5">
      <c r="J1406" s="149"/>
      <c r="K1406" s="171">
        <f>MAX(K$1232:K1405)+1</f>
        <v>175</v>
      </c>
      <c r="L1406" s="172">
        <f t="shared" si="149"/>
        <v>1</v>
      </c>
      <c r="M1406" s="152"/>
      <c r="N1406" s="153"/>
      <c r="O1406" s="153"/>
      <c r="P1406" s="153"/>
      <c r="Q1406" s="153"/>
      <c r="R1406" s="153"/>
      <c r="S1406" s="154">
        <f t="shared" si="150"/>
        <v>0</v>
      </c>
      <c r="T1406" s="153"/>
      <c r="U1406" s="169">
        <f t="shared" si="152"/>
        <v>0</v>
      </c>
      <c r="V1406" s="156"/>
      <c r="W1406" s="158"/>
      <c r="X1406" s="158"/>
      <c r="Y1406" s="158"/>
      <c r="Z1406" s="153"/>
      <c r="AA1406" s="159" t="s">
        <v>278</v>
      </c>
      <c r="AB1406" s="160"/>
      <c r="AC1406" s="174">
        <f t="shared" si="151"/>
        <v>0</v>
      </c>
    </row>
    <row r="1407" spans="10:29" ht="12.5">
      <c r="J1407" s="149"/>
      <c r="K1407" s="171">
        <f>MAX(K$1232:K1406)+1</f>
        <v>176</v>
      </c>
      <c r="L1407" s="172">
        <f t="shared" si="149"/>
        <v>1</v>
      </c>
      <c r="M1407" s="152"/>
      <c r="N1407" s="153"/>
      <c r="O1407" s="153"/>
      <c r="P1407" s="153"/>
      <c r="Q1407" s="153"/>
      <c r="R1407" s="153"/>
      <c r="S1407" s="154">
        <f t="shared" si="150"/>
        <v>0</v>
      </c>
      <c r="T1407" s="153"/>
      <c r="U1407" s="169">
        <f t="shared" si="152"/>
        <v>0</v>
      </c>
      <c r="V1407" s="156"/>
      <c r="W1407" s="158"/>
      <c r="X1407" s="158"/>
      <c r="Y1407" s="158"/>
      <c r="Z1407" s="153"/>
      <c r="AA1407" s="159" t="s">
        <v>278</v>
      </c>
      <c r="AB1407" s="160"/>
      <c r="AC1407" s="174">
        <f t="shared" si="151"/>
        <v>0</v>
      </c>
    </row>
    <row r="1408" spans="10:29" ht="12.5">
      <c r="J1408" s="149"/>
      <c r="K1408" s="171">
        <f>MAX(K$1232:K1407)+1</f>
        <v>177</v>
      </c>
      <c r="L1408" s="172">
        <f t="shared" si="149"/>
        <v>1</v>
      </c>
      <c r="M1408" s="152"/>
      <c r="N1408" s="153"/>
      <c r="O1408" s="153"/>
      <c r="P1408" s="153"/>
      <c r="Q1408" s="153"/>
      <c r="R1408" s="153"/>
      <c r="S1408" s="154">
        <f t="shared" si="150"/>
        <v>0</v>
      </c>
      <c r="T1408" s="153"/>
      <c r="U1408" s="169">
        <f t="shared" si="152"/>
        <v>0</v>
      </c>
      <c r="V1408" s="156"/>
      <c r="W1408" s="158"/>
      <c r="X1408" s="158"/>
      <c r="Y1408" s="158"/>
      <c r="Z1408" s="153"/>
      <c r="AA1408" s="159" t="s">
        <v>278</v>
      </c>
      <c r="AB1408" s="160"/>
      <c r="AC1408" s="174">
        <f t="shared" si="151"/>
        <v>0</v>
      </c>
    </row>
    <row r="1409" spans="10:29" ht="12.5">
      <c r="J1409" s="149"/>
      <c r="K1409" s="171">
        <f>MAX(K$1232:K1408)+1</f>
        <v>178</v>
      </c>
      <c r="L1409" s="172">
        <f t="shared" si="149"/>
        <v>1</v>
      </c>
      <c r="M1409" s="152"/>
      <c r="N1409" s="153"/>
      <c r="O1409" s="153"/>
      <c r="P1409" s="153"/>
      <c r="Q1409" s="153"/>
      <c r="R1409" s="153"/>
      <c r="S1409" s="154">
        <f t="shared" si="150"/>
        <v>0</v>
      </c>
      <c r="T1409" s="153"/>
      <c r="U1409" s="169">
        <f t="shared" si="152"/>
        <v>0</v>
      </c>
      <c r="V1409" s="156"/>
      <c r="W1409" s="158"/>
      <c r="X1409" s="158"/>
      <c r="Y1409" s="158"/>
      <c r="Z1409" s="153"/>
      <c r="AA1409" s="159" t="s">
        <v>278</v>
      </c>
      <c r="AB1409" s="160"/>
      <c r="AC1409" s="174">
        <f t="shared" si="151"/>
        <v>0</v>
      </c>
    </row>
    <row r="1410" spans="10:29" ht="12.5">
      <c r="J1410" s="149"/>
      <c r="K1410" s="171">
        <f>MAX(K$1232:K1409)+1</f>
        <v>179</v>
      </c>
      <c r="L1410" s="172">
        <f t="shared" si="149"/>
        <v>1</v>
      </c>
      <c r="M1410" s="152"/>
      <c r="N1410" s="153"/>
      <c r="O1410" s="153"/>
      <c r="P1410" s="153"/>
      <c r="Q1410" s="153"/>
      <c r="R1410" s="153"/>
      <c r="S1410" s="154">
        <f t="shared" si="150"/>
        <v>0</v>
      </c>
      <c r="T1410" s="153"/>
      <c r="U1410" s="169">
        <f t="shared" si="152"/>
        <v>0</v>
      </c>
      <c r="V1410" s="156"/>
      <c r="W1410" s="158"/>
      <c r="X1410" s="158"/>
      <c r="Y1410" s="158"/>
      <c r="Z1410" s="153"/>
      <c r="AA1410" s="159" t="s">
        <v>278</v>
      </c>
      <c r="AB1410" s="160"/>
      <c r="AC1410" s="174">
        <f t="shared" si="151"/>
        <v>0</v>
      </c>
    </row>
    <row r="1411" spans="10:29" ht="12.5">
      <c r="J1411" s="149"/>
      <c r="K1411" s="171">
        <f>MAX(K$1232:K1410)+1</f>
        <v>180</v>
      </c>
      <c r="L1411" s="172">
        <f t="shared" si="149"/>
        <v>1</v>
      </c>
      <c r="M1411" s="152"/>
      <c r="N1411" s="153"/>
      <c r="O1411" s="153"/>
      <c r="P1411" s="153"/>
      <c r="Q1411" s="153"/>
      <c r="R1411" s="153"/>
      <c r="S1411" s="154">
        <f t="shared" si="150"/>
        <v>0</v>
      </c>
      <c r="T1411" s="153"/>
      <c r="U1411" s="169">
        <f t="shared" si="152"/>
        <v>0</v>
      </c>
      <c r="V1411" s="156"/>
      <c r="W1411" s="158"/>
      <c r="X1411" s="158"/>
      <c r="Y1411" s="158"/>
      <c r="Z1411" s="153"/>
      <c r="AA1411" s="159" t="s">
        <v>278</v>
      </c>
      <c r="AB1411" s="160"/>
      <c r="AC1411" s="174">
        <f t="shared" si="151"/>
        <v>0</v>
      </c>
    </row>
    <row r="1412" spans="10:29" ht="12.5">
      <c r="J1412" s="149"/>
      <c r="K1412" s="171">
        <f>MAX(K$1232:K1411)+1</f>
        <v>181</v>
      </c>
      <c r="L1412" s="172">
        <f t="shared" si="149"/>
        <v>1</v>
      </c>
      <c r="M1412" s="152"/>
      <c r="N1412" s="153"/>
      <c r="O1412" s="153"/>
      <c r="P1412" s="153"/>
      <c r="Q1412" s="153"/>
      <c r="R1412" s="153"/>
      <c r="S1412" s="154">
        <f t="shared" si="150"/>
        <v>0</v>
      </c>
      <c r="T1412" s="153"/>
      <c r="U1412" s="169">
        <f t="shared" si="152"/>
        <v>0</v>
      </c>
      <c r="V1412" s="156"/>
      <c r="W1412" s="158"/>
      <c r="X1412" s="158"/>
      <c r="Y1412" s="158"/>
      <c r="Z1412" s="153"/>
      <c r="AA1412" s="159" t="s">
        <v>278</v>
      </c>
      <c r="AB1412" s="160"/>
      <c r="AC1412" s="174">
        <f t="shared" si="151"/>
        <v>0</v>
      </c>
    </row>
    <row r="1413" spans="10:29" ht="12.5">
      <c r="J1413" s="149"/>
      <c r="K1413" s="171">
        <f>MAX(K$1232:K1412)+1</f>
        <v>182</v>
      </c>
      <c r="L1413" s="172">
        <f t="shared" si="149"/>
        <v>1</v>
      </c>
      <c r="M1413" s="152"/>
      <c r="N1413" s="153"/>
      <c r="O1413" s="153"/>
      <c r="P1413" s="153"/>
      <c r="Q1413" s="153"/>
      <c r="R1413" s="153"/>
      <c r="S1413" s="154">
        <f t="shared" si="150"/>
        <v>0</v>
      </c>
      <c r="T1413" s="153"/>
      <c r="U1413" s="169">
        <f t="shared" si="152"/>
        <v>0</v>
      </c>
      <c r="V1413" s="156"/>
      <c r="W1413" s="158"/>
      <c r="X1413" s="158"/>
      <c r="Y1413" s="158"/>
      <c r="Z1413" s="153"/>
      <c r="AA1413" s="159" t="s">
        <v>278</v>
      </c>
      <c r="AB1413" s="160"/>
      <c r="AC1413" s="174">
        <f t="shared" si="151"/>
        <v>0</v>
      </c>
    </row>
    <row r="1414" spans="10:29" ht="12.5">
      <c r="J1414" s="149"/>
      <c r="K1414" s="171">
        <f>MAX(K$1232:K1413)+1</f>
        <v>183</v>
      </c>
      <c r="L1414" s="172">
        <f t="shared" si="149"/>
        <v>1</v>
      </c>
      <c r="M1414" s="152"/>
      <c r="N1414" s="153"/>
      <c r="O1414" s="153"/>
      <c r="P1414" s="153"/>
      <c r="Q1414" s="153"/>
      <c r="R1414" s="153"/>
      <c r="S1414" s="154">
        <f t="shared" si="150"/>
        <v>0</v>
      </c>
      <c r="T1414" s="153"/>
      <c r="U1414" s="169">
        <f t="shared" si="152"/>
        <v>0</v>
      </c>
      <c r="V1414" s="156"/>
      <c r="W1414" s="158"/>
      <c r="X1414" s="158"/>
      <c r="Y1414" s="158"/>
      <c r="Z1414" s="153"/>
      <c r="AA1414" s="159" t="s">
        <v>278</v>
      </c>
      <c r="AB1414" s="160"/>
      <c r="AC1414" s="174">
        <f t="shared" si="151"/>
        <v>0</v>
      </c>
    </row>
    <row r="1415" spans="10:29" ht="12.5">
      <c r="J1415" s="149"/>
      <c r="K1415" s="171">
        <f>MAX(K$1232:K1414)+1</f>
        <v>184</v>
      </c>
      <c r="L1415" s="172">
        <f t="shared" si="149"/>
        <v>1</v>
      </c>
      <c r="M1415" s="152"/>
      <c r="N1415" s="153"/>
      <c r="O1415" s="153"/>
      <c r="P1415" s="153"/>
      <c r="Q1415" s="153"/>
      <c r="R1415" s="153"/>
      <c r="S1415" s="154">
        <f t="shared" si="150"/>
        <v>0</v>
      </c>
      <c r="T1415" s="153"/>
      <c r="U1415" s="169">
        <f t="shared" si="152"/>
        <v>0</v>
      </c>
      <c r="V1415" s="156"/>
      <c r="W1415" s="158"/>
      <c r="X1415" s="158"/>
      <c r="Y1415" s="158"/>
      <c r="Z1415" s="153"/>
      <c r="AA1415" s="159" t="s">
        <v>278</v>
      </c>
      <c r="AB1415" s="160"/>
      <c r="AC1415" s="174">
        <f t="shared" si="151"/>
        <v>0</v>
      </c>
    </row>
    <row r="1416" spans="10:29" ht="12.5">
      <c r="J1416" s="149"/>
      <c r="K1416" s="171">
        <f>MAX(K$1232:K1415)+1</f>
        <v>185</v>
      </c>
      <c r="L1416" s="172">
        <f t="shared" si="149"/>
        <v>1</v>
      </c>
      <c r="M1416" s="152"/>
      <c r="N1416" s="153"/>
      <c r="O1416" s="153"/>
      <c r="P1416" s="153"/>
      <c r="Q1416" s="153"/>
      <c r="R1416" s="153"/>
      <c r="S1416" s="154">
        <f t="shared" si="150"/>
        <v>0</v>
      </c>
      <c r="T1416" s="153"/>
      <c r="U1416" s="169">
        <f t="shared" si="152"/>
        <v>0</v>
      </c>
      <c r="V1416" s="156"/>
      <c r="W1416" s="158"/>
      <c r="X1416" s="158"/>
      <c r="Y1416" s="158"/>
      <c r="Z1416" s="153"/>
      <c r="AA1416" s="159" t="s">
        <v>278</v>
      </c>
      <c r="AB1416" s="160"/>
      <c r="AC1416" s="174">
        <f t="shared" si="151"/>
        <v>0</v>
      </c>
    </row>
    <row r="1417" spans="10:29" ht="12.5">
      <c r="J1417" s="149"/>
      <c r="K1417" s="171">
        <f>MAX(K$1232:K1416)+1</f>
        <v>186</v>
      </c>
      <c r="L1417" s="172">
        <f t="shared" si="149"/>
        <v>1</v>
      </c>
      <c r="M1417" s="152"/>
      <c r="N1417" s="153"/>
      <c r="O1417" s="153"/>
      <c r="P1417" s="153"/>
      <c r="Q1417" s="153"/>
      <c r="R1417" s="153"/>
      <c r="S1417" s="154">
        <f t="shared" si="150"/>
        <v>0</v>
      </c>
      <c r="T1417" s="153"/>
      <c r="U1417" s="169">
        <f t="shared" si="152"/>
        <v>0</v>
      </c>
      <c r="V1417" s="156"/>
      <c r="W1417" s="158"/>
      <c r="X1417" s="158"/>
      <c r="Y1417" s="158"/>
      <c r="Z1417" s="153"/>
      <c r="AA1417" s="159" t="s">
        <v>278</v>
      </c>
      <c r="AB1417" s="160"/>
      <c r="AC1417" s="174">
        <f t="shared" si="151"/>
        <v>0</v>
      </c>
    </row>
    <row r="1418" spans="10:29" ht="12.5">
      <c r="J1418" s="149"/>
      <c r="K1418" s="171">
        <f>MAX(K$1232:K1417)+1</f>
        <v>187</v>
      </c>
      <c r="L1418" s="172">
        <f t="shared" si="149"/>
        <v>1</v>
      </c>
      <c r="M1418" s="152"/>
      <c r="N1418" s="153"/>
      <c r="O1418" s="153"/>
      <c r="P1418" s="153"/>
      <c r="Q1418" s="153"/>
      <c r="R1418" s="153"/>
      <c r="S1418" s="154">
        <f t="shared" si="150"/>
        <v>0</v>
      </c>
      <c r="T1418" s="153"/>
      <c r="U1418" s="169">
        <f t="shared" si="152"/>
        <v>0</v>
      </c>
      <c r="V1418" s="156"/>
      <c r="W1418" s="158"/>
      <c r="X1418" s="158"/>
      <c r="Y1418" s="158"/>
      <c r="Z1418" s="153"/>
      <c r="AA1418" s="159" t="s">
        <v>278</v>
      </c>
      <c r="AB1418" s="160"/>
      <c r="AC1418" s="174">
        <f t="shared" si="151"/>
        <v>0</v>
      </c>
    </row>
    <row r="1419" spans="10:29" ht="12.5">
      <c r="J1419" s="149"/>
      <c r="K1419" s="171">
        <f>MAX(K$1232:K1418)+1</f>
        <v>188</v>
      </c>
      <c r="L1419" s="172">
        <f t="shared" si="149"/>
        <v>1</v>
      </c>
      <c r="M1419" s="152"/>
      <c r="N1419" s="153"/>
      <c r="O1419" s="153"/>
      <c r="P1419" s="153"/>
      <c r="Q1419" s="153"/>
      <c r="R1419" s="153"/>
      <c r="S1419" s="154">
        <f t="shared" si="150"/>
        <v>0</v>
      </c>
      <c r="T1419" s="153"/>
      <c r="U1419" s="169">
        <f t="shared" si="152"/>
        <v>0</v>
      </c>
      <c r="V1419" s="156"/>
      <c r="W1419" s="158"/>
      <c r="X1419" s="158"/>
      <c r="Y1419" s="158"/>
      <c r="Z1419" s="153"/>
      <c r="AA1419" s="159" t="s">
        <v>278</v>
      </c>
      <c r="AB1419" s="160"/>
      <c r="AC1419" s="174">
        <f t="shared" si="151"/>
        <v>0</v>
      </c>
    </row>
    <row r="1420" spans="10:29" ht="12.5">
      <c r="J1420" s="149"/>
      <c r="K1420" s="171">
        <f>MAX(K$1232:K1419)+1</f>
        <v>189</v>
      </c>
      <c r="L1420" s="172">
        <f t="shared" si="149"/>
        <v>1</v>
      </c>
      <c r="M1420" s="152"/>
      <c r="N1420" s="153"/>
      <c r="O1420" s="153"/>
      <c r="P1420" s="153"/>
      <c r="Q1420" s="153"/>
      <c r="R1420" s="153"/>
      <c r="S1420" s="154">
        <f t="shared" si="150"/>
        <v>0</v>
      </c>
      <c r="T1420" s="153"/>
      <c r="U1420" s="169">
        <f t="shared" si="152"/>
        <v>0</v>
      </c>
      <c r="V1420" s="156"/>
      <c r="W1420" s="158"/>
      <c r="X1420" s="158"/>
      <c r="Y1420" s="158"/>
      <c r="Z1420" s="153"/>
      <c r="AA1420" s="159" t="s">
        <v>278</v>
      </c>
      <c r="AB1420" s="160"/>
      <c r="AC1420" s="174">
        <f t="shared" si="151"/>
        <v>0</v>
      </c>
    </row>
    <row r="1421" spans="10:29" ht="12.5">
      <c r="J1421" s="149"/>
      <c r="K1421" s="171">
        <f>MAX(K$1232:K1420)+1</f>
        <v>190</v>
      </c>
      <c r="L1421" s="172">
        <f t="shared" si="149"/>
        <v>1</v>
      </c>
      <c r="M1421" s="152"/>
      <c r="N1421" s="153"/>
      <c r="O1421" s="153"/>
      <c r="P1421" s="153"/>
      <c r="Q1421" s="153"/>
      <c r="R1421" s="153"/>
      <c r="S1421" s="154">
        <f t="shared" si="150"/>
        <v>0</v>
      </c>
      <c r="T1421" s="153"/>
      <c r="U1421" s="169">
        <f t="shared" si="152"/>
        <v>0</v>
      </c>
      <c r="V1421" s="156"/>
      <c r="W1421" s="158"/>
      <c r="X1421" s="158"/>
      <c r="Y1421" s="158"/>
      <c r="Z1421" s="153"/>
      <c r="AA1421" s="159" t="s">
        <v>278</v>
      </c>
      <c r="AB1421" s="160"/>
      <c r="AC1421" s="174">
        <f t="shared" si="151"/>
        <v>0</v>
      </c>
    </row>
    <row r="1422" spans="10:29" ht="12.5">
      <c r="J1422" s="149"/>
      <c r="K1422" s="171">
        <f>MAX(K$1232:K1421)+1</f>
        <v>191</v>
      </c>
      <c r="L1422" s="172">
        <f t="shared" si="149"/>
        <v>1</v>
      </c>
      <c r="M1422" s="152"/>
      <c r="N1422" s="153"/>
      <c r="O1422" s="153"/>
      <c r="P1422" s="153"/>
      <c r="Q1422" s="153"/>
      <c r="R1422" s="153"/>
      <c r="S1422" s="154">
        <f t="shared" si="150"/>
        <v>0</v>
      </c>
      <c r="T1422" s="153"/>
      <c r="U1422" s="169">
        <f t="shared" si="152"/>
        <v>0</v>
      </c>
      <c r="V1422" s="156"/>
      <c r="W1422" s="158"/>
      <c r="X1422" s="158"/>
      <c r="Y1422" s="158"/>
      <c r="Z1422" s="153"/>
      <c r="AA1422" s="159" t="s">
        <v>278</v>
      </c>
      <c r="AB1422" s="160"/>
      <c r="AC1422" s="174">
        <f t="shared" si="151"/>
        <v>0</v>
      </c>
    </row>
    <row r="1423" spans="10:29" ht="12.5">
      <c r="J1423" s="149"/>
      <c r="K1423" s="171">
        <f>MAX(K$1232:K1422)+1</f>
        <v>192</v>
      </c>
      <c r="L1423" s="172">
        <f t="shared" si="149"/>
        <v>1</v>
      </c>
      <c r="M1423" s="152"/>
      <c r="N1423" s="153"/>
      <c r="O1423" s="153"/>
      <c r="P1423" s="153"/>
      <c r="Q1423" s="153"/>
      <c r="R1423" s="153"/>
      <c r="S1423" s="154">
        <f t="shared" si="150"/>
        <v>0</v>
      </c>
      <c r="T1423" s="153"/>
      <c r="U1423" s="169">
        <f t="shared" si="152"/>
        <v>0</v>
      </c>
      <c r="V1423" s="156"/>
      <c r="W1423" s="158"/>
      <c r="X1423" s="158"/>
      <c r="Y1423" s="158"/>
      <c r="Z1423" s="153"/>
      <c r="AA1423" s="159" t="s">
        <v>278</v>
      </c>
      <c r="AB1423" s="160"/>
      <c r="AC1423" s="174">
        <f t="shared" si="151"/>
        <v>0</v>
      </c>
    </row>
    <row r="1424" spans="10:29" ht="12.5">
      <c r="J1424" s="149"/>
      <c r="K1424" s="171">
        <f>MAX(K$1232:K1423)+1</f>
        <v>193</v>
      </c>
      <c r="L1424" s="172">
        <f t="shared" si="149"/>
        <v>1</v>
      </c>
      <c r="M1424" s="152"/>
      <c r="N1424" s="153"/>
      <c r="O1424" s="153"/>
      <c r="P1424" s="153"/>
      <c r="Q1424" s="153"/>
      <c r="R1424" s="153"/>
      <c r="S1424" s="154">
        <f t="shared" si="150"/>
        <v>0</v>
      </c>
      <c r="T1424" s="153"/>
      <c r="U1424" s="169">
        <f t="shared" si="152"/>
        <v>0</v>
      </c>
      <c r="V1424" s="156"/>
      <c r="W1424" s="158"/>
      <c r="X1424" s="158"/>
      <c r="Y1424" s="158"/>
      <c r="Z1424" s="153"/>
      <c r="AA1424" s="159" t="s">
        <v>278</v>
      </c>
      <c r="AB1424" s="160"/>
      <c r="AC1424" s="174">
        <f t="shared" si="151"/>
        <v>0</v>
      </c>
    </row>
    <row r="1425" spans="10:29" ht="12.5">
      <c r="J1425" s="149"/>
      <c r="K1425" s="171">
        <f>MAX(K$1232:K1424)+1</f>
        <v>194</v>
      </c>
      <c r="L1425" s="172">
        <f t="shared" ref="L1425:L1488" si="153">IF(J1424="",L1424,L1424+1)</f>
        <v>1</v>
      </c>
      <c r="M1425" s="152"/>
      <c r="N1425" s="153"/>
      <c r="O1425" s="153"/>
      <c r="P1425" s="153"/>
      <c r="Q1425" s="153"/>
      <c r="R1425" s="153"/>
      <c r="S1425" s="154">
        <f t="shared" si="150"/>
        <v>0</v>
      </c>
      <c r="T1425" s="153"/>
      <c r="U1425" s="169">
        <f t="shared" si="152"/>
        <v>0</v>
      </c>
      <c r="V1425" s="156"/>
      <c r="W1425" s="158"/>
      <c r="X1425" s="158"/>
      <c r="Y1425" s="158"/>
      <c r="Z1425" s="153"/>
      <c r="AA1425" s="159" t="s">
        <v>278</v>
      </c>
      <c r="AB1425" s="160"/>
      <c r="AC1425" s="174">
        <f t="shared" si="151"/>
        <v>0</v>
      </c>
    </row>
    <row r="1426" spans="10:29" ht="12.5">
      <c r="J1426" s="149"/>
      <c r="K1426" s="171">
        <f>MAX(K$1232:K1425)+1</f>
        <v>195</v>
      </c>
      <c r="L1426" s="172">
        <f t="shared" si="153"/>
        <v>1</v>
      </c>
      <c r="M1426" s="152"/>
      <c r="N1426" s="153"/>
      <c r="O1426" s="153"/>
      <c r="P1426" s="153"/>
      <c r="Q1426" s="153"/>
      <c r="R1426" s="153"/>
      <c r="S1426" s="154">
        <f t="shared" si="150"/>
        <v>0</v>
      </c>
      <c r="T1426" s="153"/>
      <c r="U1426" s="169">
        <f t="shared" si="152"/>
        <v>0</v>
      </c>
      <c r="V1426" s="156"/>
      <c r="W1426" s="158"/>
      <c r="X1426" s="158"/>
      <c r="Y1426" s="158"/>
      <c r="Z1426" s="153"/>
      <c r="AA1426" s="159" t="s">
        <v>278</v>
      </c>
      <c r="AB1426" s="160"/>
      <c r="AC1426" s="174">
        <f t="shared" si="151"/>
        <v>0</v>
      </c>
    </row>
    <row r="1427" spans="10:29" ht="12.5">
      <c r="J1427" s="149"/>
      <c r="K1427" s="171">
        <f>MAX(K$1232:K1426)+1</f>
        <v>196</v>
      </c>
      <c r="L1427" s="172">
        <f t="shared" si="153"/>
        <v>1</v>
      </c>
      <c r="M1427" s="152"/>
      <c r="N1427" s="153"/>
      <c r="O1427" s="153"/>
      <c r="P1427" s="153"/>
      <c r="Q1427" s="153"/>
      <c r="R1427" s="153"/>
      <c r="S1427" s="154">
        <f t="shared" si="150"/>
        <v>0</v>
      </c>
      <c r="T1427" s="153"/>
      <c r="U1427" s="169">
        <f t="shared" si="152"/>
        <v>0</v>
      </c>
      <c r="V1427" s="156"/>
      <c r="W1427" s="158"/>
      <c r="X1427" s="158"/>
      <c r="Y1427" s="158"/>
      <c r="Z1427" s="153"/>
      <c r="AA1427" s="159" t="s">
        <v>278</v>
      </c>
      <c r="AB1427" s="160"/>
      <c r="AC1427" s="174">
        <f t="shared" si="151"/>
        <v>0</v>
      </c>
    </row>
    <row r="1428" spans="10:29" ht="12.5">
      <c r="J1428" s="149"/>
      <c r="K1428" s="171">
        <f>MAX(K$1232:K1427)+1</f>
        <v>197</v>
      </c>
      <c r="L1428" s="172">
        <f t="shared" si="153"/>
        <v>1</v>
      </c>
      <c r="M1428" s="152"/>
      <c r="N1428" s="153"/>
      <c r="O1428" s="153"/>
      <c r="P1428" s="153"/>
      <c r="Q1428" s="153"/>
      <c r="R1428" s="153"/>
      <c r="S1428" s="154">
        <f t="shared" si="150"/>
        <v>0</v>
      </c>
      <c r="T1428" s="153"/>
      <c r="U1428" s="169">
        <f t="shared" si="152"/>
        <v>0</v>
      </c>
      <c r="V1428" s="156"/>
      <c r="W1428" s="158"/>
      <c r="X1428" s="158"/>
      <c r="Y1428" s="158"/>
      <c r="Z1428" s="153"/>
      <c r="AA1428" s="159" t="s">
        <v>278</v>
      </c>
      <c r="AB1428" s="160"/>
      <c r="AC1428" s="174">
        <f t="shared" si="151"/>
        <v>0</v>
      </c>
    </row>
    <row r="1429" spans="10:29" ht="12.5">
      <c r="J1429" s="149"/>
      <c r="K1429" s="171">
        <f>MAX(K$1232:K1428)+1</f>
        <v>198</v>
      </c>
      <c r="L1429" s="172">
        <f t="shared" si="153"/>
        <v>1</v>
      </c>
      <c r="M1429" s="152"/>
      <c r="N1429" s="153"/>
      <c r="O1429" s="153"/>
      <c r="P1429" s="153"/>
      <c r="Q1429" s="153"/>
      <c r="R1429" s="153"/>
      <c r="S1429" s="154">
        <f t="shared" si="150"/>
        <v>0</v>
      </c>
      <c r="T1429" s="153"/>
      <c r="U1429" s="169">
        <f t="shared" si="152"/>
        <v>0</v>
      </c>
      <c r="V1429" s="156"/>
      <c r="W1429" s="158"/>
      <c r="X1429" s="158"/>
      <c r="Y1429" s="158"/>
      <c r="Z1429" s="153"/>
      <c r="AA1429" s="159" t="s">
        <v>278</v>
      </c>
      <c r="AB1429" s="160"/>
      <c r="AC1429" s="174">
        <f t="shared" si="151"/>
        <v>0</v>
      </c>
    </row>
    <row r="1430" spans="10:29" ht="12.5">
      <c r="J1430" s="149"/>
      <c r="K1430" s="171">
        <f>MAX(K$1232:K1429)+1</f>
        <v>199</v>
      </c>
      <c r="L1430" s="172">
        <f t="shared" si="153"/>
        <v>1</v>
      </c>
      <c r="M1430" s="152"/>
      <c r="N1430" s="153"/>
      <c r="O1430" s="153"/>
      <c r="P1430" s="153"/>
      <c r="Q1430" s="153"/>
      <c r="R1430" s="153"/>
      <c r="S1430" s="154">
        <f t="shared" si="150"/>
        <v>0</v>
      </c>
      <c r="T1430" s="153"/>
      <c r="U1430" s="169">
        <f t="shared" si="152"/>
        <v>0</v>
      </c>
      <c r="V1430" s="156"/>
      <c r="W1430" s="158"/>
      <c r="X1430" s="158"/>
      <c r="Y1430" s="158"/>
      <c r="Z1430" s="153"/>
      <c r="AA1430" s="159" t="s">
        <v>278</v>
      </c>
      <c r="AB1430" s="160"/>
      <c r="AC1430" s="174">
        <f t="shared" si="151"/>
        <v>0</v>
      </c>
    </row>
    <row r="1431" spans="10:29" ht="12.5">
      <c r="J1431" s="149"/>
      <c r="K1431" s="171">
        <f>MAX(K$1232:K1430)+1</f>
        <v>200</v>
      </c>
      <c r="L1431" s="172">
        <f t="shared" si="153"/>
        <v>1</v>
      </c>
      <c r="M1431" s="152"/>
      <c r="N1431" s="153"/>
      <c r="O1431" s="153"/>
      <c r="P1431" s="153"/>
      <c r="Q1431" s="153"/>
      <c r="R1431" s="153"/>
      <c r="S1431" s="154">
        <f t="shared" si="150"/>
        <v>0</v>
      </c>
      <c r="T1431" s="153"/>
      <c r="U1431" s="169">
        <f t="shared" si="152"/>
        <v>0</v>
      </c>
      <c r="V1431" s="156"/>
      <c r="W1431" s="158"/>
      <c r="X1431" s="158"/>
      <c r="Y1431" s="158"/>
      <c r="Z1431" s="153"/>
      <c r="AA1431" s="159" t="s">
        <v>278</v>
      </c>
      <c r="AB1431" s="160"/>
      <c r="AC1431" s="174">
        <f t="shared" si="151"/>
        <v>0</v>
      </c>
    </row>
    <row r="1432" spans="10:29" ht="12.5" hidden="1">
      <c r="J1432" s="149"/>
      <c r="K1432" s="171">
        <f>MAX(K$1232:K1431)+1</f>
        <v>201</v>
      </c>
      <c r="L1432" s="172">
        <f t="shared" si="153"/>
        <v>1</v>
      </c>
      <c r="M1432" s="152" t="s">
        <v>325</v>
      </c>
      <c r="N1432" s="153"/>
      <c r="O1432" s="153"/>
      <c r="P1432" s="153"/>
      <c r="Q1432" s="153"/>
      <c r="R1432" s="153"/>
      <c r="S1432" s="154">
        <f t="shared" si="150"/>
        <v>0</v>
      </c>
      <c r="T1432" s="153"/>
      <c r="U1432" s="169">
        <f t="shared" si="152"/>
        <v>0</v>
      </c>
      <c r="V1432" s="156"/>
      <c r="W1432" s="158"/>
      <c r="X1432" s="158"/>
      <c r="Y1432" s="158"/>
      <c r="Z1432" s="153"/>
      <c r="AA1432" s="159" t="s">
        <v>278</v>
      </c>
      <c r="AB1432" s="160"/>
      <c r="AC1432" s="174">
        <f t="shared" si="151"/>
        <v>0</v>
      </c>
    </row>
    <row r="1433" spans="10:29" ht="12.5" hidden="1">
      <c r="J1433" s="149"/>
      <c r="K1433" s="171">
        <f>MAX(K$1232:K1432)+1</f>
        <v>202</v>
      </c>
      <c r="L1433" s="172">
        <f t="shared" si="153"/>
        <v>1</v>
      </c>
      <c r="M1433" s="152" t="s">
        <v>326</v>
      </c>
      <c r="N1433" s="153"/>
      <c r="O1433" s="153"/>
      <c r="P1433" s="153"/>
      <c r="Q1433" s="153"/>
      <c r="R1433" s="153"/>
      <c r="S1433" s="154">
        <f t="shared" si="150"/>
        <v>0</v>
      </c>
      <c r="T1433" s="153"/>
      <c r="U1433" s="169">
        <f t="shared" si="152"/>
        <v>0</v>
      </c>
      <c r="V1433" s="156"/>
      <c r="W1433" s="158"/>
      <c r="X1433" s="158"/>
      <c r="Y1433" s="158"/>
      <c r="Z1433" s="153"/>
      <c r="AA1433" s="159" t="s">
        <v>278</v>
      </c>
      <c r="AB1433" s="160"/>
      <c r="AC1433" s="174">
        <f t="shared" si="151"/>
        <v>0</v>
      </c>
    </row>
    <row r="1434" spans="10:29" ht="12.5" hidden="1">
      <c r="J1434" s="149"/>
      <c r="K1434" s="171">
        <f>MAX(K$1232:K1433)+1</f>
        <v>203</v>
      </c>
      <c r="L1434" s="172">
        <f t="shared" si="153"/>
        <v>1</v>
      </c>
      <c r="M1434" s="152" t="s">
        <v>327</v>
      </c>
      <c r="N1434" s="153"/>
      <c r="O1434" s="153"/>
      <c r="P1434" s="153"/>
      <c r="Q1434" s="153"/>
      <c r="R1434" s="153"/>
      <c r="S1434" s="154">
        <f t="shared" ref="S1434:S1497" si="154">SUM(N1434:R1434)</f>
        <v>0</v>
      </c>
      <c r="T1434" s="153"/>
      <c r="U1434" s="169">
        <f t="shared" si="152"/>
        <v>0</v>
      </c>
      <c r="V1434" s="156"/>
      <c r="W1434" s="158"/>
      <c r="X1434" s="158"/>
      <c r="Y1434" s="158"/>
      <c r="Z1434" s="153"/>
      <c r="AA1434" s="159" t="s">
        <v>278</v>
      </c>
      <c r="AB1434" s="160"/>
      <c r="AC1434" s="174">
        <f t="shared" ref="AC1434:AC1497" si="155">INDEX(Y1434:Z1434,1,MATCH(_WellBasketSelection,$Y$1231:$Z$1231,0))*U1434</f>
        <v>0</v>
      </c>
    </row>
    <row r="1435" spans="10:29" ht="12.5" hidden="1">
      <c r="J1435" s="149"/>
      <c r="K1435" s="171">
        <f>MAX(K$1232:K1434)+1</f>
        <v>204</v>
      </c>
      <c r="L1435" s="172">
        <f t="shared" si="153"/>
        <v>1</v>
      </c>
      <c r="M1435" s="152" t="s">
        <v>328</v>
      </c>
      <c r="N1435" s="153"/>
      <c r="O1435" s="153"/>
      <c r="P1435" s="153"/>
      <c r="Q1435" s="153"/>
      <c r="R1435" s="153"/>
      <c r="S1435" s="154">
        <f t="shared" si="154"/>
        <v>0</v>
      </c>
      <c r="T1435" s="153"/>
      <c r="U1435" s="169">
        <f t="shared" si="152"/>
        <v>0</v>
      </c>
      <c r="V1435" s="156"/>
      <c r="W1435" s="158"/>
      <c r="X1435" s="158"/>
      <c r="Y1435" s="158"/>
      <c r="Z1435" s="153"/>
      <c r="AA1435" s="159" t="s">
        <v>278</v>
      </c>
      <c r="AB1435" s="160"/>
      <c r="AC1435" s="174">
        <f t="shared" si="155"/>
        <v>0</v>
      </c>
    </row>
    <row r="1436" spans="10:29" ht="12.5" hidden="1">
      <c r="J1436" s="149"/>
      <c r="K1436" s="171">
        <f>MAX(K$1232:K1435)+1</f>
        <v>205</v>
      </c>
      <c r="L1436" s="172">
        <f t="shared" si="153"/>
        <v>1</v>
      </c>
      <c r="M1436" s="152" t="s">
        <v>329</v>
      </c>
      <c r="N1436" s="153"/>
      <c r="O1436" s="153"/>
      <c r="P1436" s="153"/>
      <c r="Q1436" s="153"/>
      <c r="R1436" s="153"/>
      <c r="S1436" s="154">
        <f t="shared" si="154"/>
        <v>0</v>
      </c>
      <c r="T1436" s="153"/>
      <c r="U1436" s="169">
        <f t="shared" si="152"/>
        <v>0</v>
      </c>
      <c r="V1436" s="156"/>
      <c r="W1436" s="158"/>
      <c r="X1436" s="158"/>
      <c r="Y1436" s="158"/>
      <c r="Z1436" s="153"/>
      <c r="AA1436" s="159" t="s">
        <v>278</v>
      </c>
      <c r="AB1436" s="160"/>
      <c r="AC1436" s="174">
        <f t="shared" si="155"/>
        <v>0</v>
      </c>
    </row>
    <row r="1437" spans="10:29" ht="12.5" hidden="1">
      <c r="J1437" s="149"/>
      <c r="K1437" s="171">
        <f>MAX(K$1232:K1436)+1</f>
        <v>206</v>
      </c>
      <c r="L1437" s="172">
        <f t="shared" si="153"/>
        <v>1</v>
      </c>
      <c r="M1437" s="152" t="s">
        <v>330</v>
      </c>
      <c r="N1437" s="153"/>
      <c r="O1437" s="153"/>
      <c r="P1437" s="153"/>
      <c r="Q1437" s="153"/>
      <c r="R1437" s="153"/>
      <c r="S1437" s="154">
        <f t="shared" si="154"/>
        <v>0</v>
      </c>
      <c r="T1437" s="153"/>
      <c r="U1437" s="169">
        <f t="shared" si="152"/>
        <v>0</v>
      </c>
      <c r="V1437" s="156"/>
      <c r="W1437" s="158"/>
      <c r="X1437" s="158"/>
      <c r="Y1437" s="158"/>
      <c r="Z1437" s="153"/>
      <c r="AA1437" s="159" t="s">
        <v>278</v>
      </c>
      <c r="AB1437" s="160"/>
      <c r="AC1437" s="174">
        <f t="shared" si="155"/>
        <v>0</v>
      </c>
    </row>
    <row r="1438" spans="10:29" ht="12.5" hidden="1">
      <c r="J1438" s="149"/>
      <c r="K1438" s="171">
        <f>MAX(K$1232:K1437)+1</f>
        <v>207</v>
      </c>
      <c r="L1438" s="172">
        <f t="shared" si="153"/>
        <v>1</v>
      </c>
      <c r="M1438" s="152" t="s">
        <v>331</v>
      </c>
      <c r="N1438" s="153"/>
      <c r="O1438" s="153"/>
      <c r="P1438" s="153"/>
      <c r="Q1438" s="153"/>
      <c r="R1438" s="153"/>
      <c r="S1438" s="154">
        <f t="shared" si="154"/>
        <v>0</v>
      </c>
      <c r="T1438" s="153"/>
      <c r="U1438" s="169">
        <f t="shared" si="152"/>
        <v>0</v>
      </c>
      <c r="V1438" s="156"/>
      <c r="W1438" s="158"/>
      <c r="X1438" s="158"/>
      <c r="Y1438" s="158"/>
      <c r="Z1438" s="153"/>
      <c r="AA1438" s="159" t="s">
        <v>278</v>
      </c>
      <c r="AB1438" s="160"/>
      <c r="AC1438" s="174">
        <f t="shared" si="155"/>
        <v>0</v>
      </c>
    </row>
    <row r="1439" spans="10:29" ht="12.5" hidden="1">
      <c r="J1439" s="149"/>
      <c r="K1439" s="171">
        <f>MAX(K$1232:K1438)+1</f>
        <v>208</v>
      </c>
      <c r="L1439" s="172">
        <f t="shared" si="153"/>
        <v>1</v>
      </c>
      <c r="M1439" s="152" t="s">
        <v>332</v>
      </c>
      <c r="N1439" s="153"/>
      <c r="O1439" s="153"/>
      <c r="P1439" s="153"/>
      <c r="Q1439" s="153"/>
      <c r="R1439" s="153"/>
      <c r="S1439" s="154">
        <f t="shared" si="154"/>
        <v>0</v>
      </c>
      <c r="T1439" s="153"/>
      <c r="U1439" s="169">
        <f t="shared" si="152"/>
        <v>0</v>
      </c>
      <c r="V1439" s="156"/>
      <c r="W1439" s="158"/>
      <c r="X1439" s="158"/>
      <c r="Y1439" s="158"/>
      <c r="Z1439" s="153"/>
      <c r="AA1439" s="159" t="s">
        <v>278</v>
      </c>
      <c r="AB1439" s="160"/>
      <c r="AC1439" s="174">
        <f t="shared" si="155"/>
        <v>0</v>
      </c>
    </row>
    <row r="1440" spans="10:29" ht="12.5" hidden="1">
      <c r="J1440" s="149"/>
      <c r="K1440" s="171">
        <f>MAX(K$1232:K1439)+1</f>
        <v>209</v>
      </c>
      <c r="L1440" s="172">
        <f t="shared" si="153"/>
        <v>1</v>
      </c>
      <c r="M1440" s="152" t="s">
        <v>333</v>
      </c>
      <c r="N1440" s="153"/>
      <c r="O1440" s="153"/>
      <c r="P1440" s="153"/>
      <c r="Q1440" s="153"/>
      <c r="R1440" s="153"/>
      <c r="S1440" s="154">
        <f t="shared" si="154"/>
        <v>0</v>
      </c>
      <c r="T1440" s="153"/>
      <c r="U1440" s="169">
        <f t="shared" si="152"/>
        <v>0</v>
      </c>
      <c r="V1440" s="156"/>
      <c r="W1440" s="158"/>
      <c r="X1440" s="158"/>
      <c r="Y1440" s="158"/>
      <c r="Z1440" s="153"/>
      <c r="AA1440" s="159" t="s">
        <v>278</v>
      </c>
      <c r="AB1440" s="160"/>
      <c r="AC1440" s="174">
        <f t="shared" si="155"/>
        <v>0</v>
      </c>
    </row>
    <row r="1441" spans="10:29" ht="12.5" hidden="1">
      <c r="J1441" s="149"/>
      <c r="K1441" s="171">
        <f>MAX(K$1232:K1440)+1</f>
        <v>210</v>
      </c>
      <c r="L1441" s="172">
        <f t="shared" si="153"/>
        <v>1</v>
      </c>
      <c r="M1441" s="152" t="s">
        <v>334</v>
      </c>
      <c r="N1441" s="153"/>
      <c r="O1441" s="153"/>
      <c r="P1441" s="153"/>
      <c r="Q1441" s="153"/>
      <c r="R1441" s="153"/>
      <c r="S1441" s="154">
        <f t="shared" si="154"/>
        <v>0</v>
      </c>
      <c r="T1441" s="153"/>
      <c r="U1441" s="169">
        <f t="shared" si="152"/>
        <v>0</v>
      </c>
      <c r="V1441" s="156"/>
      <c r="W1441" s="158"/>
      <c r="X1441" s="158"/>
      <c r="Y1441" s="158"/>
      <c r="Z1441" s="153"/>
      <c r="AA1441" s="159" t="s">
        <v>278</v>
      </c>
      <c r="AB1441" s="160"/>
      <c r="AC1441" s="174">
        <f t="shared" si="155"/>
        <v>0</v>
      </c>
    </row>
    <row r="1442" spans="10:29" ht="12.5" hidden="1">
      <c r="J1442" s="149"/>
      <c r="K1442" s="171">
        <f>MAX(K$1232:K1441)+1</f>
        <v>211</v>
      </c>
      <c r="L1442" s="172">
        <f t="shared" si="153"/>
        <v>1</v>
      </c>
      <c r="M1442" s="152" t="s">
        <v>335</v>
      </c>
      <c r="N1442" s="153"/>
      <c r="O1442" s="153"/>
      <c r="P1442" s="153"/>
      <c r="Q1442" s="153"/>
      <c r="R1442" s="153"/>
      <c r="S1442" s="154">
        <f t="shared" si="154"/>
        <v>0</v>
      </c>
      <c r="T1442" s="153"/>
      <c r="U1442" s="169">
        <f t="shared" si="152"/>
        <v>0</v>
      </c>
      <c r="V1442" s="156"/>
      <c r="W1442" s="158"/>
      <c r="X1442" s="158"/>
      <c r="Y1442" s="158"/>
      <c r="Z1442" s="153"/>
      <c r="AA1442" s="159" t="s">
        <v>278</v>
      </c>
      <c r="AB1442" s="160"/>
      <c r="AC1442" s="174">
        <f t="shared" si="155"/>
        <v>0</v>
      </c>
    </row>
    <row r="1443" spans="10:29" ht="12.5" hidden="1">
      <c r="J1443" s="149"/>
      <c r="K1443" s="171">
        <f>MAX(K$1232:K1442)+1</f>
        <v>212</v>
      </c>
      <c r="L1443" s="172">
        <f t="shared" si="153"/>
        <v>1</v>
      </c>
      <c r="M1443" s="152" t="s">
        <v>336</v>
      </c>
      <c r="N1443" s="153"/>
      <c r="O1443" s="153"/>
      <c r="P1443" s="153"/>
      <c r="Q1443" s="153"/>
      <c r="R1443" s="153"/>
      <c r="S1443" s="154">
        <f t="shared" si="154"/>
        <v>0</v>
      </c>
      <c r="T1443" s="153"/>
      <c r="U1443" s="169">
        <f t="shared" si="152"/>
        <v>0</v>
      </c>
      <c r="V1443" s="156"/>
      <c r="W1443" s="158"/>
      <c r="X1443" s="158"/>
      <c r="Y1443" s="158"/>
      <c r="Z1443" s="153"/>
      <c r="AA1443" s="159" t="s">
        <v>278</v>
      </c>
      <c r="AB1443" s="160"/>
      <c r="AC1443" s="174">
        <f t="shared" si="155"/>
        <v>0</v>
      </c>
    </row>
    <row r="1444" spans="10:29" ht="12.5" hidden="1">
      <c r="J1444" s="149"/>
      <c r="K1444" s="171">
        <f>MAX(K$1232:K1443)+1</f>
        <v>213</v>
      </c>
      <c r="L1444" s="172">
        <f t="shared" si="153"/>
        <v>1</v>
      </c>
      <c r="M1444" s="152" t="s">
        <v>337</v>
      </c>
      <c r="N1444" s="153"/>
      <c r="O1444" s="153"/>
      <c r="P1444" s="153"/>
      <c r="Q1444" s="153"/>
      <c r="R1444" s="153"/>
      <c r="S1444" s="154">
        <f t="shared" si="154"/>
        <v>0</v>
      </c>
      <c r="T1444" s="153"/>
      <c r="U1444" s="169">
        <f t="shared" si="152"/>
        <v>0</v>
      </c>
      <c r="V1444" s="156"/>
      <c r="W1444" s="158"/>
      <c r="X1444" s="158"/>
      <c r="Y1444" s="158"/>
      <c r="Z1444" s="153"/>
      <c r="AA1444" s="159" t="s">
        <v>278</v>
      </c>
      <c r="AB1444" s="160"/>
      <c r="AC1444" s="174">
        <f t="shared" si="155"/>
        <v>0</v>
      </c>
    </row>
    <row r="1445" spans="10:29" ht="12.5" hidden="1">
      <c r="J1445" s="149"/>
      <c r="K1445" s="171">
        <f>MAX(K$1232:K1444)+1</f>
        <v>214</v>
      </c>
      <c r="L1445" s="172">
        <f t="shared" si="153"/>
        <v>1</v>
      </c>
      <c r="M1445" s="152" t="s">
        <v>338</v>
      </c>
      <c r="N1445" s="153"/>
      <c r="O1445" s="153"/>
      <c r="P1445" s="153"/>
      <c r="Q1445" s="153"/>
      <c r="R1445" s="153"/>
      <c r="S1445" s="154">
        <f t="shared" si="154"/>
        <v>0</v>
      </c>
      <c r="T1445" s="153"/>
      <c r="U1445" s="169">
        <f t="shared" si="152"/>
        <v>0</v>
      </c>
      <c r="V1445" s="156"/>
      <c r="W1445" s="158"/>
      <c r="X1445" s="158"/>
      <c r="Y1445" s="158"/>
      <c r="Z1445" s="153"/>
      <c r="AA1445" s="159" t="s">
        <v>278</v>
      </c>
      <c r="AB1445" s="160"/>
      <c r="AC1445" s="174">
        <f t="shared" si="155"/>
        <v>0</v>
      </c>
    </row>
    <row r="1446" spans="10:29" ht="12.5" hidden="1">
      <c r="J1446" s="149"/>
      <c r="K1446" s="171">
        <f>MAX(K$1232:K1445)+1</f>
        <v>215</v>
      </c>
      <c r="L1446" s="172">
        <f t="shared" si="153"/>
        <v>1</v>
      </c>
      <c r="M1446" s="152" t="s">
        <v>339</v>
      </c>
      <c r="N1446" s="153"/>
      <c r="O1446" s="153"/>
      <c r="P1446" s="153"/>
      <c r="Q1446" s="153"/>
      <c r="R1446" s="153"/>
      <c r="S1446" s="154">
        <f t="shared" si="154"/>
        <v>0</v>
      </c>
      <c r="T1446" s="153"/>
      <c r="U1446" s="169">
        <f t="shared" si="152"/>
        <v>0</v>
      </c>
      <c r="V1446" s="156"/>
      <c r="W1446" s="158"/>
      <c r="X1446" s="158"/>
      <c r="Y1446" s="158"/>
      <c r="Z1446" s="153"/>
      <c r="AA1446" s="159" t="s">
        <v>278</v>
      </c>
      <c r="AB1446" s="160"/>
      <c r="AC1446" s="174">
        <f t="shared" si="155"/>
        <v>0</v>
      </c>
    </row>
    <row r="1447" spans="10:29" ht="12.5" hidden="1">
      <c r="J1447" s="149"/>
      <c r="K1447" s="171">
        <f>MAX(K$1232:K1446)+1</f>
        <v>216</v>
      </c>
      <c r="L1447" s="172">
        <f t="shared" si="153"/>
        <v>1</v>
      </c>
      <c r="M1447" s="152" t="s">
        <v>340</v>
      </c>
      <c r="N1447" s="153"/>
      <c r="O1447" s="153"/>
      <c r="P1447" s="153"/>
      <c r="Q1447" s="153"/>
      <c r="R1447" s="153"/>
      <c r="S1447" s="154">
        <f t="shared" si="154"/>
        <v>0</v>
      </c>
      <c r="T1447" s="153"/>
      <c r="U1447" s="169">
        <f t="shared" si="152"/>
        <v>0</v>
      </c>
      <c r="V1447" s="156"/>
      <c r="W1447" s="158"/>
      <c r="X1447" s="158"/>
      <c r="Y1447" s="158"/>
      <c r="Z1447" s="153"/>
      <c r="AA1447" s="159" t="s">
        <v>278</v>
      </c>
      <c r="AB1447" s="160"/>
      <c r="AC1447" s="174">
        <f t="shared" si="155"/>
        <v>0</v>
      </c>
    </row>
    <row r="1448" spans="10:29" ht="12.5" hidden="1">
      <c r="J1448" s="149"/>
      <c r="K1448" s="171">
        <f>MAX(K$1232:K1447)+1</f>
        <v>217</v>
      </c>
      <c r="L1448" s="172">
        <f t="shared" si="153"/>
        <v>1</v>
      </c>
      <c r="M1448" s="152" t="s">
        <v>341</v>
      </c>
      <c r="N1448" s="153"/>
      <c r="O1448" s="153"/>
      <c r="P1448" s="153"/>
      <c r="Q1448" s="153"/>
      <c r="R1448" s="153"/>
      <c r="S1448" s="154">
        <f t="shared" si="154"/>
        <v>0</v>
      </c>
      <c r="T1448" s="153"/>
      <c r="U1448" s="169">
        <f t="shared" si="152"/>
        <v>0</v>
      </c>
      <c r="V1448" s="156"/>
      <c r="W1448" s="158"/>
      <c r="X1448" s="158"/>
      <c r="Y1448" s="158"/>
      <c r="Z1448" s="153"/>
      <c r="AA1448" s="159" t="s">
        <v>278</v>
      </c>
      <c r="AB1448" s="160"/>
      <c r="AC1448" s="174">
        <f t="shared" si="155"/>
        <v>0</v>
      </c>
    </row>
    <row r="1449" spans="10:29" ht="12.5" hidden="1">
      <c r="J1449" s="149"/>
      <c r="K1449" s="171">
        <f>MAX(K$1232:K1448)+1</f>
        <v>218</v>
      </c>
      <c r="L1449" s="172">
        <f t="shared" si="153"/>
        <v>1</v>
      </c>
      <c r="M1449" s="152" t="s">
        <v>342</v>
      </c>
      <c r="N1449" s="153"/>
      <c r="O1449" s="153"/>
      <c r="P1449" s="153"/>
      <c r="Q1449" s="153"/>
      <c r="R1449" s="153"/>
      <c r="S1449" s="154">
        <f t="shared" si="154"/>
        <v>0</v>
      </c>
      <c r="T1449" s="153"/>
      <c r="U1449" s="169">
        <f t="shared" si="152"/>
        <v>0</v>
      </c>
      <c r="V1449" s="156"/>
      <c r="W1449" s="158"/>
      <c r="X1449" s="158"/>
      <c r="Y1449" s="158"/>
      <c r="Z1449" s="153"/>
      <c r="AA1449" s="159" t="s">
        <v>278</v>
      </c>
      <c r="AB1449" s="160"/>
      <c r="AC1449" s="174">
        <f t="shared" si="155"/>
        <v>0</v>
      </c>
    </row>
    <row r="1450" spans="10:29" ht="12.5" hidden="1">
      <c r="J1450" s="149"/>
      <c r="K1450" s="171">
        <f>MAX(K$1232:K1449)+1</f>
        <v>219</v>
      </c>
      <c r="L1450" s="172">
        <f t="shared" si="153"/>
        <v>1</v>
      </c>
      <c r="M1450" s="152" t="s">
        <v>343</v>
      </c>
      <c r="N1450" s="153"/>
      <c r="O1450" s="153"/>
      <c r="P1450" s="153"/>
      <c r="Q1450" s="153"/>
      <c r="R1450" s="153"/>
      <c r="S1450" s="154">
        <f t="shared" si="154"/>
        <v>0</v>
      </c>
      <c r="T1450" s="153"/>
      <c r="U1450" s="169">
        <f t="shared" ref="U1450:U1513" si="156">T1450+S1450</f>
        <v>0</v>
      </c>
      <c r="V1450" s="156"/>
      <c r="W1450" s="158"/>
      <c r="X1450" s="158"/>
      <c r="Y1450" s="158"/>
      <c r="Z1450" s="153"/>
      <c r="AA1450" s="159" t="s">
        <v>278</v>
      </c>
      <c r="AB1450" s="160"/>
      <c r="AC1450" s="174">
        <f t="shared" si="155"/>
        <v>0</v>
      </c>
    </row>
    <row r="1451" spans="10:29" ht="12.5" hidden="1">
      <c r="J1451" s="149"/>
      <c r="K1451" s="171">
        <f>MAX(K$1232:K1450)+1</f>
        <v>220</v>
      </c>
      <c r="L1451" s="172">
        <f t="shared" si="153"/>
        <v>1</v>
      </c>
      <c r="M1451" s="152" t="s">
        <v>344</v>
      </c>
      <c r="N1451" s="153"/>
      <c r="O1451" s="153"/>
      <c r="P1451" s="153"/>
      <c r="Q1451" s="153"/>
      <c r="R1451" s="153"/>
      <c r="S1451" s="154">
        <f t="shared" si="154"/>
        <v>0</v>
      </c>
      <c r="T1451" s="153"/>
      <c r="U1451" s="169">
        <f t="shared" si="156"/>
        <v>0</v>
      </c>
      <c r="V1451" s="156"/>
      <c r="W1451" s="158"/>
      <c r="X1451" s="158"/>
      <c r="Y1451" s="158"/>
      <c r="Z1451" s="153"/>
      <c r="AA1451" s="159" t="s">
        <v>278</v>
      </c>
      <c r="AB1451" s="160"/>
      <c r="AC1451" s="174">
        <f t="shared" si="155"/>
        <v>0</v>
      </c>
    </row>
    <row r="1452" spans="10:29" ht="12.5" hidden="1">
      <c r="J1452" s="149"/>
      <c r="K1452" s="171">
        <f>MAX(K$1232:K1451)+1</f>
        <v>221</v>
      </c>
      <c r="L1452" s="172">
        <f t="shared" si="153"/>
        <v>1</v>
      </c>
      <c r="M1452" s="152" t="s">
        <v>345</v>
      </c>
      <c r="N1452" s="153"/>
      <c r="O1452" s="153"/>
      <c r="P1452" s="153"/>
      <c r="Q1452" s="153"/>
      <c r="R1452" s="153"/>
      <c r="S1452" s="154">
        <f t="shared" si="154"/>
        <v>0</v>
      </c>
      <c r="T1452" s="153"/>
      <c r="U1452" s="169">
        <f t="shared" si="156"/>
        <v>0</v>
      </c>
      <c r="V1452" s="156"/>
      <c r="W1452" s="158"/>
      <c r="X1452" s="158"/>
      <c r="Y1452" s="158"/>
      <c r="Z1452" s="153"/>
      <c r="AA1452" s="159" t="s">
        <v>278</v>
      </c>
      <c r="AB1452" s="160"/>
      <c r="AC1452" s="174">
        <f t="shared" si="155"/>
        <v>0</v>
      </c>
    </row>
    <row r="1453" spans="10:29" ht="12.5" hidden="1">
      <c r="J1453" s="149"/>
      <c r="K1453" s="171">
        <f>MAX(K$1232:K1452)+1</f>
        <v>222</v>
      </c>
      <c r="L1453" s="172">
        <f t="shared" si="153"/>
        <v>1</v>
      </c>
      <c r="M1453" s="152" t="s">
        <v>346</v>
      </c>
      <c r="N1453" s="153"/>
      <c r="O1453" s="153"/>
      <c r="P1453" s="153"/>
      <c r="Q1453" s="153"/>
      <c r="R1453" s="153"/>
      <c r="S1453" s="154">
        <f t="shared" si="154"/>
        <v>0</v>
      </c>
      <c r="T1453" s="153"/>
      <c r="U1453" s="169">
        <f t="shared" si="156"/>
        <v>0</v>
      </c>
      <c r="V1453" s="156"/>
      <c r="W1453" s="158"/>
      <c r="X1453" s="158"/>
      <c r="Y1453" s="158"/>
      <c r="Z1453" s="153"/>
      <c r="AA1453" s="159" t="s">
        <v>278</v>
      </c>
      <c r="AB1453" s="160"/>
      <c r="AC1453" s="174">
        <f t="shared" si="155"/>
        <v>0</v>
      </c>
    </row>
    <row r="1454" spans="10:29" ht="12.5" hidden="1">
      <c r="J1454" s="149"/>
      <c r="K1454" s="171">
        <f>MAX(K$1232:K1453)+1</f>
        <v>223</v>
      </c>
      <c r="L1454" s="172">
        <f t="shared" si="153"/>
        <v>1</v>
      </c>
      <c r="M1454" s="152" t="s">
        <v>347</v>
      </c>
      <c r="N1454" s="153"/>
      <c r="O1454" s="153"/>
      <c r="P1454" s="153"/>
      <c r="Q1454" s="153"/>
      <c r="R1454" s="153"/>
      <c r="S1454" s="154">
        <f t="shared" si="154"/>
        <v>0</v>
      </c>
      <c r="T1454" s="153"/>
      <c r="U1454" s="169">
        <f t="shared" si="156"/>
        <v>0</v>
      </c>
      <c r="V1454" s="156"/>
      <c r="W1454" s="158"/>
      <c r="X1454" s="158"/>
      <c r="Y1454" s="158"/>
      <c r="Z1454" s="153"/>
      <c r="AA1454" s="159" t="s">
        <v>278</v>
      </c>
      <c r="AB1454" s="160"/>
      <c r="AC1454" s="174">
        <f t="shared" si="155"/>
        <v>0</v>
      </c>
    </row>
    <row r="1455" spans="10:29" ht="12.5" hidden="1">
      <c r="J1455" s="149"/>
      <c r="K1455" s="171">
        <f>MAX(K$1232:K1454)+1</f>
        <v>224</v>
      </c>
      <c r="L1455" s="172">
        <f t="shared" si="153"/>
        <v>1</v>
      </c>
      <c r="M1455" s="152" t="s">
        <v>348</v>
      </c>
      <c r="N1455" s="153"/>
      <c r="O1455" s="153"/>
      <c r="P1455" s="153"/>
      <c r="Q1455" s="153"/>
      <c r="R1455" s="153"/>
      <c r="S1455" s="154">
        <f t="shared" si="154"/>
        <v>0</v>
      </c>
      <c r="T1455" s="153"/>
      <c r="U1455" s="169">
        <f t="shared" si="156"/>
        <v>0</v>
      </c>
      <c r="V1455" s="156"/>
      <c r="W1455" s="158"/>
      <c r="X1455" s="158"/>
      <c r="Y1455" s="158"/>
      <c r="Z1455" s="153"/>
      <c r="AA1455" s="159" t="s">
        <v>278</v>
      </c>
      <c r="AB1455" s="160"/>
      <c r="AC1455" s="174">
        <f t="shared" si="155"/>
        <v>0</v>
      </c>
    </row>
    <row r="1456" spans="10:29" ht="12.5" hidden="1">
      <c r="J1456" s="149"/>
      <c r="K1456" s="171">
        <f>MAX(K$1232:K1455)+1</f>
        <v>225</v>
      </c>
      <c r="L1456" s="172">
        <f t="shared" si="153"/>
        <v>1</v>
      </c>
      <c r="M1456" s="152" t="s">
        <v>349</v>
      </c>
      <c r="N1456" s="153"/>
      <c r="O1456" s="153"/>
      <c r="P1456" s="153"/>
      <c r="Q1456" s="153"/>
      <c r="R1456" s="153"/>
      <c r="S1456" s="154">
        <f t="shared" si="154"/>
        <v>0</v>
      </c>
      <c r="T1456" s="153"/>
      <c r="U1456" s="169">
        <f t="shared" si="156"/>
        <v>0</v>
      </c>
      <c r="V1456" s="156"/>
      <c r="W1456" s="158"/>
      <c r="X1456" s="158"/>
      <c r="Y1456" s="158"/>
      <c r="Z1456" s="153"/>
      <c r="AA1456" s="159" t="s">
        <v>278</v>
      </c>
      <c r="AB1456" s="160"/>
      <c r="AC1456" s="174">
        <f t="shared" si="155"/>
        <v>0</v>
      </c>
    </row>
    <row r="1457" spans="10:29" ht="12.5" hidden="1">
      <c r="J1457" s="149"/>
      <c r="K1457" s="171">
        <f>MAX(K$1232:K1456)+1</f>
        <v>226</v>
      </c>
      <c r="L1457" s="172">
        <f t="shared" si="153"/>
        <v>1</v>
      </c>
      <c r="M1457" s="152" t="s">
        <v>350</v>
      </c>
      <c r="N1457" s="153"/>
      <c r="O1457" s="153"/>
      <c r="P1457" s="153"/>
      <c r="Q1457" s="153"/>
      <c r="R1457" s="153"/>
      <c r="S1457" s="154">
        <f t="shared" si="154"/>
        <v>0</v>
      </c>
      <c r="T1457" s="153"/>
      <c r="U1457" s="169">
        <f t="shared" si="156"/>
        <v>0</v>
      </c>
      <c r="V1457" s="156"/>
      <c r="W1457" s="158"/>
      <c r="X1457" s="158"/>
      <c r="Y1457" s="158"/>
      <c r="Z1457" s="153"/>
      <c r="AA1457" s="159" t="s">
        <v>278</v>
      </c>
      <c r="AB1457" s="160"/>
      <c r="AC1457" s="174">
        <f t="shared" si="155"/>
        <v>0</v>
      </c>
    </row>
    <row r="1458" spans="10:29" ht="12.5" hidden="1">
      <c r="J1458" s="149"/>
      <c r="K1458" s="171">
        <f>MAX(K$1232:K1457)+1</f>
        <v>227</v>
      </c>
      <c r="L1458" s="172">
        <f t="shared" si="153"/>
        <v>1</v>
      </c>
      <c r="M1458" s="152" t="s">
        <v>351</v>
      </c>
      <c r="N1458" s="153"/>
      <c r="O1458" s="153"/>
      <c r="P1458" s="153"/>
      <c r="Q1458" s="153"/>
      <c r="R1458" s="153"/>
      <c r="S1458" s="154">
        <f t="shared" si="154"/>
        <v>0</v>
      </c>
      <c r="T1458" s="153"/>
      <c r="U1458" s="169">
        <f t="shared" si="156"/>
        <v>0</v>
      </c>
      <c r="V1458" s="156"/>
      <c r="W1458" s="158"/>
      <c r="X1458" s="158"/>
      <c r="Y1458" s="158"/>
      <c r="Z1458" s="153"/>
      <c r="AA1458" s="159" t="s">
        <v>278</v>
      </c>
      <c r="AB1458" s="160"/>
      <c r="AC1458" s="174">
        <f t="shared" si="155"/>
        <v>0</v>
      </c>
    </row>
    <row r="1459" spans="10:29" ht="12.5" hidden="1">
      <c r="J1459" s="149"/>
      <c r="K1459" s="171">
        <f>MAX(K$1232:K1458)+1</f>
        <v>228</v>
      </c>
      <c r="L1459" s="172">
        <f t="shared" si="153"/>
        <v>1</v>
      </c>
      <c r="M1459" s="152" t="s">
        <v>352</v>
      </c>
      <c r="N1459" s="153"/>
      <c r="O1459" s="153"/>
      <c r="P1459" s="153"/>
      <c r="Q1459" s="153"/>
      <c r="R1459" s="153"/>
      <c r="S1459" s="154">
        <f t="shared" si="154"/>
        <v>0</v>
      </c>
      <c r="T1459" s="153"/>
      <c r="U1459" s="169">
        <f t="shared" si="156"/>
        <v>0</v>
      </c>
      <c r="V1459" s="156"/>
      <c r="W1459" s="158"/>
      <c r="X1459" s="158"/>
      <c r="Y1459" s="158"/>
      <c r="Z1459" s="153"/>
      <c r="AA1459" s="159" t="s">
        <v>278</v>
      </c>
      <c r="AB1459" s="160"/>
      <c r="AC1459" s="174">
        <f t="shared" si="155"/>
        <v>0</v>
      </c>
    </row>
    <row r="1460" spans="10:29" ht="12.5" hidden="1">
      <c r="J1460" s="149"/>
      <c r="K1460" s="171">
        <f>MAX(K$1232:K1459)+1</f>
        <v>229</v>
      </c>
      <c r="L1460" s="172">
        <f t="shared" si="153"/>
        <v>1</v>
      </c>
      <c r="M1460" s="152" t="s">
        <v>353</v>
      </c>
      <c r="N1460" s="153"/>
      <c r="O1460" s="153"/>
      <c r="P1460" s="153"/>
      <c r="Q1460" s="153"/>
      <c r="R1460" s="153"/>
      <c r="S1460" s="154">
        <f t="shared" si="154"/>
        <v>0</v>
      </c>
      <c r="T1460" s="153"/>
      <c r="U1460" s="169">
        <f t="shared" si="156"/>
        <v>0</v>
      </c>
      <c r="V1460" s="156"/>
      <c r="W1460" s="158"/>
      <c r="X1460" s="158"/>
      <c r="Y1460" s="158"/>
      <c r="Z1460" s="153"/>
      <c r="AA1460" s="159" t="s">
        <v>278</v>
      </c>
      <c r="AB1460" s="160"/>
      <c r="AC1460" s="174">
        <f t="shared" si="155"/>
        <v>0</v>
      </c>
    </row>
    <row r="1461" spans="10:29" ht="12.5" hidden="1">
      <c r="J1461" s="149"/>
      <c r="K1461" s="171">
        <f>MAX(K$1232:K1460)+1</f>
        <v>230</v>
      </c>
      <c r="L1461" s="172">
        <f t="shared" si="153"/>
        <v>1</v>
      </c>
      <c r="M1461" s="152" t="s">
        <v>354</v>
      </c>
      <c r="N1461" s="153"/>
      <c r="O1461" s="153"/>
      <c r="P1461" s="153"/>
      <c r="Q1461" s="153"/>
      <c r="R1461" s="153"/>
      <c r="S1461" s="154">
        <f t="shared" si="154"/>
        <v>0</v>
      </c>
      <c r="T1461" s="153"/>
      <c r="U1461" s="169">
        <f t="shared" si="156"/>
        <v>0</v>
      </c>
      <c r="V1461" s="156"/>
      <c r="W1461" s="158"/>
      <c r="X1461" s="158"/>
      <c r="Y1461" s="158"/>
      <c r="Z1461" s="153"/>
      <c r="AA1461" s="159" t="s">
        <v>278</v>
      </c>
      <c r="AB1461" s="160"/>
      <c r="AC1461" s="174">
        <f t="shared" si="155"/>
        <v>0</v>
      </c>
    </row>
    <row r="1462" spans="10:29" ht="12.5" hidden="1">
      <c r="J1462" s="149"/>
      <c r="K1462" s="171">
        <f>MAX(K$1232:K1461)+1</f>
        <v>231</v>
      </c>
      <c r="L1462" s="172">
        <f t="shared" si="153"/>
        <v>1</v>
      </c>
      <c r="M1462" s="152" t="s">
        <v>355</v>
      </c>
      <c r="N1462" s="153"/>
      <c r="O1462" s="153"/>
      <c r="P1462" s="153"/>
      <c r="Q1462" s="153"/>
      <c r="R1462" s="153"/>
      <c r="S1462" s="154">
        <f t="shared" si="154"/>
        <v>0</v>
      </c>
      <c r="T1462" s="153"/>
      <c r="U1462" s="169">
        <f t="shared" si="156"/>
        <v>0</v>
      </c>
      <c r="V1462" s="156"/>
      <c r="W1462" s="158"/>
      <c r="X1462" s="158"/>
      <c r="Y1462" s="158"/>
      <c r="Z1462" s="153"/>
      <c r="AA1462" s="159" t="s">
        <v>278</v>
      </c>
      <c r="AB1462" s="160"/>
      <c r="AC1462" s="174">
        <f t="shared" si="155"/>
        <v>0</v>
      </c>
    </row>
    <row r="1463" spans="10:29" ht="12.5" hidden="1">
      <c r="J1463" s="149"/>
      <c r="K1463" s="171">
        <f>MAX(K$1232:K1462)+1</f>
        <v>232</v>
      </c>
      <c r="L1463" s="172">
        <f t="shared" si="153"/>
        <v>1</v>
      </c>
      <c r="M1463" s="152" t="s">
        <v>356</v>
      </c>
      <c r="N1463" s="153"/>
      <c r="O1463" s="153"/>
      <c r="P1463" s="153"/>
      <c r="Q1463" s="153"/>
      <c r="R1463" s="153"/>
      <c r="S1463" s="154">
        <f t="shared" si="154"/>
        <v>0</v>
      </c>
      <c r="T1463" s="153"/>
      <c r="U1463" s="169">
        <f t="shared" si="156"/>
        <v>0</v>
      </c>
      <c r="V1463" s="156"/>
      <c r="W1463" s="158"/>
      <c r="X1463" s="158"/>
      <c r="Y1463" s="158"/>
      <c r="Z1463" s="153"/>
      <c r="AA1463" s="159" t="s">
        <v>278</v>
      </c>
      <c r="AB1463" s="160"/>
      <c r="AC1463" s="174">
        <f t="shared" si="155"/>
        <v>0</v>
      </c>
    </row>
    <row r="1464" spans="10:29" ht="12.5" hidden="1">
      <c r="J1464" s="149"/>
      <c r="K1464" s="171">
        <f>MAX(K$1232:K1463)+1</f>
        <v>233</v>
      </c>
      <c r="L1464" s="172">
        <f t="shared" si="153"/>
        <v>1</v>
      </c>
      <c r="M1464" s="152" t="s">
        <v>357</v>
      </c>
      <c r="N1464" s="153"/>
      <c r="O1464" s="153"/>
      <c r="P1464" s="153"/>
      <c r="Q1464" s="153"/>
      <c r="R1464" s="153"/>
      <c r="S1464" s="154">
        <f t="shared" si="154"/>
        <v>0</v>
      </c>
      <c r="T1464" s="153"/>
      <c r="U1464" s="169">
        <f t="shared" si="156"/>
        <v>0</v>
      </c>
      <c r="V1464" s="156"/>
      <c r="W1464" s="158"/>
      <c r="X1464" s="158"/>
      <c r="Y1464" s="158"/>
      <c r="Z1464" s="153"/>
      <c r="AA1464" s="159" t="s">
        <v>278</v>
      </c>
      <c r="AB1464" s="160"/>
      <c r="AC1464" s="174">
        <f t="shared" si="155"/>
        <v>0</v>
      </c>
    </row>
    <row r="1465" spans="10:29" ht="12.5" hidden="1">
      <c r="J1465" s="149"/>
      <c r="K1465" s="171">
        <f>MAX(K$1232:K1464)+1</f>
        <v>234</v>
      </c>
      <c r="L1465" s="172">
        <f t="shared" si="153"/>
        <v>1</v>
      </c>
      <c r="M1465" s="152" t="s">
        <v>358</v>
      </c>
      <c r="N1465" s="153"/>
      <c r="O1465" s="153"/>
      <c r="P1465" s="153"/>
      <c r="Q1465" s="153"/>
      <c r="R1465" s="153"/>
      <c r="S1465" s="154">
        <f t="shared" si="154"/>
        <v>0</v>
      </c>
      <c r="T1465" s="153"/>
      <c r="U1465" s="169">
        <f t="shared" si="156"/>
        <v>0</v>
      </c>
      <c r="V1465" s="156"/>
      <c r="W1465" s="158"/>
      <c r="X1465" s="158"/>
      <c r="Y1465" s="158"/>
      <c r="Z1465" s="153"/>
      <c r="AA1465" s="159" t="s">
        <v>278</v>
      </c>
      <c r="AB1465" s="160"/>
      <c r="AC1465" s="174">
        <f t="shared" si="155"/>
        <v>0</v>
      </c>
    </row>
    <row r="1466" spans="10:29" ht="12.5" hidden="1">
      <c r="J1466" s="149"/>
      <c r="K1466" s="171">
        <f>MAX(K$1232:K1465)+1</f>
        <v>235</v>
      </c>
      <c r="L1466" s="172">
        <f t="shared" si="153"/>
        <v>1</v>
      </c>
      <c r="M1466" s="152" t="s">
        <v>359</v>
      </c>
      <c r="N1466" s="153"/>
      <c r="O1466" s="153"/>
      <c r="P1466" s="153"/>
      <c r="Q1466" s="153"/>
      <c r="R1466" s="153"/>
      <c r="S1466" s="154">
        <f t="shared" si="154"/>
        <v>0</v>
      </c>
      <c r="T1466" s="153"/>
      <c r="U1466" s="169">
        <f t="shared" si="156"/>
        <v>0</v>
      </c>
      <c r="V1466" s="156"/>
      <c r="W1466" s="158"/>
      <c r="X1466" s="158"/>
      <c r="Y1466" s="158"/>
      <c r="Z1466" s="153"/>
      <c r="AA1466" s="159" t="s">
        <v>278</v>
      </c>
      <c r="AB1466" s="160"/>
      <c r="AC1466" s="174">
        <f t="shared" si="155"/>
        <v>0</v>
      </c>
    </row>
    <row r="1467" spans="10:29" ht="12.5" hidden="1">
      <c r="J1467" s="149"/>
      <c r="K1467" s="171">
        <f>MAX(K$1232:K1466)+1</f>
        <v>236</v>
      </c>
      <c r="L1467" s="172">
        <f t="shared" si="153"/>
        <v>1</v>
      </c>
      <c r="M1467" s="152" t="s">
        <v>360</v>
      </c>
      <c r="N1467" s="153"/>
      <c r="O1467" s="153"/>
      <c r="P1467" s="153"/>
      <c r="Q1467" s="153"/>
      <c r="R1467" s="153"/>
      <c r="S1467" s="154">
        <f t="shared" si="154"/>
        <v>0</v>
      </c>
      <c r="T1467" s="153"/>
      <c r="U1467" s="169">
        <f t="shared" si="156"/>
        <v>0</v>
      </c>
      <c r="V1467" s="156"/>
      <c r="W1467" s="158"/>
      <c r="X1467" s="158"/>
      <c r="Y1467" s="158"/>
      <c r="Z1467" s="153"/>
      <c r="AA1467" s="159" t="s">
        <v>278</v>
      </c>
      <c r="AB1467" s="160"/>
      <c r="AC1467" s="174">
        <f t="shared" si="155"/>
        <v>0</v>
      </c>
    </row>
    <row r="1468" spans="10:29" ht="12.5" hidden="1">
      <c r="J1468" s="149"/>
      <c r="K1468" s="171">
        <f>MAX(K$1232:K1467)+1</f>
        <v>237</v>
      </c>
      <c r="L1468" s="172">
        <f t="shared" si="153"/>
        <v>1</v>
      </c>
      <c r="M1468" s="152" t="s">
        <v>361</v>
      </c>
      <c r="N1468" s="153"/>
      <c r="O1468" s="153"/>
      <c r="P1468" s="153"/>
      <c r="Q1468" s="153"/>
      <c r="R1468" s="153"/>
      <c r="S1468" s="154">
        <f t="shared" si="154"/>
        <v>0</v>
      </c>
      <c r="T1468" s="153"/>
      <c r="U1468" s="169">
        <f t="shared" si="156"/>
        <v>0</v>
      </c>
      <c r="V1468" s="156"/>
      <c r="W1468" s="158"/>
      <c r="X1468" s="158"/>
      <c r="Y1468" s="158"/>
      <c r="Z1468" s="153"/>
      <c r="AA1468" s="159" t="s">
        <v>278</v>
      </c>
      <c r="AB1468" s="160"/>
      <c r="AC1468" s="174">
        <f t="shared" si="155"/>
        <v>0</v>
      </c>
    </row>
    <row r="1469" spans="10:29" ht="12.5" hidden="1">
      <c r="J1469" s="149"/>
      <c r="K1469" s="171">
        <f>MAX(K$1232:K1468)+1</f>
        <v>238</v>
      </c>
      <c r="L1469" s="172">
        <f t="shared" si="153"/>
        <v>1</v>
      </c>
      <c r="M1469" s="152" t="s">
        <v>362</v>
      </c>
      <c r="N1469" s="153"/>
      <c r="O1469" s="153"/>
      <c r="P1469" s="153"/>
      <c r="Q1469" s="153"/>
      <c r="R1469" s="153"/>
      <c r="S1469" s="154">
        <f t="shared" si="154"/>
        <v>0</v>
      </c>
      <c r="T1469" s="153"/>
      <c r="U1469" s="169">
        <f t="shared" si="156"/>
        <v>0</v>
      </c>
      <c r="V1469" s="156"/>
      <c r="W1469" s="158"/>
      <c r="X1469" s="158"/>
      <c r="Y1469" s="158"/>
      <c r="Z1469" s="153"/>
      <c r="AA1469" s="159" t="s">
        <v>278</v>
      </c>
      <c r="AB1469" s="160"/>
      <c r="AC1469" s="174">
        <f t="shared" si="155"/>
        <v>0</v>
      </c>
    </row>
    <row r="1470" spans="10:29" ht="12.5" hidden="1">
      <c r="J1470" s="149"/>
      <c r="K1470" s="171">
        <f>MAX(K$1232:K1469)+1</f>
        <v>239</v>
      </c>
      <c r="L1470" s="172">
        <f t="shared" si="153"/>
        <v>1</v>
      </c>
      <c r="M1470" s="152" t="s">
        <v>363</v>
      </c>
      <c r="N1470" s="153"/>
      <c r="O1470" s="153"/>
      <c r="P1470" s="153"/>
      <c r="Q1470" s="153"/>
      <c r="R1470" s="153"/>
      <c r="S1470" s="154">
        <f t="shared" si="154"/>
        <v>0</v>
      </c>
      <c r="T1470" s="153"/>
      <c r="U1470" s="169">
        <f t="shared" si="156"/>
        <v>0</v>
      </c>
      <c r="V1470" s="156"/>
      <c r="W1470" s="158"/>
      <c r="X1470" s="158"/>
      <c r="Y1470" s="158"/>
      <c r="Z1470" s="153"/>
      <c r="AA1470" s="159" t="s">
        <v>278</v>
      </c>
      <c r="AB1470" s="160"/>
      <c r="AC1470" s="174">
        <f t="shared" si="155"/>
        <v>0</v>
      </c>
    </row>
    <row r="1471" spans="10:29" ht="12.5" hidden="1">
      <c r="J1471" s="149"/>
      <c r="K1471" s="171">
        <f>MAX(K$1232:K1470)+1</f>
        <v>240</v>
      </c>
      <c r="L1471" s="172">
        <f t="shared" si="153"/>
        <v>1</v>
      </c>
      <c r="M1471" s="152" t="s">
        <v>364</v>
      </c>
      <c r="N1471" s="153"/>
      <c r="O1471" s="153"/>
      <c r="P1471" s="153"/>
      <c r="Q1471" s="153"/>
      <c r="R1471" s="153"/>
      <c r="S1471" s="154">
        <f t="shared" si="154"/>
        <v>0</v>
      </c>
      <c r="T1471" s="153"/>
      <c r="U1471" s="169">
        <f t="shared" si="156"/>
        <v>0</v>
      </c>
      <c r="V1471" s="156"/>
      <c r="W1471" s="158"/>
      <c r="X1471" s="158"/>
      <c r="Y1471" s="158"/>
      <c r="Z1471" s="153"/>
      <c r="AA1471" s="159" t="s">
        <v>278</v>
      </c>
      <c r="AB1471" s="160"/>
      <c r="AC1471" s="174">
        <f t="shared" si="155"/>
        <v>0</v>
      </c>
    </row>
    <row r="1472" spans="10:29" ht="12.5" hidden="1">
      <c r="J1472" s="149"/>
      <c r="K1472" s="171">
        <f>MAX(K$1232:K1471)+1</f>
        <v>241</v>
      </c>
      <c r="L1472" s="172">
        <f t="shared" si="153"/>
        <v>1</v>
      </c>
      <c r="M1472" s="152" t="s">
        <v>365</v>
      </c>
      <c r="N1472" s="153"/>
      <c r="O1472" s="153"/>
      <c r="P1472" s="153"/>
      <c r="Q1472" s="153"/>
      <c r="R1472" s="153"/>
      <c r="S1472" s="154">
        <f t="shared" si="154"/>
        <v>0</v>
      </c>
      <c r="T1472" s="153"/>
      <c r="U1472" s="169">
        <f t="shared" si="156"/>
        <v>0</v>
      </c>
      <c r="V1472" s="156"/>
      <c r="W1472" s="158"/>
      <c r="X1472" s="158"/>
      <c r="Y1472" s="158"/>
      <c r="Z1472" s="153"/>
      <c r="AA1472" s="159" t="s">
        <v>278</v>
      </c>
      <c r="AB1472" s="160"/>
      <c r="AC1472" s="174">
        <f t="shared" si="155"/>
        <v>0</v>
      </c>
    </row>
    <row r="1473" spans="10:29" ht="12.5" hidden="1">
      <c r="J1473" s="149"/>
      <c r="K1473" s="171">
        <f>MAX(K$1232:K1472)+1</f>
        <v>242</v>
      </c>
      <c r="L1473" s="172">
        <f t="shared" si="153"/>
        <v>1</v>
      </c>
      <c r="M1473" s="152" t="s">
        <v>366</v>
      </c>
      <c r="N1473" s="153"/>
      <c r="O1473" s="153"/>
      <c r="P1473" s="153"/>
      <c r="Q1473" s="153"/>
      <c r="R1473" s="153"/>
      <c r="S1473" s="154">
        <f t="shared" si="154"/>
        <v>0</v>
      </c>
      <c r="T1473" s="153"/>
      <c r="U1473" s="169">
        <f t="shared" si="156"/>
        <v>0</v>
      </c>
      <c r="V1473" s="156"/>
      <c r="W1473" s="158"/>
      <c r="X1473" s="158"/>
      <c r="Y1473" s="158"/>
      <c r="Z1473" s="153"/>
      <c r="AA1473" s="159" t="s">
        <v>278</v>
      </c>
      <c r="AB1473" s="160"/>
      <c r="AC1473" s="174">
        <f t="shared" si="155"/>
        <v>0</v>
      </c>
    </row>
    <row r="1474" spans="10:29" ht="12.5" hidden="1">
      <c r="J1474" s="149"/>
      <c r="K1474" s="171">
        <f>MAX(K$1232:K1473)+1</f>
        <v>243</v>
      </c>
      <c r="L1474" s="172">
        <f t="shared" si="153"/>
        <v>1</v>
      </c>
      <c r="M1474" s="152" t="s">
        <v>367</v>
      </c>
      <c r="N1474" s="153"/>
      <c r="O1474" s="153"/>
      <c r="P1474" s="153"/>
      <c r="Q1474" s="153"/>
      <c r="R1474" s="153"/>
      <c r="S1474" s="154">
        <f t="shared" si="154"/>
        <v>0</v>
      </c>
      <c r="T1474" s="153"/>
      <c r="U1474" s="169">
        <f t="shared" si="156"/>
        <v>0</v>
      </c>
      <c r="V1474" s="156"/>
      <c r="W1474" s="158"/>
      <c r="X1474" s="158"/>
      <c r="Y1474" s="158"/>
      <c r="Z1474" s="153"/>
      <c r="AA1474" s="159" t="s">
        <v>278</v>
      </c>
      <c r="AB1474" s="160"/>
      <c r="AC1474" s="174">
        <f t="shared" si="155"/>
        <v>0</v>
      </c>
    </row>
    <row r="1475" spans="10:29" ht="12.5" hidden="1">
      <c r="J1475" s="149"/>
      <c r="K1475" s="171">
        <f>MAX(K$1232:K1474)+1</f>
        <v>244</v>
      </c>
      <c r="L1475" s="172">
        <f t="shared" si="153"/>
        <v>1</v>
      </c>
      <c r="M1475" s="152" t="s">
        <v>368</v>
      </c>
      <c r="N1475" s="153"/>
      <c r="O1475" s="153"/>
      <c r="P1475" s="153"/>
      <c r="Q1475" s="153"/>
      <c r="R1475" s="153"/>
      <c r="S1475" s="154">
        <f t="shared" si="154"/>
        <v>0</v>
      </c>
      <c r="T1475" s="153"/>
      <c r="U1475" s="169">
        <f t="shared" si="156"/>
        <v>0</v>
      </c>
      <c r="V1475" s="156"/>
      <c r="W1475" s="158"/>
      <c r="X1475" s="158"/>
      <c r="Y1475" s="158"/>
      <c r="Z1475" s="153"/>
      <c r="AA1475" s="159" t="s">
        <v>278</v>
      </c>
      <c r="AB1475" s="160"/>
      <c r="AC1475" s="174">
        <f t="shared" si="155"/>
        <v>0</v>
      </c>
    </row>
    <row r="1476" spans="10:29" ht="12.5" hidden="1">
      <c r="J1476" s="149"/>
      <c r="K1476" s="171">
        <f>MAX(K$1232:K1475)+1</f>
        <v>245</v>
      </c>
      <c r="L1476" s="172">
        <f t="shared" si="153"/>
        <v>1</v>
      </c>
      <c r="M1476" s="152" t="s">
        <v>369</v>
      </c>
      <c r="N1476" s="153"/>
      <c r="O1476" s="153"/>
      <c r="P1476" s="153"/>
      <c r="Q1476" s="153"/>
      <c r="R1476" s="153"/>
      <c r="S1476" s="154">
        <f t="shared" si="154"/>
        <v>0</v>
      </c>
      <c r="T1476" s="153"/>
      <c r="U1476" s="169">
        <f t="shared" si="156"/>
        <v>0</v>
      </c>
      <c r="V1476" s="156"/>
      <c r="W1476" s="158"/>
      <c r="X1476" s="158"/>
      <c r="Y1476" s="158"/>
      <c r="Z1476" s="153"/>
      <c r="AA1476" s="159" t="s">
        <v>278</v>
      </c>
      <c r="AB1476" s="160"/>
      <c r="AC1476" s="174">
        <f t="shared" si="155"/>
        <v>0</v>
      </c>
    </row>
    <row r="1477" spans="10:29" ht="12.5" hidden="1">
      <c r="J1477" s="149"/>
      <c r="K1477" s="171">
        <f>MAX(K$1232:K1476)+1</f>
        <v>246</v>
      </c>
      <c r="L1477" s="172">
        <f t="shared" si="153"/>
        <v>1</v>
      </c>
      <c r="M1477" s="152" t="s">
        <v>370</v>
      </c>
      <c r="N1477" s="153"/>
      <c r="O1477" s="153"/>
      <c r="P1477" s="153"/>
      <c r="Q1477" s="153"/>
      <c r="R1477" s="153"/>
      <c r="S1477" s="154">
        <f t="shared" si="154"/>
        <v>0</v>
      </c>
      <c r="T1477" s="153"/>
      <c r="U1477" s="169">
        <f t="shared" si="156"/>
        <v>0</v>
      </c>
      <c r="V1477" s="156"/>
      <c r="W1477" s="158"/>
      <c r="X1477" s="158"/>
      <c r="Y1477" s="158"/>
      <c r="Z1477" s="153"/>
      <c r="AA1477" s="159" t="s">
        <v>278</v>
      </c>
      <c r="AB1477" s="160"/>
      <c r="AC1477" s="174">
        <f t="shared" si="155"/>
        <v>0</v>
      </c>
    </row>
    <row r="1478" spans="10:29" ht="12.5" hidden="1">
      <c r="J1478" s="149"/>
      <c r="K1478" s="171">
        <f>MAX(K$1232:K1477)+1</f>
        <v>247</v>
      </c>
      <c r="L1478" s="172">
        <f t="shared" si="153"/>
        <v>1</v>
      </c>
      <c r="M1478" s="152" t="s">
        <v>371</v>
      </c>
      <c r="N1478" s="153"/>
      <c r="O1478" s="153"/>
      <c r="P1478" s="153"/>
      <c r="Q1478" s="153"/>
      <c r="R1478" s="153"/>
      <c r="S1478" s="154">
        <f t="shared" si="154"/>
        <v>0</v>
      </c>
      <c r="T1478" s="153"/>
      <c r="U1478" s="169">
        <f t="shared" si="156"/>
        <v>0</v>
      </c>
      <c r="V1478" s="156"/>
      <c r="W1478" s="158"/>
      <c r="X1478" s="158"/>
      <c r="Y1478" s="158"/>
      <c r="Z1478" s="153"/>
      <c r="AA1478" s="159" t="s">
        <v>278</v>
      </c>
      <c r="AB1478" s="160"/>
      <c r="AC1478" s="174">
        <f t="shared" si="155"/>
        <v>0</v>
      </c>
    </row>
    <row r="1479" spans="10:29" ht="12.5" hidden="1">
      <c r="J1479" s="149"/>
      <c r="K1479" s="171">
        <f>MAX(K$1232:K1478)+1</f>
        <v>248</v>
      </c>
      <c r="L1479" s="172">
        <f t="shared" si="153"/>
        <v>1</v>
      </c>
      <c r="M1479" s="152" t="s">
        <v>372</v>
      </c>
      <c r="N1479" s="153"/>
      <c r="O1479" s="153"/>
      <c r="P1479" s="153"/>
      <c r="Q1479" s="153"/>
      <c r="R1479" s="153"/>
      <c r="S1479" s="154">
        <f t="shared" si="154"/>
        <v>0</v>
      </c>
      <c r="T1479" s="153"/>
      <c r="U1479" s="169">
        <f t="shared" si="156"/>
        <v>0</v>
      </c>
      <c r="V1479" s="156"/>
      <c r="W1479" s="158"/>
      <c r="X1479" s="158"/>
      <c r="Y1479" s="158"/>
      <c r="Z1479" s="153"/>
      <c r="AA1479" s="159" t="s">
        <v>278</v>
      </c>
      <c r="AB1479" s="160"/>
      <c r="AC1479" s="174">
        <f t="shared" si="155"/>
        <v>0</v>
      </c>
    </row>
    <row r="1480" spans="10:29" ht="12.5" hidden="1">
      <c r="J1480" s="149"/>
      <c r="K1480" s="171">
        <f>MAX(K$1232:K1479)+1</f>
        <v>249</v>
      </c>
      <c r="L1480" s="172">
        <f t="shared" si="153"/>
        <v>1</v>
      </c>
      <c r="M1480" s="152" t="s">
        <v>373</v>
      </c>
      <c r="N1480" s="153"/>
      <c r="O1480" s="153"/>
      <c r="P1480" s="153"/>
      <c r="Q1480" s="153"/>
      <c r="R1480" s="153"/>
      <c r="S1480" s="154">
        <f t="shared" si="154"/>
        <v>0</v>
      </c>
      <c r="T1480" s="153"/>
      <c r="U1480" s="169">
        <f t="shared" si="156"/>
        <v>0</v>
      </c>
      <c r="V1480" s="156"/>
      <c r="W1480" s="158"/>
      <c r="X1480" s="158"/>
      <c r="Y1480" s="158"/>
      <c r="Z1480" s="153"/>
      <c r="AA1480" s="159" t="s">
        <v>278</v>
      </c>
      <c r="AB1480" s="160"/>
      <c r="AC1480" s="174">
        <f t="shared" si="155"/>
        <v>0</v>
      </c>
    </row>
    <row r="1481" spans="10:29" ht="12.5" hidden="1">
      <c r="J1481" s="149"/>
      <c r="K1481" s="171">
        <f>MAX(K$1232:K1480)+1</f>
        <v>250</v>
      </c>
      <c r="L1481" s="172">
        <f t="shared" si="153"/>
        <v>1</v>
      </c>
      <c r="M1481" s="152" t="s">
        <v>374</v>
      </c>
      <c r="N1481" s="153"/>
      <c r="O1481" s="153"/>
      <c r="P1481" s="153"/>
      <c r="Q1481" s="153"/>
      <c r="R1481" s="153"/>
      <c r="S1481" s="154">
        <f t="shared" si="154"/>
        <v>0</v>
      </c>
      <c r="T1481" s="153"/>
      <c r="U1481" s="169">
        <f t="shared" si="156"/>
        <v>0</v>
      </c>
      <c r="V1481" s="156"/>
      <c r="W1481" s="158"/>
      <c r="X1481" s="158"/>
      <c r="Y1481" s="158"/>
      <c r="Z1481" s="153"/>
      <c r="AA1481" s="159" t="s">
        <v>278</v>
      </c>
      <c r="AB1481" s="160"/>
      <c r="AC1481" s="174">
        <f t="shared" si="155"/>
        <v>0</v>
      </c>
    </row>
    <row r="1482" spans="10:29" ht="12.5" hidden="1">
      <c r="J1482" s="149"/>
      <c r="K1482" s="171">
        <f>MAX(K$1232:K1481)+1</f>
        <v>251</v>
      </c>
      <c r="L1482" s="172">
        <f t="shared" si="153"/>
        <v>1</v>
      </c>
      <c r="M1482" s="152" t="s">
        <v>375</v>
      </c>
      <c r="N1482" s="153"/>
      <c r="O1482" s="153"/>
      <c r="P1482" s="153"/>
      <c r="Q1482" s="153"/>
      <c r="R1482" s="153"/>
      <c r="S1482" s="154">
        <f t="shared" si="154"/>
        <v>0</v>
      </c>
      <c r="T1482" s="153"/>
      <c r="U1482" s="169">
        <f t="shared" si="156"/>
        <v>0</v>
      </c>
      <c r="V1482" s="156"/>
      <c r="W1482" s="158"/>
      <c r="X1482" s="158"/>
      <c r="Y1482" s="158"/>
      <c r="Z1482" s="153"/>
      <c r="AA1482" s="159" t="s">
        <v>278</v>
      </c>
      <c r="AB1482" s="160"/>
      <c r="AC1482" s="174">
        <f t="shared" si="155"/>
        <v>0</v>
      </c>
    </row>
    <row r="1483" spans="10:29" ht="12.5" hidden="1">
      <c r="J1483" s="149"/>
      <c r="K1483" s="171">
        <f>MAX(K$1232:K1482)+1</f>
        <v>252</v>
      </c>
      <c r="L1483" s="172">
        <f t="shared" si="153"/>
        <v>1</v>
      </c>
      <c r="M1483" s="152" t="s">
        <v>376</v>
      </c>
      <c r="N1483" s="153"/>
      <c r="O1483" s="153"/>
      <c r="P1483" s="153"/>
      <c r="Q1483" s="153"/>
      <c r="R1483" s="153"/>
      <c r="S1483" s="154">
        <f t="shared" si="154"/>
        <v>0</v>
      </c>
      <c r="T1483" s="153"/>
      <c r="U1483" s="169">
        <f t="shared" si="156"/>
        <v>0</v>
      </c>
      <c r="V1483" s="156"/>
      <c r="W1483" s="158"/>
      <c r="X1483" s="158"/>
      <c r="Y1483" s="158"/>
      <c r="Z1483" s="153"/>
      <c r="AA1483" s="159" t="s">
        <v>278</v>
      </c>
      <c r="AB1483" s="160"/>
      <c r="AC1483" s="174">
        <f t="shared" si="155"/>
        <v>0</v>
      </c>
    </row>
    <row r="1484" spans="10:29" ht="12.5" hidden="1">
      <c r="J1484" s="149"/>
      <c r="K1484" s="171">
        <f>MAX(K$1232:K1483)+1</f>
        <v>253</v>
      </c>
      <c r="L1484" s="172">
        <f t="shared" si="153"/>
        <v>1</v>
      </c>
      <c r="M1484" s="152" t="s">
        <v>377</v>
      </c>
      <c r="N1484" s="153"/>
      <c r="O1484" s="153"/>
      <c r="P1484" s="153"/>
      <c r="Q1484" s="153"/>
      <c r="R1484" s="153"/>
      <c r="S1484" s="154">
        <f t="shared" si="154"/>
        <v>0</v>
      </c>
      <c r="T1484" s="153"/>
      <c r="U1484" s="169">
        <f t="shared" si="156"/>
        <v>0</v>
      </c>
      <c r="V1484" s="156"/>
      <c r="W1484" s="158"/>
      <c r="X1484" s="158"/>
      <c r="Y1484" s="158"/>
      <c r="Z1484" s="153"/>
      <c r="AA1484" s="159" t="s">
        <v>278</v>
      </c>
      <c r="AB1484" s="160"/>
      <c r="AC1484" s="174">
        <f t="shared" si="155"/>
        <v>0</v>
      </c>
    </row>
    <row r="1485" spans="10:29" ht="12.5" hidden="1">
      <c r="J1485" s="149"/>
      <c r="K1485" s="171">
        <f>MAX(K$1232:K1484)+1</f>
        <v>254</v>
      </c>
      <c r="L1485" s="172">
        <f t="shared" si="153"/>
        <v>1</v>
      </c>
      <c r="M1485" s="152" t="s">
        <v>378</v>
      </c>
      <c r="N1485" s="153"/>
      <c r="O1485" s="153"/>
      <c r="P1485" s="153"/>
      <c r="Q1485" s="153"/>
      <c r="R1485" s="153"/>
      <c r="S1485" s="154">
        <f t="shared" si="154"/>
        <v>0</v>
      </c>
      <c r="T1485" s="153"/>
      <c r="U1485" s="169">
        <f t="shared" si="156"/>
        <v>0</v>
      </c>
      <c r="V1485" s="156"/>
      <c r="W1485" s="158"/>
      <c r="X1485" s="158"/>
      <c r="Y1485" s="158"/>
      <c r="Z1485" s="153"/>
      <c r="AA1485" s="159" t="s">
        <v>278</v>
      </c>
      <c r="AB1485" s="160"/>
      <c r="AC1485" s="174">
        <f t="shared" si="155"/>
        <v>0</v>
      </c>
    </row>
    <row r="1486" spans="10:29" ht="12.5" hidden="1">
      <c r="J1486" s="149"/>
      <c r="K1486" s="171">
        <f>MAX(K$1232:K1485)+1</f>
        <v>255</v>
      </c>
      <c r="L1486" s="172">
        <f t="shared" si="153"/>
        <v>1</v>
      </c>
      <c r="M1486" s="152" t="s">
        <v>379</v>
      </c>
      <c r="N1486" s="153"/>
      <c r="O1486" s="153"/>
      <c r="P1486" s="153"/>
      <c r="Q1486" s="153"/>
      <c r="R1486" s="153"/>
      <c r="S1486" s="154">
        <f t="shared" si="154"/>
        <v>0</v>
      </c>
      <c r="T1486" s="153"/>
      <c r="U1486" s="169">
        <f t="shared" si="156"/>
        <v>0</v>
      </c>
      <c r="V1486" s="156"/>
      <c r="W1486" s="158"/>
      <c r="X1486" s="158"/>
      <c r="Y1486" s="158"/>
      <c r="Z1486" s="153"/>
      <c r="AA1486" s="159" t="s">
        <v>278</v>
      </c>
      <c r="AB1486" s="160"/>
      <c r="AC1486" s="174">
        <f t="shared" si="155"/>
        <v>0</v>
      </c>
    </row>
    <row r="1487" spans="10:29" ht="12.5" hidden="1">
      <c r="J1487" s="149"/>
      <c r="K1487" s="171">
        <f>MAX(K$1232:K1486)+1</f>
        <v>256</v>
      </c>
      <c r="L1487" s="172">
        <f t="shared" si="153"/>
        <v>1</v>
      </c>
      <c r="M1487" s="152" t="s">
        <v>380</v>
      </c>
      <c r="N1487" s="153"/>
      <c r="O1487" s="153"/>
      <c r="P1487" s="153"/>
      <c r="Q1487" s="153"/>
      <c r="R1487" s="153"/>
      <c r="S1487" s="154">
        <f t="shared" si="154"/>
        <v>0</v>
      </c>
      <c r="T1487" s="153"/>
      <c r="U1487" s="169">
        <f t="shared" si="156"/>
        <v>0</v>
      </c>
      <c r="V1487" s="156"/>
      <c r="W1487" s="158"/>
      <c r="X1487" s="158"/>
      <c r="Y1487" s="158"/>
      <c r="Z1487" s="153"/>
      <c r="AA1487" s="159" t="s">
        <v>278</v>
      </c>
      <c r="AB1487" s="160"/>
      <c r="AC1487" s="174">
        <f t="shared" si="155"/>
        <v>0</v>
      </c>
    </row>
    <row r="1488" spans="10:29" ht="12.5" hidden="1">
      <c r="J1488" s="149"/>
      <c r="K1488" s="171">
        <f>MAX(K$1232:K1487)+1</f>
        <v>257</v>
      </c>
      <c r="L1488" s="172">
        <f t="shared" si="153"/>
        <v>1</v>
      </c>
      <c r="M1488" s="152" t="s">
        <v>381</v>
      </c>
      <c r="N1488" s="153"/>
      <c r="O1488" s="153"/>
      <c r="P1488" s="153"/>
      <c r="Q1488" s="153"/>
      <c r="R1488" s="153"/>
      <c r="S1488" s="154">
        <f t="shared" si="154"/>
        <v>0</v>
      </c>
      <c r="T1488" s="153"/>
      <c r="U1488" s="169">
        <f t="shared" si="156"/>
        <v>0</v>
      </c>
      <c r="V1488" s="156"/>
      <c r="W1488" s="158"/>
      <c r="X1488" s="158"/>
      <c r="Y1488" s="158"/>
      <c r="Z1488" s="153"/>
      <c r="AA1488" s="159" t="s">
        <v>278</v>
      </c>
      <c r="AB1488" s="160"/>
      <c r="AC1488" s="174">
        <f t="shared" si="155"/>
        <v>0</v>
      </c>
    </row>
    <row r="1489" spans="10:29" ht="12.5" hidden="1">
      <c r="J1489" s="149"/>
      <c r="K1489" s="171">
        <f>MAX(K$1232:K1488)+1</f>
        <v>258</v>
      </c>
      <c r="L1489" s="172">
        <f t="shared" ref="L1489:L1552" si="157">IF(J1488="",L1488,L1488+1)</f>
        <v>1</v>
      </c>
      <c r="M1489" s="152" t="s">
        <v>382</v>
      </c>
      <c r="N1489" s="153"/>
      <c r="O1489" s="153"/>
      <c r="P1489" s="153"/>
      <c r="Q1489" s="153"/>
      <c r="R1489" s="153"/>
      <c r="S1489" s="154">
        <f t="shared" si="154"/>
        <v>0</v>
      </c>
      <c r="T1489" s="153"/>
      <c r="U1489" s="169">
        <f t="shared" si="156"/>
        <v>0</v>
      </c>
      <c r="V1489" s="156"/>
      <c r="W1489" s="158"/>
      <c r="X1489" s="158"/>
      <c r="Y1489" s="158"/>
      <c r="Z1489" s="153"/>
      <c r="AA1489" s="159" t="s">
        <v>278</v>
      </c>
      <c r="AB1489" s="160"/>
      <c r="AC1489" s="174">
        <f t="shared" si="155"/>
        <v>0</v>
      </c>
    </row>
    <row r="1490" spans="10:29" ht="12.5" hidden="1">
      <c r="J1490" s="149"/>
      <c r="K1490" s="171">
        <f>MAX(K$1232:K1489)+1</f>
        <v>259</v>
      </c>
      <c r="L1490" s="172">
        <f t="shared" si="157"/>
        <v>1</v>
      </c>
      <c r="M1490" s="152" t="s">
        <v>383</v>
      </c>
      <c r="N1490" s="153"/>
      <c r="O1490" s="153"/>
      <c r="P1490" s="153"/>
      <c r="Q1490" s="153"/>
      <c r="R1490" s="153"/>
      <c r="S1490" s="154">
        <f t="shared" si="154"/>
        <v>0</v>
      </c>
      <c r="T1490" s="153"/>
      <c r="U1490" s="169">
        <f t="shared" si="156"/>
        <v>0</v>
      </c>
      <c r="V1490" s="156"/>
      <c r="W1490" s="158"/>
      <c r="X1490" s="158"/>
      <c r="Y1490" s="158"/>
      <c r="Z1490" s="153"/>
      <c r="AA1490" s="159" t="s">
        <v>278</v>
      </c>
      <c r="AB1490" s="160"/>
      <c r="AC1490" s="174">
        <f t="shared" si="155"/>
        <v>0</v>
      </c>
    </row>
    <row r="1491" spans="10:29" ht="12.5" hidden="1">
      <c r="J1491" s="149"/>
      <c r="K1491" s="171">
        <f>MAX(K$1232:K1490)+1</f>
        <v>260</v>
      </c>
      <c r="L1491" s="172">
        <f t="shared" si="157"/>
        <v>1</v>
      </c>
      <c r="M1491" s="152" t="s">
        <v>384</v>
      </c>
      <c r="N1491" s="153"/>
      <c r="O1491" s="153"/>
      <c r="P1491" s="153"/>
      <c r="Q1491" s="153"/>
      <c r="R1491" s="153"/>
      <c r="S1491" s="154">
        <f t="shared" si="154"/>
        <v>0</v>
      </c>
      <c r="T1491" s="153"/>
      <c r="U1491" s="169">
        <f t="shared" si="156"/>
        <v>0</v>
      </c>
      <c r="V1491" s="156"/>
      <c r="W1491" s="158"/>
      <c r="X1491" s="158"/>
      <c r="Y1491" s="158"/>
      <c r="Z1491" s="153"/>
      <c r="AA1491" s="159" t="s">
        <v>278</v>
      </c>
      <c r="AB1491" s="160"/>
      <c r="AC1491" s="174">
        <f t="shared" si="155"/>
        <v>0</v>
      </c>
    </row>
    <row r="1492" spans="10:29" ht="12.5" hidden="1">
      <c r="J1492" s="149"/>
      <c r="K1492" s="171">
        <f>MAX(K$1232:K1491)+1</f>
        <v>261</v>
      </c>
      <c r="L1492" s="172">
        <f t="shared" si="157"/>
        <v>1</v>
      </c>
      <c r="M1492" s="152" t="s">
        <v>385</v>
      </c>
      <c r="N1492" s="153"/>
      <c r="O1492" s="153"/>
      <c r="P1492" s="153"/>
      <c r="Q1492" s="153"/>
      <c r="R1492" s="153"/>
      <c r="S1492" s="154">
        <f t="shared" si="154"/>
        <v>0</v>
      </c>
      <c r="T1492" s="153"/>
      <c r="U1492" s="169">
        <f t="shared" si="156"/>
        <v>0</v>
      </c>
      <c r="V1492" s="156"/>
      <c r="W1492" s="158"/>
      <c r="X1492" s="158"/>
      <c r="Y1492" s="158"/>
      <c r="Z1492" s="153"/>
      <c r="AA1492" s="159" t="s">
        <v>278</v>
      </c>
      <c r="AB1492" s="160"/>
      <c r="AC1492" s="174">
        <f t="shared" si="155"/>
        <v>0</v>
      </c>
    </row>
    <row r="1493" spans="10:29" ht="12.5" hidden="1">
      <c r="J1493" s="149"/>
      <c r="K1493" s="171">
        <f>MAX(K$1232:K1492)+1</f>
        <v>262</v>
      </c>
      <c r="L1493" s="172">
        <f t="shared" si="157"/>
        <v>1</v>
      </c>
      <c r="M1493" s="152" t="s">
        <v>386</v>
      </c>
      <c r="N1493" s="153"/>
      <c r="O1493" s="153"/>
      <c r="P1493" s="153"/>
      <c r="Q1493" s="153"/>
      <c r="R1493" s="153"/>
      <c r="S1493" s="154">
        <f t="shared" si="154"/>
        <v>0</v>
      </c>
      <c r="T1493" s="153"/>
      <c r="U1493" s="169">
        <f t="shared" si="156"/>
        <v>0</v>
      </c>
      <c r="V1493" s="156"/>
      <c r="W1493" s="158"/>
      <c r="X1493" s="158"/>
      <c r="Y1493" s="158"/>
      <c r="Z1493" s="153"/>
      <c r="AA1493" s="159" t="s">
        <v>278</v>
      </c>
      <c r="AB1493" s="160"/>
      <c r="AC1493" s="174">
        <f t="shared" si="155"/>
        <v>0</v>
      </c>
    </row>
    <row r="1494" spans="10:29" ht="12.5" hidden="1">
      <c r="J1494" s="149"/>
      <c r="K1494" s="171">
        <f>MAX(K$1232:K1493)+1</f>
        <v>263</v>
      </c>
      <c r="L1494" s="172">
        <f t="shared" si="157"/>
        <v>1</v>
      </c>
      <c r="M1494" s="152" t="s">
        <v>387</v>
      </c>
      <c r="N1494" s="153"/>
      <c r="O1494" s="153"/>
      <c r="P1494" s="153"/>
      <c r="Q1494" s="153"/>
      <c r="R1494" s="153"/>
      <c r="S1494" s="154">
        <f t="shared" si="154"/>
        <v>0</v>
      </c>
      <c r="T1494" s="153"/>
      <c r="U1494" s="169">
        <f t="shared" si="156"/>
        <v>0</v>
      </c>
      <c r="V1494" s="156"/>
      <c r="W1494" s="158"/>
      <c r="X1494" s="158"/>
      <c r="Y1494" s="158"/>
      <c r="Z1494" s="153"/>
      <c r="AA1494" s="159" t="s">
        <v>278</v>
      </c>
      <c r="AB1494" s="160"/>
      <c r="AC1494" s="174">
        <f t="shared" si="155"/>
        <v>0</v>
      </c>
    </row>
    <row r="1495" spans="10:29" ht="12.5" hidden="1">
      <c r="J1495" s="149"/>
      <c r="K1495" s="171">
        <f>MAX(K$1232:K1494)+1</f>
        <v>264</v>
      </c>
      <c r="L1495" s="172">
        <f t="shared" si="157"/>
        <v>1</v>
      </c>
      <c r="M1495" s="152" t="s">
        <v>388</v>
      </c>
      <c r="N1495" s="153"/>
      <c r="O1495" s="153"/>
      <c r="P1495" s="153"/>
      <c r="Q1495" s="153"/>
      <c r="R1495" s="153"/>
      <c r="S1495" s="154">
        <f t="shared" si="154"/>
        <v>0</v>
      </c>
      <c r="T1495" s="153"/>
      <c r="U1495" s="169">
        <f t="shared" si="156"/>
        <v>0</v>
      </c>
      <c r="V1495" s="156"/>
      <c r="W1495" s="158"/>
      <c r="X1495" s="158"/>
      <c r="Y1495" s="158"/>
      <c r="Z1495" s="153"/>
      <c r="AA1495" s="159" t="s">
        <v>278</v>
      </c>
      <c r="AB1495" s="160"/>
      <c r="AC1495" s="174">
        <f t="shared" si="155"/>
        <v>0</v>
      </c>
    </row>
    <row r="1496" spans="10:29" ht="12.5" hidden="1">
      <c r="J1496" s="149"/>
      <c r="K1496" s="171">
        <f>MAX(K$1232:K1495)+1</f>
        <v>265</v>
      </c>
      <c r="L1496" s="172">
        <f t="shared" si="157"/>
        <v>1</v>
      </c>
      <c r="M1496" s="152" t="s">
        <v>389</v>
      </c>
      <c r="N1496" s="153"/>
      <c r="O1496" s="153"/>
      <c r="P1496" s="153"/>
      <c r="Q1496" s="153"/>
      <c r="R1496" s="153"/>
      <c r="S1496" s="154">
        <f t="shared" si="154"/>
        <v>0</v>
      </c>
      <c r="T1496" s="153"/>
      <c r="U1496" s="169">
        <f t="shared" si="156"/>
        <v>0</v>
      </c>
      <c r="V1496" s="156"/>
      <c r="W1496" s="158"/>
      <c r="X1496" s="158"/>
      <c r="Y1496" s="158"/>
      <c r="Z1496" s="153"/>
      <c r="AA1496" s="159" t="s">
        <v>278</v>
      </c>
      <c r="AB1496" s="160"/>
      <c r="AC1496" s="174">
        <f t="shared" si="155"/>
        <v>0</v>
      </c>
    </row>
    <row r="1497" spans="10:29" ht="12.5" hidden="1">
      <c r="J1497" s="149"/>
      <c r="K1497" s="171">
        <f>MAX(K$1232:K1496)+1</f>
        <v>266</v>
      </c>
      <c r="L1497" s="172">
        <f t="shared" si="157"/>
        <v>1</v>
      </c>
      <c r="M1497" s="152" t="s">
        <v>390</v>
      </c>
      <c r="N1497" s="153"/>
      <c r="O1497" s="153"/>
      <c r="P1497" s="153"/>
      <c r="Q1497" s="153"/>
      <c r="R1497" s="153"/>
      <c r="S1497" s="154">
        <f t="shared" si="154"/>
        <v>0</v>
      </c>
      <c r="T1497" s="153"/>
      <c r="U1497" s="169">
        <f t="shared" si="156"/>
        <v>0</v>
      </c>
      <c r="V1497" s="156"/>
      <c r="W1497" s="158"/>
      <c r="X1497" s="158"/>
      <c r="Y1497" s="158"/>
      <c r="Z1497" s="153"/>
      <c r="AA1497" s="159" t="s">
        <v>278</v>
      </c>
      <c r="AB1497" s="160"/>
      <c r="AC1497" s="174">
        <f t="shared" si="155"/>
        <v>0</v>
      </c>
    </row>
    <row r="1498" spans="10:29" ht="12.5" hidden="1">
      <c r="J1498" s="149"/>
      <c r="K1498" s="171">
        <f>MAX(K$1232:K1497)+1</f>
        <v>267</v>
      </c>
      <c r="L1498" s="172">
        <f t="shared" si="157"/>
        <v>1</v>
      </c>
      <c r="M1498" s="152" t="s">
        <v>391</v>
      </c>
      <c r="N1498" s="153"/>
      <c r="O1498" s="153"/>
      <c r="P1498" s="153"/>
      <c r="Q1498" s="153"/>
      <c r="R1498" s="153"/>
      <c r="S1498" s="154">
        <f t="shared" ref="S1498:S1561" si="158">SUM(N1498:R1498)</f>
        <v>0</v>
      </c>
      <c r="T1498" s="153"/>
      <c r="U1498" s="169">
        <f t="shared" si="156"/>
        <v>0</v>
      </c>
      <c r="V1498" s="156"/>
      <c r="W1498" s="158"/>
      <c r="X1498" s="158"/>
      <c r="Y1498" s="158"/>
      <c r="Z1498" s="153"/>
      <c r="AA1498" s="159" t="s">
        <v>278</v>
      </c>
      <c r="AB1498" s="160"/>
      <c r="AC1498" s="174">
        <f t="shared" ref="AC1498:AC1561" si="159">INDEX(Y1498:Z1498,1,MATCH(_WellBasketSelection,$Y$1231:$Z$1231,0))*U1498</f>
        <v>0</v>
      </c>
    </row>
    <row r="1499" spans="10:29" ht="12.5" hidden="1">
      <c r="J1499" s="149"/>
      <c r="K1499" s="171">
        <f>MAX(K$1232:K1498)+1</f>
        <v>268</v>
      </c>
      <c r="L1499" s="172">
        <f t="shared" si="157"/>
        <v>1</v>
      </c>
      <c r="M1499" s="152" t="s">
        <v>392</v>
      </c>
      <c r="N1499" s="153"/>
      <c r="O1499" s="153"/>
      <c r="P1499" s="153"/>
      <c r="Q1499" s="153"/>
      <c r="R1499" s="153"/>
      <c r="S1499" s="154">
        <f t="shared" si="158"/>
        <v>0</v>
      </c>
      <c r="T1499" s="153"/>
      <c r="U1499" s="169">
        <f t="shared" si="156"/>
        <v>0</v>
      </c>
      <c r="V1499" s="156"/>
      <c r="W1499" s="158"/>
      <c r="X1499" s="158"/>
      <c r="Y1499" s="158"/>
      <c r="Z1499" s="153"/>
      <c r="AA1499" s="159" t="s">
        <v>278</v>
      </c>
      <c r="AB1499" s="160"/>
      <c r="AC1499" s="174">
        <f t="shared" si="159"/>
        <v>0</v>
      </c>
    </row>
    <row r="1500" spans="10:29" ht="12.5" hidden="1">
      <c r="J1500" s="149"/>
      <c r="K1500" s="171">
        <f>MAX(K$1232:K1499)+1</f>
        <v>269</v>
      </c>
      <c r="L1500" s="172">
        <f t="shared" si="157"/>
        <v>1</v>
      </c>
      <c r="M1500" s="152" t="s">
        <v>393</v>
      </c>
      <c r="N1500" s="153"/>
      <c r="O1500" s="153"/>
      <c r="P1500" s="153"/>
      <c r="Q1500" s="153"/>
      <c r="R1500" s="153"/>
      <c r="S1500" s="154">
        <f t="shared" si="158"/>
        <v>0</v>
      </c>
      <c r="T1500" s="153"/>
      <c r="U1500" s="169">
        <f t="shared" si="156"/>
        <v>0</v>
      </c>
      <c r="V1500" s="156"/>
      <c r="W1500" s="158"/>
      <c r="X1500" s="158"/>
      <c r="Y1500" s="158"/>
      <c r="Z1500" s="153"/>
      <c r="AA1500" s="159" t="s">
        <v>278</v>
      </c>
      <c r="AB1500" s="160"/>
      <c r="AC1500" s="174">
        <f t="shared" si="159"/>
        <v>0</v>
      </c>
    </row>
    <row r="1501" spans="10:29" ht="12.5" hidden="1">
      <c r="J1501" s="149"/>
      <c r="K1501" s="171">
        <f>MAX(K$1232:K1500)+1</f>
        <v>270</v>
      </c>
      <c r="L1501" s="172">
        <f t="shared" si="157"/>
        <v>1</v>
      </c>
      <c r="M1501" s="152" t="s">
        <v>394</v>
      </c>
      <c r="N1501" s="153"/>
      <c r="O1501" s="153"/>
      <c r="P1501" s="153"/>
      <c r="Q1501" s="153"/>
      <c r="R1501" s="153"/>
      <c r="S1501" s="154">
        <f t="shared" si="158"/>
        <v>0</v>
      </c>
      <c r="T1501" s="153"/>
      <c r="U1501" s="169">
        <f t="shared" si="156"/>
        <v>0</v>
      </c>
      <c r="V1501" s="156"/>
      <c r="W1501" s="158"/>
      <c r="X1501" s="158"/>
      <c r="Y1501" s="158"/>
      <c r="Z1501" s="153"/>
      <c r="AA1501" s="159" t="s">
        <v>278</v>
      </c>
      <c r="AB1501" s="160"/>
      <c r="AC1501" s="174">
        <f t="shared" si="159"/>
        <v>0</v>
      </c>
    </row>
    <row r="1502" spans="10:29" ht="12.5" hidden="1">
      <c r="J1502" s="149"/>
      <c r="K1502" s="171">
        <f>MAX(K$1232:K1501)+1</f>
        <v>271</v>
      </c>
      <c r="L1502" s="172">
        <f t="shared" si="157"/>
        <v>1</v>
      </c>
      <c r="M1502" s="152" t="s">
        <v>395</v>
      </c>
      <c r="N1502" s="153"/>
      <c r="O1502" s="153"/>
      <c r="P1502" s="153"/>
      <c r="Q1502" s="153"/>
      <c r="R1502" s="153"/>
      <c r="S1502" s="154">
        <f t="shared" si="158"/>
        <v>0</v>
      </c>
      <c r="T1502" s="153"/>
      <c r="U1502" s="169">
        <f t="shared" si="156"/>
        <v>0</v>
      </c>
      <c r="V1502" s="156"/>
      <c r="W1502" s="158"/>
      <c r="X1502" s="158"/>
      <c r="Y1502" s="158"/>
      <c r="Z1502" s="153"/>
      <c r="AA1502" s="159" t="s">
        <v>278</v>
      </c>
      <c r="AB1502" s="160"/>
      <c r="AC1502" s="174">
        <f t="shared" si="159"/>
        <v>0</v>
      </c>
    </row>
    <row r="1503" spans="10:29" ht="12.5" hidden="1">
      <c r="J1503" s="149"/>
      <c r="K1503" s="171">
        <f>MAX(K$1232:K1502)+1</f>
        <v>272</v>
      </c>
      <c r="L1503" s="172">
        <f t="shared" si="157"/>
        <v>1</v>
      </c>
      <c r="M1503" s="152" t="s">
        <v>396</v>
      </c>
      <c r="N1503" s="153"/>
      <c r="O1503" s="153"/>
      <c r="P1503" s="153"/>
      <c r="Q1503" s="153"/>
      <c r="R1503" s="153"/>
      <c r="S1503" s="154">
        <f t="shared" si="158"/>
        <v>0</v>
      </c>
      <c r="T1503" s="153"/>
      <c r="U1503" s="169">
        <f t="shared" si="156"/>
        <v>0</v>
      </c>
      <c r="V1503" s="156"/>
      <c r="W1503" s="158"/>
      <c r="X1503" s="158"/>
      <c r="Y1503" s="158"/>
      <c r="Z1503" s="153"/>
      <c r="AA1503" s="159" t="s">
        <v>278</v>
      </c>
      <c r="AB1503" s="160"/>
      <c r="AC1503" s="174">
        <f t="shared" si="159"/>
        <v>0</v>
      </c>
    </row>
    <row r="1504" spans="10:29" ht="12.5" hidden="1">
      <c r="J1504" s="149"/>
      <c r="K1504" s="171">
        <f>MAX(K$1232:K1503)+1</f>
        <v>273</v>
      </c>
      <c r="L1504" s="172">
        <f t="shared" si="157"/>
        <v>1</v>
      </c>
      <c r="M1504" s="152" t="s">
        <v>397</v>
      </c>
      <c r="N1504" s="153"/>
      <c r="O1504" s="153"/>
      <c r="P1504" s="153"/>
      <c r="Q1504" s="153"/>
      <c r="R1504" s="153"/>
      <c r="S1504" s="154">
        <f t="shared" si="158"/>
        <v>0</v>
      </c>
      <c r="T1504" s="153"/>
      <c r="U1504" s="169">
        <f t="shared" si="156"/>
        <v>0</v>
      </c>
      <c r="V1504" s="156"/>
      <c r="W1504" s="158"/>
      <c r="X1504" s="158"/>
      <c r="Y1504" s="158"/>
      <c r="Z1504" s="153"/>
      <c r="AA1504" s="159" t="s">
        <v>278</v>
      </c>
      <c r="AB1504" s="160"/>
      <c r="AC1504" s="174">
        <f t="shared" si="159"/>
        <v>0</v>
      </c>
    </row>
    <row r="1505" spans="10:29" ht="12.5" hidden="1">
      <c r="J1505" s="149"/>
      <c r="K1505" s="171">
        <f>MAX(K$1232:K1504)+1</f>
        <v>274</v>
      </c>
      <c r="L1505" s="172">
        <f t="shared" si="157"/>
        <v>1</v>
      </c>
      <c r="M1505" s="152" t="s">
        <v>398</v>
      </c>
      <c r="N1505" s="153"/>
      <c r="O1505" s="153"/>
      <c r="P1505" s="153"/>
      <c r="Q1505" s="153"/>
      <c r="R1505" s="153"/>
      <c r="S1505" s="154">
        <f t="shared" si="158"/>
        <v>0</v>
      </c>
      <c r="T1505" s="153"/>
      <c r="U1505" s="169">
        <f t="shared" si="156"/>
        <v>0</v>
      </c>
      <c r="V1505" s="156"/>
      <c r="W1505" s="158"/>
      <c r="X1505" s="158"/>
      <c r="Y1505" s="158"/>
      <c r="Z1505" s="153"/>
      <c r="AA1505" s="159" t="s">
        <v>278</v>
      </c>
      <c r="AB1505" s="160"/>
      <c r="AC1505" s="174">
        <f t="shared" si="159"/>
        <v>0</v>
      </c>
    </row>
    <row r="1506" spans="10:29" ht="12.5" hidden="1">
      <c r="J1506" s="149"/>
      <c r="K1506" s="171">
        <f>MAX(K$1232:K1505)+1</f>
        <v>275</v>
      </c>
      <c r="L1506" s="172">
        <f t="shared" si="157"/>
        <v>1</v>
      </c>
      <c r="M1506" s="152" t="s">
        <v>399</v>
      </c>
      <c r="N1506" s="153"/>
      <c r="O1506" s="153"/>
      <c r="P1506" s="153"/>
      <c r="Q1506" s="153"/>
      <c r="R1506" s="153"/>
      <c r="S1506" s="154">
        <f t="shared" si="158"/>
        <v>0</v>
      </c>
      <c r="T1506" s="153"/>
      <c r="U1506" s="169">
        <f t="shared" si="156"/>
        <v>0</v>
      </c>
      <c r="V1506" s="156"/>
      <c r="W1506" s="158"/>
      <c r="X1506" s="158"/>
      <c r="Y1506" s="158"/>
      <c r="Z1506" s="153"/>
      <c r="AA1506" s="159" t="s">
        <v>278</v>
      </c>
      <c r="AB1506" s="160"/>
      <c r="AC1506" s="174">
        <f t="shared" si="159"/>
        <v>0</v>
      </c>
    </row>
    <row r="1507" spans="10:29" ht="12.5" hidden="1">
      <c r="J1507" s="149"/>
      <c r="K1507" s="171">
        <f>MAX(K$1232:K1506)+1</f>
        <v>276</v>
      </c>
      <c r="L1507" s="172">
        <f t="shared" si="157"/>
        <v>1</v>
      </c>
      <c r="M1507" s="152" t="s">
        <v>400</v>
      </c>
      <c r="N1507" s="153"/>
      <c r="O1507" s="153"/>
      <c r="P1507" s="153"/>
      <c r="Q1507" s="153"/>
      <c r="R1507" s="153"/>
      <c r="S1507" s="154">
        <f t="shared" si="158"/>
        <v>0</v>
      </c>
      <c r="T1507" s="153"/>
      <c r="U1507" s="169">
        <f t="shared" si="156"/>
        <v>0</v>
      </c>
      <c r="V1507" s="156"/>
      <c r="W1507" s="158"/>
      <c r="X1507" s="158"/>
      <c r="Y1507" s="158"/>
      <c r="Z1507" s="153"/>
      <c r="AA1507" s="159" t="s">
        <v>278</v>
      </c>
      <c r="AB1507" s="160"/>
      <c r="AC1507" s="174">
        <f t="shared" si="159"/>
        <v>0</v>
      </c>
    </row>
    <row r="1508" spans="10:29" ht="12.5" hidden="1">
      <c r="J1508" s="149"/>
      <c r="K1508" s="171">
        <f>MAX(K$1232:K1507)+1</f>
        <v>277</v>
      </c>
      <c r="L1508" s="172">
        <f t="shared" si="157"/>
        <v>1</v>
      </c>
      <c r="M1508" s="152" t="s">
        <v>401</v>
      </c>
      <c r="N1508" s="153"/>
      <c r="O1508" s="153"/>
      <c r="P1508" s="153"/>
      <c r="Q1508" s="153"/>
      <c r="R1508" s="153"/>
      <c r="S1508" s="154">
        <f t="shared" si="158"/>
        <v>0</v>
      </c>
      <c r="T1508" s="153"/>
      <c r="U1508" s="169">
        <f t="shared" si="156"/>
        <v>0</v>
      </c>
      <c r="V1508" s="156"/>
      <c r="W1508" s="158"/>
      <c r="X1508" s="158"/>
      <c r="Y1508" s="158"/>
      <c r="Z1508" s="153"/>
      <c r="AA1508" s="159" t="s">
        <v>278</v>
      </c>
      <c r="AB1508" s="160"/>
      <c r="AC1508" s="174">
        <f t="shared" si="159"/>
        <v>0</v>
      </c>
    </row>
    <row r="1509" spans="10:29" ht="12.5" hidden="1">
      <c r="J1509" s="149"/>
      <c r="K1509" s="171">
        <f>MAX(K$1232:K1508)+1</f>
        <v>278</v>
      </c>
      <c r="L1509" s="172">
        <f t="shared" si="157"/>
        <v>1</v>
      </c>
      <c r="M1509" s="152" t="s">
        <v>402</v>
      </c>
      <c r="N1509" s="153"/>
      <c r="O1509" s="153"/>
      <c r="P1509" s="153"/>
      <c r="Q1509" s="153"/>
      <c r="R1509" s="153"/>
      <c r="S1509" s="154">
        <f t="shared" si="158"/>
        <v>0</v>
      </c>
      <c r="T1509" s="153"/>
      <c r="U1509" s="169">
        <f t="shared" si="156"/>
        <v>0</v>
      </c>
      <c r="V1509" s="156"/>
      <c r="W1509" s="158"/>
      <c r="X1509" s="158"/>
      <c r="Y1509" s="158"/>
      <c r="Z1509" s="153"/>
      <c r="AA1509" s="159" t="s">
        <v>278</v>
      </c>
      <c r="AB1509" s="160"/>
      <c r="AC1509" s="174">
        <f t="shared" si="159"/>
        <v>0</v>
      </c>
    </row>
    <row r="1510" spans="10:29" ht="12.5" hidden="1">
      <c r="J1510" s="149"/>
      <c r="K1510" s="171">
        <f>MAX(K$1232:K1509)+1</f>
        <v>279</v>
      </c>
      <c r="L1510" s="172">
        <f t="shared" si="157"/>
        <v>1</v>
      </c>
      <c r="M1510" s="152" t="s">
        <v>403</v>
      </c>
      <c r="N1510" s="153"/>
      <c r="O1510" s="153"/>
      <c r="P1510" s="153"/>
      <c r="Q1510" s="153"/>
      <c r="R1510" s="153"/>
      <c r="S1510" s="154">
        <f t="shared" si="158"/>
        <v>0</v>
      </c>
      <c r="T1510" s="153"/>
      <c r="U1510" s="169">
        <f t="shared" si="156"/>
        <v>0</v>
      </c>
      <c r="V1510" s="156"/>
      <c r="W1510" s="158"/>
      <c r="X1510" s="158"/>
      <c r="Y1510" s="158"/>
      <c r="Z1510" s="153"/>
      <c r="AA1510" s="159" t="s">
        <v>278</v>
      </c>
      <c r="AB1510" s="160"/>
      <c r="AC1510" s="174">
        <f t="shared" si="159"/>
        <v>0</v>
      </c>
    </row>
    <row r="1511" spans="10:29" ht="12.5" hidden="1">
      <c r="J1511" s="149"/>
      <c r="K1511" s="171">
        <f>MAX(K$1232:K1510)+1</f>
        <v>280</v>
      </c>
      <c r="L1511" s="172">
        <f t="shared" si="157"/>
        <v>1</v>
      </c>
      <c r="M1511" s="152" t="s">
        <v>404</v>
      </c>
      <c r="N1511" s="153"/>
      <c r="O1511" s="153"/>
      <c r="P1511" s="153"/>
      <c r="Q1511" s="153"/>
      <c r="R1511" s="153"/>
      <c r="S1511" s="154">
        <f t="shared" si="158"/>
        <v>0</v>
      </c>
      <c r="T1511" s="153"/>
      <c r="U1511" s="169">
        <f t="shared" si="156"/>
        <v>0</v>
      </c>
      <c r="V1511" s="156"/>
      <c r="W1511" s="158"/>
      <c r="X1511" s="158"/>
      <c r="Y1511" s="158"/>
      <c r="Z1511" s="153"/>
      <c r="AA1511" s="159" t="s">
        <v>278</v>
      </c>
      <c r="AB1511" s="160"/>
      <c r="AC1511" s="174">
        <f t="shared" si="159"/>
        <v>0</v>
      </c>
    </row>
    <row r="1512" spans="10:29" ht="12.5" hidden="1">
      <c r="J1512" s="149"/>
      <c r="K1512" s="171">
        <f>MAX(K$1232:K1511)+1</f>
        <v>281</v>
      </c>
      <c r="L1512" s="172">
        <f t="shared" si="157"/>
        <v>1</v>
      </c>
      <c r="M1512" s="152" t="s">
        <v>405</v>
      </c>
      <c r="N1512" s="153"/>
      <c r="O1512" s="153"/>
      <c r="P1512" s="153"/>
      <c r="Q1512" s="153"/>
      <c r="R1512" s="153"/>
      <c r="S1512" s="154">
        <f t="shared" si="158"/>
        <v>0</v>
      </c>
      <c r="T1512" s="153"/>
      <c r="U1512" s="169">
        <f t="shared" si="156"/>
        <v>0</v>
      </c>
      <c r="V1512" s="156"/>
      <c r="W1512" s="158"/>
      <c r="X1512" s="158"/>
      <c r="Y1512" s="158"/>
      <c r="Z1512" s="153"/>
      <c r="AA1512" s="159" t="s">
        <v>278</v>
      </c>
      <c r="AB1512" s="160"/>
      <c r="AC1512" s="174">
        <f t="shared" si="159"/>
        <v>0</v>
      </c>
    </row>
    <row r="1513" spans="10:29" ht="12.5" hidden="1">
      <c r="J1513" s="149"/>
      <c r="K1513" s="171">
        <f>MAX(K$1232:K1512)+1</f>
        <v>282</v>
      </c>
      <c r="L1513" s="172">
        <f t="shared" si="157"/>
        <v>1</v>
      </c>
      <c r="M1513" s="152" t="s">
        <v>406</v>
      </c>
      <c r="N1513" s="153"/>
      <c r="O1513" s="153"/>
      <c r="P1513" s="153"/>
      <c r="Q1513" s="153"/>
      <c r="R1513" s="153"/>
      <c r="S1513" s="154">
        <f t="shared" si="158"/>
        <v>0</v>
      </c>
      <c r="T1513" s="153"/>
      <c r="U1513" s="169">
        <f t="shared" si="156"/>
        <v>0</v>
      </c>
      <c r="V1513" s="156"/>
      <c r="W1513" s="158"/>
      <c r="X1513" s="158"/>
      <c r="Y1513" s="158"/>
      <c r="Z1513" s="153"/>
      <c r="AA1513" s="159" t="s">
        <v>278</v>
      </c>
      <c r="AB1513" s="160"/>
      <c r="AC1513" s="174">
        <f t="shared" si="159"/>
        <v>0</v>
      </c>
    </row>
    <row r="1514" spans="10:29" ht="12.5" hidden="1">
      <c r="J1514" s="149"/>
      <c r="K1514" s="171">
        <f>MAX(K$1232:K1513)+1</f>
        <v>283</v>
      </c>
      <c r="L1514" s="172">
        <f t="shared" si="157"/>
        <v>1</v>
      </c>
      <c r="M1514" s="152" t="s">
        <v>407</v>
      </c>
      <c r="N1514" s="153"/>
      <c r="O1514" s="153"/>
      <c r="P1514" s="153"/>
      <c r="Q1514" s="153"/>
      <c r="R1514" s="153"/>
      <c r="S1514" s="154">
        <f t="shared" si="158"/>
        <v>0</v>
      </c>
      <c r="T1514" s="153"/>
      <c r="U1514" s="169">
        <f t="shared" ref="U1514:U1577" si="160">T1514+S1514</f>
        <v>0</v>
      </c>
      <c r="V1514" s="156"/>
      <c r="W1514" s="158"/>
      <c r="X1514" s="158"/>
      <c r="Y1514" s="158"/>
      <c r="Z1514" s="153"/>
      <c r="AA1514" s="159" t="s">
        <v>278</v>
      </c>
      <c r="AB1514" s="160"/>
      <c r="AC1514" s="174">
        <f t="shared" si="159"/>
        <v>0</v>
      </c>
    </row>
    <row r="1515" spans="10:29" ht="12.5" hidden="1">
      <c r="J1515" s="149"/>
      <c r="K1515" s="171">
        <f>MAX(K$1232:K1514)+1</f>
        <v>284</v>
      </c>
      <c r="L1515" s="172">
        <f t="shared" si="157"/>
        <v>1</v>
      </c>
      <c r="M1515" s="152" t="s">
        <v>408</v>
      </c>
      <c r="N1515" s="153"/>
      <c r="O1515" s="153"/>
      <c r="P1515" s="153"/>
      <c r="Q1515" s="153"/>
      <c r="R1515" s="153"/>
      <c r="S1515" s="154">
        <f t="shared" si="158"/>
        <v>0</v>
      </c>
      <c r="T1515" s="153"/>
      <c r="U1515" s="169">
        <f t="shared" si="160"/>
        <v>0</v>
      </c>
      <c r="V1515" s="156"/>
      <c r="W1515" s="158"/>
      <c r="X1515" s="158"/>
      <c r="Y1515" s="158"/>
      <c r="Z1515" s="153"/>
      <c r="AA1515" s="159" t="s">
        <v>278</v>
      </c>
      <c r="AB1515" s="160"/>
      <c r="AC1515" s="174">
        <f t="shared" si="159"/>
        <v>0</v>
      </c>
    </row>
    <row r="1516" spans="10:29" ht="12.5" hidden="1">
      <c r="J1516" s="149"/>
      <c r="K1516" s="171">
        <f>MAX(K$1232:K1515)+1</f>
        <v>285</v>
      </c>
      <c r="L1516" s="172">
        <f t="shared" si="157"/>
        <v>1</v>
      </c>
      <c r="M1516" s="152" t="s">
        <v>409</v>
      </c>
      <c r="N1516" s="153"/>
      <c r="O1516" s="153"/>
      <c r="P1516" s="153"/>
      <c r="Q1516" s="153"/>
      <c r="R1516" s="153"/>
      <c r="S1516" s="154">
        <f t="shared" si="158"/>
        <v>0</v>
      </c>
      <c r="T1516" s="153"/>
      <c r="U1516" s="169">
        <f t="shared" si="160"/>
        <v>0</v>
      </c>
      <c r="V1516" s="156"/>
      <c r="W1516" s="158"/>
      <c r="X1516" s="158"/>
      <c r="Y1516" s="158"/>
      <c r="Z1516" s="153"/>
      <c r="AA1516" s="159" t="s">
        <v>278</v>
      </c>
      <c r="AB1516" s="160"/>
      <c r="AC1516" s="174">
        <f t="shared" si="159"/>
        <v>0</v>
      </c>
    </row>
    <row r="1517" spans="10:29" ht="12.5" hidden="1">
      <c r="J1517" s="149"/>
      <c r="K1517" s="171">
        <f>MAX(K$1232:K1516)+1</f>
        <v>286</v>
      </c>
      <c r="L1517" s="172">
        <f t="shared" si="157"/>
        <v>1</v>
      </c>
      <c r="M1517" s="152" t="s">
        <v>410</v>
      </c>
      <c r="N1517" s="153"/>
      <c r="O1517" s="153"/>
      <c r="P1517" s="153"/>
      <c r="Q1517" s="153"/>
      <c r="R1517" s="153"/>
      <c r="S1517" s="154">
        <f t="shared" si="158"/>
        <v>0</v>
      </c>
      <c r="T1517" s="153"/>
      <c r="U1517" s="169">
        <f t="shared" si="160"/>
        <v>0</v>
      </c>
      <c r="V1517" s="156"/>
      <c r="W1517" s="158"/>
      <c r="X1517" s="158"/>
      <c r="Y1517" s="158"/>
      <c r="Z1517" s="153"/>
      <c r="AA1517" s="159" t="s">
        <v>278</v>
      </c>
      <c r="AB1517" s="160"/>
      <c r="AC1517" s="174">
        <f t="shared" si="159"/>
        <v>0</v>
      </c>
    </row>
    <row r="1518" spans="10:29" ht="12.5" hidden="1">
      <c r="J1518" s="149"/>
      <c r="K1518" s="171">
        <f>MAX(K$1232:K1517)+1</f>
        <v>287</v>
      </c>
      <c r="L1518" s="172">
        <f t="shared" si="157"/>
        <v>1</v>
      </c>
      <c r="M1518" s="152" t="s">
        <v>411</v>
      </c>
      <c r="N1518" s="153"/>
      <c r="O1518" s="153"/>
      <c r="P1518" s="153"/>
      <c r="Q1518" s="153"/>
      <c r="R1518" s="153"/>
      <c r="S1518" s="154">
        <f t="shared" si="158"/>
        <v>0</v>
      </c>
      <c r="T1518" s="153"/>
      <c r="U1518" s="169">
        <f t="shared" si="160"/>
        <v>0</v>
      </c>
      <c r="V1518" s="156"/>
      <c r="W1518" s="158"/>
      <c r="X1518" s="158"/>
      <c r="Y1518" s="158"/>
      <c r="Z1518" s="153"/>
      <c r="AA1518" s="159" t="s">
        <v>278</v>
      </c>
      <c r="AB1518" s="160"/>
      <c r="AC1518" s="174">
        <f t="shared" si="159"/>
        <v>0</v>
      </c>
    </row>
    <row r="1519" spans="10:29" ht="12.5" hidden="1">
      <c r="J1519" s="149"/>
      <c r="K1519" s="171">
        <f>MAX(K$1232:K1518)+1</f>
        <v>288</v>
      </c>
      <c r="L1519" s="172">
        <f t="shared" si="157"/>
        <v>1</v>
      </c>
      <c r="M1519" s="152" t="s">
        <v>412</v>
      </c>
      <c r="N1519" s="153"/>
      <c r="O1519" s="153"/>
      <c r="P1519" s="153"/>
      <c r="Q1519" s="153"/>
      <c r="R1519" s="153"/>
      <c r="S1519" s="154">
        <f t="shared" si="158"/>
        <v>0</v>
      </c>
      <c r="T1519" s="153"/>
      <c r="U1519" s="169">
        <f t="shared" si="160"/>
        <v>0</v>
      </c>
      <c r="V1519" s="156"/>
      <c r="W1519" s="158"/>
      <c r="X1519" s="158"/>
      <c r="Y1519" s="158"/>
      <c r="Z1519" s="153"/>
      <c r="AA1519" s="159" t="s">
        <v>278</v>
      </c>
      <c r="AB1519" s="160"/>
      <c r="AC1519" s="174">
        <f t="shared" si="159"/>
        <v>0</v>
      </c>
    </row>
    <row r="1520" spans="10:29" ht="12.5" hidden="1">
      <c r="J1520" s="149"/>
      <c r="K1520" s="171">
        <f>MAX(K$1232:K1519)+1</f>
        <v>289</v>
      </c>
      <c r="L1520" s="172">
        <f t="shared" si="157"/>
        <v>1</v>
      </c>
      <c r="M1520" s="152" t="s">
        <v>413</v>
      </c>
      <c r="N1520" s="153"/>
      <c r="O1520" s="153"/>
      <c r="P1520" s="153"/>
      <c r="Q1520" s="153"/>
      <c r="R1520" s="153"/>
      <c r="S1520" s="154">
        <f t="shared" si="158"/>
        <v>0</v>
      </c>
      <c r="T1520" s="153"/>
      <c r="U1520" s="169">
        <f t="shared" si="160"/>
        <v>0</v>
      </c>
      <c r="V1520" s="156"/>
      <c r="W1520" s="158"/>
      <c r="X1520" s="158"/>
      <c r="Y1520" s="158"/>
      <c r="Z1520" s="153"/>
      <c r="AA1520" s="159" t="s">
        <v>278</v>
      </c>
      <c r="AB1520" s="160"/>
      <c r="AC1520" s="174">
        <f t="shared" si="159"/>
        <v>0</v>
      </c>
    </row>
    <row r="1521" spans="10:29" ht="12.5" hidden="1">
      <c r="J1521" s="149"/>
      <c r="K1521" s="171">
        <f>MAX(K$1232:K1520)+1</f>
        <v>290</v>
      </c>
      <c r="L1521" s="172">
        <f t="shared" si="157"/>
        <v>1</v>
      </c>
      <c r="M1521" s="152" t="s">
        <v>414</v>
      </c>
      <c r="N1521" s="153"/>
      <c r="O1521" s="153"/>
      <c r="P1521" s="153"/>
      <c r="Q1521" s="153"/>
      <c r="R1521" s="153"/>
      <c r="S1521" s="154">
        <f t="shared" si="158"/>
        <v>0</v>
      </c>
      <c r="T1521" s="153"/>
      <c r="U1521" s="169">
        <f t="shared" si="160"/>
        <v>0</v>
      </c>
      <c r="V1521" s="156"/>
      <c r="W1521" s="158"/>
      <c r="X1521" s="158"/>
      <c r="Y1521" s="158"/>
      <c r="Z1521" s="153"/>
      <c r="AA1521" s="159" t="s">
        <v>278</v>
      </c>
      <c r="AB1521" s="160"/>
      <c r="AC1521" s="174">
        <f t="shared" si="159"/>
        <v>0</v>
      </c>
    </row>
    <row r="1522" spans="10:29" ht="12.5" hidden="1">
      <c r="J1522" s="149"/>
      <c r="K1522" s="171">
        <f>MAX(K$1232:K1521)+1</f>
        <v>291</v>
      </c>
      <c r="L1522" s="172">
        <f t="shared" si="157"/>
        <v>1</v>
      </c>
      <c r="M1522" s="152" t="s">
        <v>415</v>
      </c>
      <c r="N1522" s="153"/>
      <c r="O1522" s="153"/>
      <c r="P1522" s="153"/>
      <c r="Q1522" s="153"/>
      <c r="R1522" s="153"/>
      <c r="S1522" s="154">
        <f t="shared" si="158"/>
        <v>0</v>
      </c>
      <c r="T1522" s="153"/>
      <c r="U1522" s="169">
        <f t="shared" si="160"/>
        <v>0</v>
      </c>
      <c r="V1522" s="156"/>
      <c r="W1522" s="158"/>
      <c r="X1522" s="158"/>
      <c r="Y1522" s="158"/>
      <c r="Z1522" s="153"/>
      <c r="AA1522" s="159" t="s">
        <v>278</v>
      </c>
      <c r="AB1522" s="160"/>
      <c r="AC1522" s="174">
        <f t="shared" si="159"/>
        <v>0</v>
      </c>
    </row>
    <row r="1523" spans="10:29" ht="12.5" hidden="1">
      <c r="J1523" s="149"/>
      <c r="K1523" s="171">
        <f>MAX(K$1232:K1522)+1</f>
        <v>292</v>
      </c>
      <c r="L1523" s="172">
        <f t="shared" si="157"/>
        <v>1</v>
      </c>
      <c r="M1523" s="152" t="s">
        <v>416</v>
      </c>
      <c r="N1523" s="153"/>
      <c r="O1523" s="153"/>
      <c r="P1523" s="153"/>
      <c r="Q1523" s="153"/>
      <c r="R1523" s="153"/>
      <c r="S1523" s="154">
        <f t="shared" si="158"/>
        <v>0</v>
      </c>
      <c r="T1523" s="153"/>
      <c r="U1523" s="169">
        <f t="shared" si="160"/>
        <v>0</v>
      </c>
      <c r="V1523" s="156"/>
      <c r="W1523" s="158"/>
      <c r="X1523" s="158"/>
      <c r="Y1523" s="158"/>
      <c r="Z1523" s="153"/>
      <c r="AA1523" s="159" t="s">
        <v>278</v>
      </c>
      <c r="AB1523" s="160"/>
      <c r="AC1523" s="174">
        <f t="shared" si="159"/>
        <v>0</v>
      </c>
    </row>
    <row r="1524" spans="10:29" ht="12.5" hidden="1">
      <c r="J1524" s="149"/>
      <c r="K1524" s="171">
        <f>MAX(K$1232:K1523)+1</f>
        <v>293</v>
      </c>
      <c r="L1524" s="172">
        <f t="shared" si="157"/>
        <v>1</v>
      </c>
      <c r="M1524" s="152" t="s">
        <v>417</v>
      </c>
      <c r="N1524" s="153"/>
      <c r="O1524" s="153"/>
      <c r="P1524" s="153"/>
      <c r="Q1524" s="153"/>
      <c r="R1524" s="153"/>
      <c r="S1524" s="154">
        <f t="shared" si="158"/>
        <v>0</v>
      </c>
      <c r="T1524" s="153"/>
      <c r="U1524" s="169">
        <f t="shared" si="160"/>
        <v>0</v>
      </c>
      <c r="V1524" s="156"/>
      <c r="W1524" s="158"/>
      <c r="X1524" s="158"/>
      <c r="Y1524" s="158"/>
      <c r="Z1524" s="153"/>
      <c r="AA1524" s="159" t="s">
        <v>278</v>
      </c>
      <c r="AB1524" s="160"/>
      <c r="AC1524" s="174">
        <f t="shared" si="159"/>
        <v>0</v>
      </c>
    </row>
    <row r="1525" spans="10:29" ht="12.5" hidden="1">
      <c r="J1525" s="149"/>
      <c r="K1525" s="171">
        <f>MAX(K$1232:K1524)+1</f>
        <v>294</v>
      </c>
      <c r="L1525" s="172">
        <f t="shared" si="157"/>
        <v>1</v>
      </c>
      <c r="M1525" s="152" t="s">
        <v>418</v>
      </c>
      <c r="N1525" s="153"/>
      <c r="O1525" s="153"/>
      <c r="P1525" s="153"/>
      <c r="Q1525" s="153"/>
      <c r="R1525" s="153"/>
      <c r="S1525" s="154">
        <f t="shared" si="158"/>
        <v>0</v>
      </c>
      <c r="T1525" s="153"/>
      <c r="U1525" s="169">
        <f t="shared" si="160"/>
        <v>0</v>
      </c>
      <c r="V1525" s="156"/>
      <c r="W1525" s="158"/>
      <c r="X1525" s="158"/>
      <c r="Y1525" s="158"/>
      <c r="Z1525" s="153"/>
      <c r="AA1525" s="159" t="s">
        <v>278</v>
      </c>
      <c r="AB1525" s="160"/>
      <c r="AC1525" s="174">
        <f t="shared" si="159"/>
        <v>0</v>
      </c>
    </row>
    <row r="1526" spans="10:29" ht="12.5" hidden="1">
      <c r="J1526" s="149"/>
      <c r="K1526" s="171">
        <f>MAX(K$1232:K1525)+1</f>
        <v>295</v>
      </c>
      <c r="L1526" s="172">
        <f t="shared" si="157"/>
        <v>1</v>
      </c>
      <c r="M1526" s="152" t="s">
        <v>419</v>
      </c>
      <c r="N1526" s="153"/>
      <c r="O1526" s="153"/>
      <c r="P1526" s="153"/>
      <c r="Q1526" s="153"/>
      <c r="R1526" s="153"/>
      <c r="S1526" s="154">
        <f t="shared" si="158"/>
        <v>0</v>
      </c>
      <c r="T1526" s="153"/>
      <c r="U1526" s="169">
        <f t="shared" si="160"/>
        <v>0</v>
      </c>
      <c r="V1526" s="156"/>
      <c r="W1526" s="158"/>
      <c r="X1526" s="158"/>
      <c r="Y1526" s="158"/>
      <c r="Z1526" s="153"/>
      <c r="AA1526" s="159" t="s">
        <v>278</v>
      </c>
      <c r="AB1526" s="160"/>
      <c r="AC1526" s="174">
        <f t="shared" si="159"/>
        <v>0</v>
      </c>
    </row>
    <row r="1527" spans="10:29" ht="12.5" hidden="1">
      <c r="J1527" s="149"/>
      <c r="K1527" s="171">
        <f>MAX(K$1232:K1526)+1</f>
        <v>296</v>
      </c>
      <c r="L1527" s="172">
        <f t="shared" si="157"/>
        <v>1</v>
      </c>
      <c r="M1527" s="152" t="s">
        <v>420</v>
      </c>
      <c r="N1527" s="153"/>
      <c r="O1527" s="153"/>
      <c r="P1527" s="153"/>
      <c r="Q1527" s="153"/>
      <c r="R1527" s="153"/>
      <c r="S1527" s="154">
        <f t="shared" si="158"/>
        <v>0</v>
      </c>
      <c r="T1527" s="153"/>
      <c r="U1527" s="169">
        <f t="shared" si="160"/>
        <v>0</v>
      </c>
      <c r="V1527" s="156"/>
      <c r="W1527" s="158"/>
      <c r="X1527" s="158"/>
      <c r="Y1527" s="158"/>
      <c r="Z1527" s="153"/>
      <c r="AA1527" s="159" t="s">
        <v>278</v>
      </c>
      <c r="AB1527" s="160"/>
      <c r="AC1527" s="174">
        <f t="shared" si="159"/>
        <v>0</v>
      </c>
    </row>
    <row r="1528" spans="10:29" ht="12.5" hidden="1">
      <c r="J1528" s="149"/>
      <c r="K1528" s="171">
        <f>MAX(K$1232:K1527)+1</f>
        <v>297</v>
      </c>
      <c r="L1528" s="172">
        <f t="shared" si="157"/>
        <v>1</v>
      </c>
      <c r="M1528" s="152" t="s">
        <v>421</v>
      </c>
      <c r="N1528" s="153"/>
      <c r="O1528" s="153"/>
      <c r="P1528" s="153"/>
      <c r="Q1528" s="153"/>
      <c r="R1528" s="153"/>
      <c r="S1528" s="154">
        <f t="shared" si="158"/>
        <v>0</v>
      </c>
      <c r="T1528" s="153"/>
      <c r="U1528" s="169">
        <f t="shared" si="160"/>
        <v>0</v>
      </c>
      <c r="V1528" s="156"/>
      <c r="W1528" s="158"/>
      <c r="X1528" s="158"/>
      <c r="Y1528" s="158"/>
      <c r="Z1528" s="153"/>
      <c r="AA1528" s="159" t="s">
        <v>278</v>
      </c>
      <c r="AB1528" s="160"/>
      <c r="AC1528" s="174">
        <f t="shared" si="159"/>
        <v>0</v>
      </c>
    </row>
    <row r="1529" spans="10:29" ht="12.5" hidden="1">
      <c r="J1529" s="149"/>
      <c r="K1529" s="171">
        <f>MAX(K$1232:K1528)+1</f>
        <v>298</v>
      </c>
      <c r="L1529" s="172">
        <f t="shared" si="157"/>
        <v>1</v>
      </c>
      <c r="M1529" s="152" t="s">
        <v>422</v>
      </c>
      <c r="N1529" s="153"/>
      <c r="O1529" s="153"/>
      <c r="P1529" s="153"/>
      <c r="Q1529" s="153"/>
      <c r="R1529" s="153"/>
      <c r="S1529" s="154">
        <f t="shared" si="158"/>
        <v>0</v>
      </c>
      <c r="T1529" s="153"/>
      <c r="U1529" s="169">
        <f t="shared" si="160"/>
        <v>0</v>
      </c>
      <c r="V1529" s="156"/>
      <c r="W1529" s="158"/>
      <c r="X1529" s="158"/>
      <c r="Y1529" s="158"/>
      <c r="Z1529" s="153"/>
      <c r="AA1529" s="159" t="s">
        <v>278</v>
      </c>
      <c r="AB1529" s="160"/>
      <c r="AC1529" s="174">
        <f t="shared" si="159"/>
        <v>0</v>
      </c>
    </row>
    <row r="1530" spans="10:29" ht="12.5" hidden="1">
      <c r="J1530" s="149"/>
      <c r="K1530" s="171">
        <f>MAX(K$1232:K1529)+1</f>
        <v>299</v>
      </c>
      <c r="L1530" s="172">
        <f t="shared" si="157"/>
        <v>1</v>
      </c>
      <c r="M1530" s="152" t="s">
        <v>423</v>
      </c>
      <c r="N1530" s="153"/>
      <c r="O1530" s="153"/>
      <c r="P1530" s="153"/>
      <c r="Q1530" s="153"/>
      <c r="R1530" s="153"/>
      <c r="S1530" s="154">
        <f t="shared" si="158"/>
        <v>0</v>
      </c>
      <c r="T1530" s="153"/>
      <c r="U1530" s="169">
        <f t="shared" si="160"/>
        <v>0</v>
      </c>
      <c r="V1530" s="156"/>
      <c r="W1530" s="158"/>
      <c r="X1530" s="158"/>
      <c r="Y1530" s="158"/>
      <c r="Z1530" s="153"/>
      <c r="AA1530" s="159" t="s">
        <v>278</v>
      </c>
      <c r="AB1530" s="160"/>
      <c r="AC1530" s="174">
        <f t="shared" si="159"/>
        <v>0</v>
      </c>
    </row>
    <row r="1531" spans="10:29" ht="12.5" hidden="1">
      <c r="J1531" s="149"/>
      <c r="K1531" s="171">
        <f>MAX(K$1232:K1530)+1</f>
        <v>300</v>
      </c>
      <c r="L1531" s="172">
        <f t="shared" si="157"/>
        <v>1</v>
      </c>
      <c r="M1531" s="152" t="s">
        <v>424</v>
      </c>
      <c r="N1531" s="153"/>
      <c r="O1531" s="153"/>
      <c r="P1531" s="153"/>
      <c r="Q1531" s="153"/>
      <c r="R1531" s="153"/>
      <c r="S1531" s="154">
        <f t="shared" si="158"/>
        <v>0</v>
      </c>
      <c r="T1531" s="153"/>
      <c r="U1531" s="169">
        <f t="shared" si="160"/>
        <v>0</v>
      </c>
      <c r="V1531" s="156"/>
      <c r="W1531" s="158"/>
      <c r="X1531" s="158"/>
      <c r="Y1531" s="158"/>
      <c r="Z1531" s="153"/>
      <c r="AA1531" s="159" t="s">
        <v>278</v>
      </c>
      <c r="AB1531" s="160"/>
      <c r="AC1531" s="174">
        <f t="shared" si="159"/>
        <v>0</v>
      </c>
    </row>
    <row r="1532" spans="10:29" ht="12.5" hidden="1">
      <c r="J1532" s="149"/>
      <c r="K1532" s="171">
        <f>MAX(K$1232:K1531)+1</f>
        <v>301</v>
      </c>
      <c r="L1532" s="172">
        <f t="shared" si="157"/>
        <v>1</v>
      </c>
      <c r="M1532" s="152" t="s">
        <v>425</v>
      </c>
      <c r="N1532" s="153"/>
      <c r="O1532" s="153"/>
      <c r="P1532" s="153"/>
      <c r="Q1532" s="153"/>
      <c r="R1532" s="153"/>
      <c r="S1532" s="154">
        <f t="shared" si="158"/>
        <v>0</v>
      </c>
      <c r="T1532" s="153"/>
      <c r="U1532" s="169">
        <f t="shared" si="160"/>
        <v>0</v>
      </c>
      <c r="V1532" s="156"/>
      <c r="W1532" s="158"/>
      <c r="X1532" s="158"/>
      <c r="Y1532" s="158"/>
      <c r="Z1532" s="153"/>
      <c r="AA1532" s="159" t="s">
        <v>278</v>
      </c>
      <c r="AB1532" s="160"/>
      <c r="AC1532" s="174">
        <f t="shared" si="159"/>
        <v>0</v>
      </c>
    </row>
    <row r="1533" spans="10:29" ht="12.5" hidden="1">
      <c r="J1533" s="149"/>
      <c r="K1533" s="171">
        <f>MAX(K$1232:K1532)+1</f>
        <v>302</v>
      </c>
      <c r="L1533" s="172">
        <f t="shared" si="157"/>
        <v>1</v>
      </c>
      <c r="M1533" s="152" t="s">
        <v>426</v>
      </c>
      <c r="N1533" s="153"/>
      <c r="O1533" s="153"/>
      <c r="P1533" s="153"/>
      <c r="Q1533" s="153"/>
      <c r="R1533" s="153"/>
      <c r="S1533" s="154">
        <f t="shared" si="158"/>
        <v>0</v>
      </c>
      <c r="T1533" s="153"/>
      <c r="U1533" s="169">
        <f t="shared" si="160"/>
        <v>0</v>
      </c>
      <c r="V1533" s="156"/>
      <c r="W1533" s="158"/>
      <c r="X1533" s="158"/>
      <c r="Y1533" s="158"/>
      <c r="Z1533" s="153"/>
      <c r="AA1533" s="159" t="s">
        <v>278</v>
      </c>
      <c r="AB1533" s="160"/>
      <c r="AC1533" s="174">
        <f t="shared" si="159"/>
        <v>0</v>
      </c>
    </row>
    <row r="1534" spans="10:29" ht="12.5" hidden="1">
      <c r="J1534" s="149"/>
      <c r="K1534" s="171">
        <f>MAX(K$1232:K1533)+1</f>
        <v>303</v>
      </c>
      <c r="L1534" s="172">
        <f t="shared" si="157"/>
        <v>1</v>
      </c>
      <c r="M1534" s="152" t="s">
        <v>427</v>
      </c>
      <c r="N1534" s="153"/>
      <c r="O1534" s="153"/>
      <c r="P1534" s="153"/>
      <c r="Q1534" s="153"/>
      <c r="R1534" s="153"/>
      <c r="S1534" s="154">
        <f t="shared" si="158"/>
        <v>0</v>
      </c>
      <c r="T1534" s="153"/>
      <c r="U1534" s="169">
        <f t="shared" si="160"/>
        <v>0</v>
      </c>
      <c r="V1534" s="156"/>
      <c r="W1534" s="158"/>
      <c r="X1534" s="158"/>
      <c r="Y1534" s="158"/>
      <c r="Z1534" s="153"/>
      <c r="AA1534" s="159" t="s">
        <v>278</v>
      </c>
      <c r="AB1534" s="160"/>
      <c r="AC1534" s="174">
        <f t="shared" si="159"/>
        <v>0</v>
      </c>
    </row>
    <row r="1535" spans="10:29" ht="12.5" hidden="1">
      <c r="J1535" s="149"/>
      <c r="K1535" s="171">
        <f>MAX(K$1232:K1534)+1</f>
        <v>304</v>
      </c>
      <c r="L1535" s="172">
        <f t="shared" si="157"/>
        <v>1</v>
      </c>
      <c r="M1535" s="152" t="s">
        <v>428</v>
      </c>
      <c r="N1535" s="153"/>
      <c r="O1535" s="153"/>
      <c r="P1535" s="153"/>
      <c r="Q1535" s="153"/>
      <c r="R1535" s="153"/>
      <c r="S1535" s="154">
        <f t="shared" si="158"/>
        <v>0</v>
      </c>
      <c r="T1535" s="153"/>
      <c r="U1535" s="169">
        <f t="shared" si="160"/>
        <v>0</v>
      </c>
      <c r="V1535" s="156"/>
      <c r="W1535" s="158"/>
      <c r="X1535" s="158"/>
      <c r="Y1535" s="158"/>
      <c r="Z1535" s="153"/>
      <c r="AA1535" s="159" t="s">
        <v>278</v>
      </c>
      <c r="AB1535" s="160"/>
      <c r="AC1535" s="174">
        <f t="shared" si="159"/>
        <v>0</v>
      </c>
    </row>
    <row r="1536" spans="10:29" ht="12.5" hidden="1">
      <c r="J1536" s="149"/>
      <c r="K1536" s="171">
        <f>MAX(K$1232:K1535)+1</f>
        <v>305</v>
      </c>
      <c r="L1536" s="172">
        <f t="shared" si="157"/>
        <v>1</v>
      </c>
      <c r="M1536" s="152" t="s">
        <v>429</v>
      </c>
      <c r="N1536" s="153"/>
      <c r="O1536" s="153"/>
      <c r="P1536" s="153"/>
      <c r="Q1536" s="153"/>
      <c r="R1536" s="153"/>
      <c r="S1536" s="154">
        <f t="shared" si="158"/>
        <v>0</v>
      </c>
      <c r="T1536" s="153"/>
      <c r="U1536" s="169">
        <f t="shared" si="160"/>
        <v>0</v>
      </c>
      <c r="V1536" s="156"/>
      <c r="W1536" s="158"/>
      <c r="X1536" s="158"/>
      <c r="Y1536" s="158"/>
      <c r="Z1536" s="153"/>
      <c r="AA1536" s="159" t="s">
        <v>278</v>
      </c>
      <c r="AB1536" s="160"/>
      <c r="AC1536" s="174">
        <f t="shared" si="159"/>
        <v>0</v>
      </c>
    </row>
    <row r="1537" spans="10:29" ht="12.5" hidden="1">
      <c r="J1537" s="149"/>
      <c r="K1537" s="171">
        <f>MAX(K$1232:K1536)+1</f>
        <v>306</v>
      </c>
      <c r="L1537" s="172">
        <f t="shared" si="157"/>
        <v>1</v>
      </c>
      <c r="M1537" s="152" t="s">
        <v>430</v>
      </c>
      <c r="N1537" s="153"/>
      <c r="O1537" s="153"/>
      <c r="P1537" s="153"/>
      <c r="Q1537" s="153"/>
      <c r="R1537" s="153"/>
      <c r="S1537" s="154">
        <f t="shared" si="158"/>
        <v>0</v>
      </c>
      <c r="T1537" s="153"/>
      <c r="U1537" s="169">
        <f t="shared" si="160"/>
        <v>0</v>
      </c>
      <c r="V1537" s="156"/>
      <c r="W1537" s="158"/>
      <c r="X1537" s="158"/>
      <c r="Y1537" s="158"/>
      <c r="Z1537" s="153"/>
      <c r="AA1537" s="159" t="s">
        <v>278</v>
      </c>
      <c r="AB1537" s="160"/>
      <c r="AC1537" s="174">
        <f t="shared" si="159"/>
        <v>0</v>
      </c>
    </row>
    <row r="1538" spans="10:29" ht="12.5" hidden="1">
      <c r="J1538" s="149"/>
      <c r="K1538" s="171">
        <f>MAX(K$1232:K1537)+1</f>
        <v>307</v>
      </c>
      <c r="L1538" s="172">
        <f t="shared" si="157"/>
        <v>1</v>
      </c>
      <c r="M1538" s="152" t="s">
        <v>431</v>
      </c>
      <c r="N1538" s="153"/>
      <c r="O1538" s="153"/>
      <c r="P1538" s="153"/>
      <c r="Q1538" s="153"/>
      <c r="R1538" s="153"/>
      <c r="S1538" s="154">
        <f t="shared" si="158"/>
        <v>0</v>
      </c>
      <c r="T1538" s="153"/>
      <c r="U1538" s="169">
        <f t="shared" si="160"/>
        <v>0</v>
      </c>
      <c r="V1538" s="156"/>
      <c r="W1538" s="158"/>
      <c r="X1538" s="158"/>
      <c r="Y1538" s="158"/>
      <c r="Z1538" s="153"/>
      <c r="AA1538" s="159" t="s">
        <v>278</v>
      </c>
      <c r="AB1538" s="160"/>
      <c r="AC1538" s="174">
        <f t="shared" si="159"/>
        <v>0</v>
      </c>
    </row>
    <row r="1539" spans="10:29" ht="12.5" hidden="1">
      <c r="J1539" s="149"/>
      <c r="K1539" s="171">
        <f>MAX(K$1232:K1538)+1</f>
        <v>308</v>
      </c>
      <c r="L1539" s="172">
        <f t="shared" si="157"/>
        <v>1</v>
      </c>
      <c r="M1539" s="152" t="s">
        <v>432</v>
      </c>
      <c r="N1539" s="153"/>
      <c r="O1539" s="153"/>
      <c r="P1539" s="153"/>
      <c r="Q1539" s="153"/>
      <c r="R1539" s="153"/>
      <c r="S1539" s="154">
        <f t="shared" si="158"/>
        <v>0</v>
      </c>
      <c r="T1539" s="153"/>
      <c r="U1539" s="169">
        <f t="shared" si="160"/>
        <v>0</v>
      </c>
      <c r="V1539" s="156"/>
      <c r="W1539" s="158"/>
      <c r="X1539" s="158"/>
      <c r="Y1539" s="158"/>
      <c r="Z1539" s="153"/>
      <c r="AA1539" s="159" t="s">
        <v>278</v>
      </c>
      <c r="AB1539" s="160"/>
      <c r="AC1539" s="174">
        <f t="shared" si="159"/>
        <v>0</v>
      </c>
    </row>
    <row r="1540" spans="10:29" ht="12.5" hidden="1">
      <c r="J1540" s="149"/>
      <c r="K1540" s="171">
        <f>MAX(K$1232:K1539)+1</f>
        <v>309</v>
      </c>
      <c r="L1540" s="172">
        <f t="shared" si="157"/>
        <v>1</v>
      </c>
      <c r="M1540" s="152" t="s">
        <v>433</v>
      </c>
      <c r="N1540" s="153"/>
      <c r="O1540" s="153"/>
      <c r="P1540" s="153"/>
      <c r="Q1540" s="153"/>
      <c r="R1540" s="153"/>
      <c r="S1540" s="154">
        <f t="shared" si="158"/>
        <v>0</v>
      </c>
      <c r="T1540" s="153"/>
      <c r="U1540" s="169">
        <f t="shared" si="160"/>
        <v>0</v>
      </c>
      <c r="V1540" s="156"/>
      <c r="W1540" s="158"/>
      <c r="X1540" s="158"/>
      <c r="Y1540" s="158"/>
      <c r="Z1540" s="153"/>
      <c r="AA1540" s="159" t="s">
        <v>278</v>
      </c>
      <c r="AB1540" s="160"/>
      <c r="AC1540" s="174">
        <f t="shared" si="159"/>
        <v>0</v>
      </c>
    </row>
    <row r="1541" spans="10:29" ht="12.5" hidden="1">
      <c r="J1541" s="149"/>
      <c r="K1541" s="171">
        <f>MAX(K$1232:K1540)+1</f>
        <v>310</v>
      </c>
      <c r="L1541" s="172">
        <f t="shared" si="157"/>
        <v>1</v>
      </c>
      <c r="M1541" s="152" t="s">
        <v>434</v>
      </c>
      <c r="N1541" s="153"/>
      <c r="O1541" s="153"/>
      <c r="P1541" s="153"/>
      <c r="Q1541" s="153"/>
      <c r="R1541" s="153"/>
      <c r="S1541" s="154">
        <f t="shared" si="158"/>
        <v>0</v>
      </c>
      <c r="T1541" s="153"/>
      <c r="U1541" s="169">
        <f t="shared" si="160"/>
        <v>0</v>
      </c>
      <c r="V1541" s="156"/>
      <c r="W1541" s="158"/>
      <c r="X1541" s="158"/>
      <c r="Y1541" s="158"/>
      <c r="Z1541" s="153"/>
      <c r="AA1541" s="159" t="s">
        <v>278</v>
      </c>
      <c r="AB1541" s="160"/>
      <c r="AC1541" s="174">
        <f t="shared" si="159"/>
        <v>0</v>
      </c>
    </row>
    <row r="1542" spans="10:29" ht="12.5" hidden="1">
      <c r="J1542" s="149"/>
      <c r="K1542" s="171">
        <f>MAX(K$1232:K1541)+1</f>
        <v>311</v>
      </c>
      <c r="L1542" s="172">
        <f t="shared" si="157"/>
        <v>1</v>
      </c>
      <c r="M1542" s="152" t="s">
        <v>435</v>
      </c>
      <c r="N1542" s="153"/>
      <c r="O1542" s="153"/>
      <c r="P1542" s="153"/>
      <c r="Q1542" s="153"/>
      <c r="R1542" s="153"/>
      <c r="S1542" s="154">
        <f t="shared" si="158"/>
        <v>0</v>
      </c>
      <c r="T1542" s="153"/>
      <c r="U1542" s="169">
        <f t="shared" si="160"/>
        <v>0</v>
      </c>
      <c r="V1542" s="156"/>
      <c r="W1542" s="158"/>
      <c r="X1542" s="158"/>
      <c r="Y1542" s="158"/>
      <c r="Z1542" s="153"/>
      <c r="AA1542" s="159" t="s">
        <v>278</v>
      </c>
      <c r="AB1542" s="160"/>
      <c r="AC1542" s="174">
        <f t="shared" si="159"/>
        <v>0</v>
      </c>
    </row>
    <row r="1543" spans="10:29" ht="12.5" hidden="1">
      <c r="J1543" s="149"/>
      <c r="K1543" s="171">
        <f>MAX(K$1232:K1542)+1</f>
        <v>312</v>
      </c>
      <c r="L1543" s="172">
        <f t="shared" si="157"/>
        <v>1</v>
      </c>
      <c r="M1543" s="152" t="s">
        <v>436</v>
      </c>
      <c r="N1543" s="153"/>
      <c r="O1543" s="153"/>
      <c r="P1543" s="153"/>
      <c r="Q1543" s="153"/>
      <c r="R1543" s="153"/>
      <c r="S1543" s="154">
        <f t="shared" si="158"/>
        <v>0</v>
      </c>
      <c r="T1543" s="153"/>
      <c r="U1543" s="169">
        <f t="shared" si="160"/>
        <v>0</v>
      </c>
      <c r="V1543" s="156"/>
      <c r="W1543" s="158"/>
      <c r="X1543" s="158"/>
      <c r="Y1543" s="158"/>
      <c r="Z1543" s="153"/>
      <c r="AA1543" s="159" t="s">
        <v>278</v>
      </c>
      <c r="AB1543" s="160"/>
      <c r="AC1543" s="174">
        <f t="shared" si="159"/>
        <v>0</v>
      </c>
    </row>
    <row r="1544" spans="10:29" ht="12.5" hidden="1">
      <c r="J1544" s="149"/>
      <c r="K1544" s="171">
        <f>MAX(K$1232:K1543)+1</f>
        <v>313</v>
      </c>
      <c r="L1544" s="172">
        <f t="shared" si="157"/>
        <v>1</v>
      </c>
      <c r="M1544" s="152" t="s">
        <v>437</v>
      </c>
      <c r="N1544" s="153"/>
      <c r="O1544" s="153"/>
      <c r="P1544" s="153"/>
      <c r="Q1544" s="153"/>
      <c r="R1544" s="153"/>
      <c r="S1544" s="154">
        <f t="shared" si="158"/>
        <v>0</v>
      </c>
      <c r="T1544" s="153"/>
      <c r="U1544" s="169">
        <f t="shared" si="160"/>
        <v>0</v>
      </c>
      <c r="V1544" s="156"/>
      <c r="W1544" s="158"/>
      <c r="X1544" s="158"/>
      <c r="Y1544" s="158"/>
      <c r="Z1544" s="153"/>
      <c r="AA1544" s="159" t="s">
        <v>278</v>
      </c>
      <c r="AB1544" s="160"/>
      <c r="AC1544" s="174">
        <f t="shared" si="159"/>
        <v>0</v>
      </c>
    </row>
    <row r="1545" spans="10:29" ht="12.5" hidden="1">
      <c r="J1545" s="149"/>
      <c r="K1545" s="171">
        <f>MAX(K$1232:K1544)+1</f>
        <v>314</v>
      </c>
      <c r="L1545" s="172">
        <f t="shared" si="157"/>
        <v>1</v>
      </c>
      <c r="M1545" s="152" t="s">
        <v>438</v>
      </c>
      <c r="N1545" s="153"/>
      <c r="O1545" s="153"/>
      <c r="P1545" s="153"/>
      <c r="Q1545" s="153"/>
      <c r="R1545" s="153"/>
      <c r="S1545" s="154">
        <f t="shared" si="158"/>
        <v>0</v>
      </c>
      <c r="T1545" s="153"/>
      <c r="U1545" s="169">
        <f t="shared" si="160"/>
        <v>0</v>
      </c>
      <c r="V1545" s="156"/>
      <c r="W1545" s="158"/>
      <c r="X1545" s="158"/>
      <c r="Y1545" s="158"/>
      <c r="Z1545" s="153"/>
      <c r="AA1545" s="159" t="s">
        <v>278</v>
      </c>
      <c r="AB1545" s="160"/>
      <c r="AC1545" s="174">
        <f t="shared" si="159"/>
        <v>0</v>
      </c>
    </row>
    <row r="1546" spans="10:29" ht="12.5" hidden="1">
      <c r="J1546" s="149"/>
      <c r="K1546" s="171">
        <f>MAX(K$1232:K1545)+1</f>
        <v>315</v>
      </c>
      <c r="L1546" s="172">
        <f t="shared" si="157"/>
        <v>1</v>
      </c>
      <c r="M1546" s="152" t="s">
        <v>439</v>
      </c>
      <c r="N1546" s="153"/>
      <c r="O1546" s="153"/>
      <c r="P1546" s="153"/>
      <c r="Q1546" s="153"/>
      <c r="R1546" s="153"/>
      <c r="S1546" s="154">
        <f t="shared" si="158"/>
        <v>0</v>
      </c>
      <c r="T1546" s="153"/>
      <c r="U1546" s="169">
        <f t="shared" si="160"/>
        <v>0</v>
      </c>
      <c r="V1546" s="156"/>
      <c r="W1546" s="158"/>
      <c r="X1546" s="158"/>
      <c r="Y1546" s="158"/>
      <c r="Z1546" s="153"/>
      <c r="AA1546" s="159" t="s">
        <v>278</v>
      </c>
      <c r="AB1546" s="160"/>
      <c r="AC1546" s="174">
        <f t="shared" si="159"/>
        <v>0</v>
      </c>
    </row>
    <row r="1547" spans="10:29" ht="12.5" hidden="1">
      <c r="J1547" s="149"/>
      <c r="K1547" s="171">
        <f>MAX(K$1232:K1546)+1</f>
        <v>316</v>
      </c>
      <c r="L1547" s="172">
        <f t="shared" si="157"/>
        <v>1</v>
      </c>
      <c r="M1547" s="152" t="s">
        <v>440</v>
      </c>
      <c r="N1547" s="153"/>
      <c r="O1547" s="153"/>
      <c r="P1547" s="153"/>
      <c r="Q1547" s="153"/>
      <c r="R1547" s="153"/>
      <c r="S1547" s="154">
        <f t="shared" si="158"/>
        <v>0</v>
      </c>
      <c r="T1547" s="153"/>
      <c r="U1547" s="169">
        <f t="shared" si="160"/>
        <v>0</v>
      </c>
      <c r="V1547" s="156"/>
      <c r="W1547" s="158"/>
      <c r="X1547" s="158"/>
      <c r="Y1547" s="158"/>
      <c r="Z1547" s="153"/>
      <c r="AA1547" s="159" t="s">
        <v>278</v>
      </c>
      <c r="AB1547" s="160"/>
      <c r="AC1547" s="174">
        <f t="shared" si="159"/>
        <v>0</v>
      </c>
    </row>
    <row r="1548" spans="10:29" ht="12.5" hidden="1">
      <c r="J1548" s="149"/>
      <c r="K1548" s="171">
        <f>MAX(K$1232:K1547)+1</f>
        <v>317</v>
      </c>
      <c r="L1548" s="172">
        <f t="shared" si="157"/>
        <v>1</v>
      </c>
      <c r="M1548" s="152" t="s">
        <v>441</v>
      </c>
      <c r="N1548" s="153"/>
      <c r="O1548" s="153"/>
      <c r="P1548" s="153"/>
      <c r="Q1548" s="153"/>
      <c r="R1548" s="153"/>
      <c r="S1548" s="154">
        <f t="shared" si="158"/>
        <v>0</v>
      </c>
      <c r="T1548" s="153"/>
      <c r="U1548" s="169">
        <f t="shared" si="160"/>
        <v>0</v>
      </c>
      <c r="V1548" s="156"/>
      <c r="W1548" s="158"/>
      <c r="X1548" s="158"/>
      <c r="Y1548" s="158"/>
      <c r="Z1548" s="153"/>
      <c r="AA1548" s="159" t="s">
        <v>278</v>
      </c>
      <c r="AB1548" s="160"/>
      <c r="AC1548" s="174">
        <f t="shared" si="159"/>
        <v>0</v>
      </c>
    </row>
    <row r="1549" spans="10:29" ht="12.5" hidden="1">
      <c r="J1549" s="149"/>
      <c r="K1549" s="171">
        <f>MAX(K$1232:K1548)+1</f>
        <v>318</v>
      </c>
      <c r="L1549" s="172">
        <f t="shared" si="157"/>
        <v>1</v>
      </c>
      <c r="M1549" s="152" t="s">
        <v>442</v>
      </c>
      <c r="N1549" s="153"/>
      <c r="O1549" s="153"/>
      <c r="P1549" s="153"/>
      <c r="Q1549" s="153"/>
      <c r="R1549" s="153"/>
      <c r="S1549" s="154">
        <f t="shared" si="158"/>
        <v>0</v>
      </c>
      <c r="T1549" s="153"/>
      <c r="U1549" s="169">
        <f t="shared" si="160"/>
        <v>0</v>
      </c>
      <c r="V1549" s="156"/>
      <c r="W1549" s="158"/>
      <c r="X1549" s="158"/>
      <c r="Y1549" s="158"/>
      <c r="Z1549" s="153"/>
      <c r="AA1549" s="159" t="s">
        <v>278</v>
      </c>
      <c r="AB1549" s="160"/>
      <c r="AC1549" s="174">
        <f t="shared" si="159"/>
        <v>0</v>
      </c>
    </row>
    <row r="1550" spans="10:29" ht="12.5" hidden="1">
      <c r="J1550" s="149"/>
      <c r="K1550" s="171">
        <f>MAX(K$1232:K1549)+1</f>
        <v>319</v>
      </c>
      <c r="L1550" s="172">
        <f t="shared" si="157"/>
        <v>1</v>
      </c>
      <c r="M1550" s="152" t="s">
        <v>443</v>
      </c>
      <c r="N1550" s="153"/>
      <c r="O1550" s="153"/>
      <c r="P1550" s="153"/>
      <c r="Q1550" s="153"/>
      <c r="R1550" s="153"/>
      <c r="S1550" s="154">
        <f t="shared" si="158"/>
        <v>0</v>
      </c>
      <c r="T1550" s="153"/>
      <c r="U1550" s="169">
        <f t="shared" si="160"/>
        <v>0</v>
      </c>
      <c r="V1550" s="156"/>
      <c r="W1550" s="158"/>
      <c r="X1550" s="158"/>
      <c r="Y1550" s="158"/>
      <c r="Z1550" s="153"/>
      <c r="AA1550" s="159" t="s">
        <v>278</v>
      </c>
      <c r="AB1550" s="160"/>
      <c r="AC1550" s="174">
        <f t="shared" si="159"/>
        <v>0</v>
      </c>
    </row>
    <row r="1551" spans="10:29" ht="12.5" hidden="1">
      <c r="J1551" s="149"/>
      <c r="K1551" s="171">
        <f>MAX(K$1232:K1550)+1</f>
        <v>320</v>
      </c>
      <c r="L1551" s="172">
        <f t="shared" si="157"/>
        <v>1</v>
      </c>
      <c r="M1551" s="152" t="s">
        <v>444</v>
      </c>
      <c r="N1551" s="153"/>
      <c r="O1551" s="153"/>
      <c r="P1551" s="153"/>
      <c r="Q1551" s="153"/>
      <c r="R1551" s="153"/>
      <c r="S1551" s="154">
        <f t="shared" si="158"/>
        <v>0</v>
      </c>
      <c r="T1551" s="153"/>
      <c r="U1551" s="169">
        <f t="shared" si="160"/>
        <v>0</v>
      </c>
      <c r="V1551" s="156"/>
      <c r="W1551" s="158"/>
      <c r="X1551" s="158"/>
      <c r="Y1551" s="158"/>
      <c r="Z1551" s="153"/>
      <c r="AA1551" s="159" t="s">
        <v>278</v>
      </c>
      <c r="AB1551" s="160"/>
      <c r="AC1551" s="174">
        <f t="shared" si="159"/>
        <v>0</v>
      </c>
    </row>
    <row r="1552" spans="10:29" ht="12.5" hidden="1">
      <c r="J1552" s="149"/>
      <c r="K1552" s="171">
        <f>MAX(K$1232:K1551)+1</f>
        <v>321</v>
      </c>
      <c r="L1552" s="172">
        <f t="shared" si="157"/>
        <v>1</v>
      </c>
      <c r="M1552" s="152" t="s">
        <v>445</v>
      </c>
      <c r="N1552" s="153"/>
      <c r="O1552" s="153"/>
      <c r="P1552" s="153"/>
      <c r="Q1552" s="153"/>
      <c r="R1552" s="153"/>
      <c r="S1552" s="154">
        <f t="shared" si="158"/>
        <v>0</v>
      </c>
      <c r="T1552" s="153"/>
      <c r="U1552" s="169">
        <f t="shared" si="160"/>
        <v>0</v>
      </c>
      <c r="V1552" s="156"/>
      <c r="W1552" s="158"/>
      <c r="X1552" s="158"/>
      <c r="Y1552" s="158"/>
      <c r="Z1552" s="153"/>
      <c r="AA1552" s="159" t="s">
        <v>278</v>
      </c>
      <c r="AB1552" s="160"/>
      <c r="AC1552" s="174">
        <f t="shared" si="159"/>
        <v>0</v>
      </c>
    </row>
    <row r="1553" spans="10:29" ht="12.5" hidden="1">
      <c r="J1553" s="149"/>
      <c r="K1553" s="171">
        <f>MAX(K$1232:K1552)+1</f>
        <v>322</v>
      </c>
      <c r="L1553" s="172">
        <f t="shared" ref="L1553:L1616" si="161">IF(J1552="",L1552,L1552+1)</f>
        <v>1</v>
      </c>
      <c r="M1553" s="152" t="s">
        <v>446</v>
      </c>
      <c r="N1553" s="153"/>
      <c r="O1553" s="153"/>
      <c r="P1553" s="153"/>
      <c r="Q1553" s="153"/>
      <c r="R1553" s="153"/>
      <c r="S1553" s="154">
        <f t="shared" si="158"/>
        <v>0</v>
      </c>
      <c r="T1553" s="153"/>
      <c r="U1553" s="169">
        <f t="shared" si="160"/>
        <v>0</v>
      </c>
      <c r="V1553" s="156"/>
      <c r="W1553" s="158"/>
      <c r="X1553" s="158"/>
      <c r="Y1553" s="158"/>
      <c r="Z1553" s="153"/>
      <c r="AA1553" s="159" t="s">
        <v>278</v>
      </c>
      <c r="AB1553" s="160"/>
      <c r="AC1553" s="174">
        <f t="shared" si="159"/>
        <v>0</v>
      </c>
    </row>
    <row r="1554" spans="10:29" ht="12.5" hidden="1">
      <c r="J1554" s="149"/>
      <c r="K1554" s="171">
        <f>MAX(K$1232:K1553)+1</f>
        <v>323</v>
      </c>
      <c r="L1554" s="172">
        <f t="shared" si="161"/>
        <v>1</v>
      </c>
      <c r="M1554" s="152" t="s">
        <v>447</v>
      </c>
      <c r="N1554" s="153"/>
      <c r="O1554" s="153"/>
      <c r="P1554" s="153"/>
      <c r="Q1554" s="153"/>
      <c r="R1554" s="153"/>
      <c r="S1554" s="154">
        <f t="shared" si="158"/>
        <v>0</v>
      </c>
      <c r="T1554" s="153"/>
      <c r="U1554" s="169">
        <f t="shared" si="160"/>
        <v>0</v>
      </c>
      <c r="V1554" s="156"/>
      <c r="W1554" s="158"/>
      <c r="X1554" s="158"/>
      <c r="Y1554" s="158"/>
      <c r="Z1554" s="153"/>
      <c r="AA1554" s="159" t="s">
        <v>278</v>
      </c>
      <c r="AB1554" s="160"/>
      <c r="AC1554" s="174">
        <f t="shared" si="159"/>
        <v>0</v>
      </c>
    </row>
    <row r="1555" spans="10:29" ht="12.5" hidden="1">
      <c r="J1555" s="149"/>
      <c r="K1555" s="171">
        <f>MAX(K$1232:K1554)+1</f>
        <v>324</v>
      </c>
      <c r="L1555" s="172">
        <f t="shared" si="161"/>
        <v>1</v>
      </c>
      <c r="M1555" s="152" t="s">
        <v>448</v>
      </c>
      <c r="N1555" s="153"/>
      <c r="O1555" s="153"/>
      <c r="P1555" s="153"/>
      <c r="Q1555" s="153"/>
      <c r="R1555" s="153"/>
      <c r="S1555" s="154">
        <f t="shared" si="158"/>
        <v>0</v>
      </c>
      <c r="T1555" s="153"/>
      <c r="U1555" s="169">
        <f t="shared" si="160"/>
        <v>0</v>
      </c>
      <c r="V1555" s="156"/>
      <c r="W1555" s="158"/>
      <c r="X1555" s="158"/>
      <c r="Y1555" s="158"/>
      <c r="Z1555" s="153"/>
      <c r="AA1555" s="159" t="s">
        <v>278</v>
      </c>
      <c r="AB1555" s="160"/>
      <c r="AC1555" s="174">
        <f t="shared" si="159"/>
        <v>0</v>
      </c>
    </row>
    <row r="1556" spans="10:29" ht="12.5" hidden="1">
      <c r="J1556" s="149"/>
      <c r="K1556" s="171">
        <f>MAX(K$1232:K1555)+1</f>
        <v>325</v>
      </c>
      <c r="L1556" s="172">
        <f t="shared" si="161"/>
        <v>1</v>
      </c>
      <c r="M1556" s="152" t="s">
        <v>449</v>
      </c>
      <c r="N1556" s="153"/>
      <c r="O1556" s="153"/>
      <c r="P1556" s="153"/>
      <c r="Q1556" s="153"/>
      <c r="R1556" s="153"/>
      <c r="S1556" s="154">
        <f t="shared" si="158"/>
        <v>0</v>
      </c>
      <c r="T1556" s="153"/>
      <c r="U1556" s="169">
        <f t="shared" si="160"/>
        <v>0</v>
      </c>
      <c r="V1556" s="156"/>
      <c r="W1556" s="158"/>
      <c r="X1556" s="158"/>
      <c r="Y1556" s="158"/>
      <c r="Z1556" s="153"/>
      <c r="AA1556" s="159" t="s">
        <v>278</v>
      </c>
      <c r="AB1556" s="160"/>
      <c r="AC1556" s="174">
        <f t="shared" si="159"/>
        <v>0</v>
      </c>
    </row>
    <row r="1557" spans="10:29" ht="12.5" hidden="1">
      <c r="J1557" s="149"/>
      <c r="K1557" s="171">
        <f>MAX(K$1232:K1556)+1</f>
        <v>326</v>
      </c>
      <c r="L1557" s="172">
        <f t="shared" si="161"/>
        <v>1</v>
      </c>
      <c r="M1557" s="152" t="s">
        <v>450</v>
      </c>
      <c r="N1557" s="153"/>
      <c r="O1557" s="153"/>
      <c r="P1557" s="153"/>
      <c r="Q1557" s="153"/>
      <c r="R1557" s="153"/>
      <c r="S1557" s="154">
        <f t="shared" si="158"/>
        <v>0</v>
      </c>
      <c r="T1557" s="153"/>
      <c r="U1557" s="169">
        <f t="shared" si="160"/>
        <v>0</v>
      </c>
      <c r="V1557" s="156"/>
      <c r="W1557" s="158"/>
      <c r="X1557" s="158"/>
      <c r="Y1557" s="158"/>
      <c r="Z1557" s="153"/>
      <c r="AA1557" s="159" t="s">
        <v>278</v>
      </c>
      <c r="AB1557" s="160"/>
      <c r="AC1557" s="174">
        <f t="shared" si="159"/>
        <v>0</v>
      </c>
    </row>
    <row r="1558" spans="10:29" ht="12.5" hidden="1">
      <c r="J1558" s="149"/>
      <c r="K1558" s="171">
        <f>MAX(K$1232:K1557)+1</f>
        <v>327</v>
      </c>
      <c r="L1558" s="172">
        <f t="shared" si="161"/>
        <v>1</v>
      </c>
      <c r="M1558" s="152" t="s">
        <v>451</v>
      </c>
      <c r="N1558" s="153"/>
      <c r="O1558" s="153"/>
      <c r="P1558" s="153"/>
      <c r="Q1558" s="153"/>
      <c r="R1558" s="153"/>
      <c r="S1558" s="154">
        <f t="shared" si="158"/>
        <v>0</v>
      </c>
      <c r="T1558" s="153"/>
      <c r="U1558" s="169">
        <f t="shared" si="160"/>
        <v>0</v>
      </c>
      <c r="V1558" s="156"/>
      <c r="W1558" s="158"/>
      <c r="X1558" s="158"/>
      <c r="Y1558" s="158"/>
      <c r="Z1558" s="153"/>
      <c r="AA1558" s="159" t="s">
        <v>278</v>
      </c>
      <c r="AB1558" s="160"/>
      <c r="AC1558" s="174">
        <f t="shared" si="159"/>
        <v>0</v>
      </c>
    </row>
    <row r="1559" spans="10:29" ht="12.5" hidden="1">
      <c r="J1559" s="149"/>
      <c r="K1559" s="171">
        <f>MAX(K$1232:K1558)+1</f>
        <v>328</v>
      </c>
      <c r="L1559" s="172">
        <f t="shared" si="161"/>
        <v>1</v>
      </c>
      <c r="M1559" s="152" t="s">
        <v>452</v>
      </c>
      <c r="N1559" s="153"/>
      <c r="O1559" s="153"/>
      <c r="P1559" s="153"/>
      <c r="Q1559" s="153"/>
      <c r="R1559" s="153"/>
      <c r="S1559" s="154">
        <f t="shared" si="158"/>
        <v>0</v>
      </c>
      <c r="T1559" s="153"/>
      <c r="U1559" s="169">
        <f t="shared" si="160"/>
        <v>0</v>
      </c>
      <c r="V1559" s="156"/>
      <c r="W1559" s="158"/>
      <c r="X1559" s="158"/>
      <c r="Y1559" s="158"/>
      <c r="Z1559" s="153"/>
      <c r="AA1559" s="159" t="s">
        <v>278</v>
      </c>
      <c r="AB1559" s="160"/>
      <c r="AC1559" s="174">
        <f t="shared" si="159"/>
        <v>0</v>
      </c>
    </row>
    <row r="1560" spans="10:29" ht="12.5" hidden="1">
      <c r="J1560" s="149"/>
      <c r="K1560" s="171">
        <f>MAX(K$1232:K1559)+1</f>
        <v>329</v>
      </c>
      <c r="L1560" s="172">
        <f t="shared" si="161"/>
        <v>1</v>
      </c>
      <c r="M1560" s="152" t="s">
        <v>453</v>
      </c>
      <c r="N1560" s="153"/>
      <c r="O1560" s="153"/>
      <c r="P1560" s="153"/>
      <c r="Q1560" s="153"/>
      <c r="R1560" s="153"/>
      <c r="S1560" s="154">
        <f t="shared" si="158"/>
        <v>0</v>
      </c>
      <c r="T1560" s="153"/>
      <c r="U1560" s="169">
        <f t="shared" si="160"/>
        <v>0</v>
      </c>
      <c r="V1560" s="156"/>
      <c r="W1560" s="158"/>
      <c r="X1560" s="158"/>
      <c r="Y1560" s="158"/>
      <c r="Z1560" s="153"/>
      <c r="AA1560" s="159" t="s">
        <v>278</v>
      </c>
      <c r="AB1560" s="160"/>
      <c r="AC1560" s="174">
        <f t="shared" si="159"/>
        <v>0</v>
      </c>
    </row>
    <row r="1561" spans="10:29" ht="12.5" hidden="1">
      <c r="J1561" s="149"/>
      <c r="K1561" s="171">
        <f>MAX(K$1232:K1560)+1</f>
        <v>330</v>
      </c>
      <c r="L1561" s="172">
        <f t="shared" si="161"/>
        <v>1</v>
      </c>
      <c r="M1561" s="152" t="s">
        <v>454</v>
      </c>
      <c r="N1561" s="153"/>
      <c r="O1561" s="153"/>
      <c r="P1561" s="153"/>
      <c r="Q1561" s="153"/>
      <c r="R1561" s="153"/>
      <c r="S1561" s="154">
        <f t="shared" si="158"/>
        <v>0</v>
      </c>
      <c r="T1561" s="153"/>
      <c r="U1561" s="169">
        <f t="shared" si="160"/>
        <v>0</v>
      </c>
      <c r="V1561" s="156"/>
      <c r="W1561" s="158"/>
      <c r="X1561" s="158"/>
      <c r="Y1561" s="158"/>
      <c r="Z1561" s="153"/>
      <c r="AA1561" s="159" t="s">
        <v>278</v>
      </c>
      <c r="AB1561" s="160"/>
      <c r="AC1561" s="174">
        <f t="shared" si="159"/>
        <v>0</v>
      </c>
    </row>
    <row r="1562" spans="10:29" ht="12.5" hidden="1">
      <c r="J1562" s="149"/>
      <c r="K1562" s="171">
        <f>MAX(K$1232:K1561)+1</f>
        <v>331</v>
      </c>
      <c r="L1562" s="172">
        <f t="shared" si="161"/>
        <v>1</v>
      </c>
      <c r="M1562" s="152" t="s">
        <v>455</v>
      </c>
      <c r="N1562" s="153"/>
      <c r="O1562" s="153"/>
      <c r="P1562" s="153"/>
      <c r="Q1562" s="153"/>
      <c r="R1562" s="153"/>
      <c r="S1562" s="154">
        <f t="shared" ref="S1562:S1625" si="162">SUM(N1562:R1562)</f>
        <v>0</v>
      </c>
      <c r="T1562" s="153"/>
      <c r="U1562" s="169">
        <f t="shared" si="160"/>
        <v>0</v>
      </c>
      <c r="V1562" s="156"/>
      <c r="W1562" s="158"/>
      <c r="X1562" s="158"/>
      <c r="Y1562" s="158"/>
      <c r="Z1562" s="153"/>
      <c r="AA1562" s="159" t="s">
        <v>278</v>
      </c>
      <c r="AB1562" s="160"/>
      <c r="AC1562" s="174">
        <f t="shared" ref="AC1562:AC1625" si="163">INDEX(Y1562:Z1562,1,MATCH(_WellBasketSelection,$Y$1231:$Z$1231,0))*U1562</f>
        <v>0</v>
      </c>
    </row>
    <row r="1563" spans="10:29" ht="12.5" hidden="1">
      <c r="J1563" s="149"/>
      <c r="K1563" s="171">
        <f>MAX(K$1232:K1562)+1</f>
        <v>332</v>
      </c>
      <c r="L1563" s="172">
        <f t="shared" si="161"/>
        <v>1</v>
      </c>
      <c r="M1563" s="152" t="s">
        <v>456</v>
      </c>
      <c r="N1563" s="153"/>
      <c r="O1563" s="153"/>
      <c r="P1563" s="153"/>
      <c r="Q1563" s="153"/>
      <c r="R1563" s="153"/>
      <c r="S1563" s="154">
        <f t="shared" si="162"/>
        <v>0</v>
      </c>
      <c r="T1563" s="153"/>
      <c r="U1563" s="169">
        <f t="shared" si="160"/>
        <v>0</v>
      </c>
      <c r="V1563" s="156"/>
      <c r="W1563" s="158"/>
      <c r="X1563" s="158"/>
      <c r="Y1563" s="158"/>
      <c r="Z1563" s="153"/>
      <c r="AA1563" s="159" t="s">
        <v>278</v>
      </c>
      <c r="AB1563" s="160"/>
      <c r="AC1563" s="174">
        <f t="shared" si="163"/>
        <v>0</v>
      </c>
    </row>
    <row r="1564" spans="10:29" ht="12.5" hidden="1">
      <c r="J1564" s="149"/>
      <c r="K1564" s="171">
        <f>MAX(K$1232:K1563)+1</f>
        <v>333</v>
      </c>
      <c r="L1564" s="172">
        <f t="shared" si="161"/>
        <v>1</v>
      </c>
      <c r="M1564" s="152" t="s">
        <v>457</v>
      </c>
      <c r="N1564" s="153"/>
      <c r="O1564" s="153"/>
      <c r="P1564" s="153"/>
      <c r="Q1564" s="153"/>
      <c r="R1564" s="153"/>
      <c r="S1564" s="154">
        <f t="shared" si="162"/>
        <v>0</v>
      </c>
      <c r="T1564" s="153"/>
      <c r="U1564" s="169">
        <f t="shared" si="160"/>
        <v>0</v>
      </c>
      <c r="V1564" s="156"/>
      <c r="W1564" s="158"/>
      <c r="X1564" s="158"/>
      <c r="Y1564" s="158"/>
      <c r="Z1564" s="153"/>
      <c r="AA1564" s="159" t="s">
        <v>278</v>
      </c>
      <c r="AB1564" s="160"/>
      <c r="AC1564" s="174">
        <f t="shared" si="163"/>
        <v>0</v>
      </c>
    </row>
    <row r="1565" spans="10:29" ht="12.5" hidden="1">
      <c r="J1565" s="149"/>
      <c r="K1565" s="171">
        <f>MAX(K$1232:K1564)+1</f>
        <v>334</v>
      </c>
      <c r="L1565" s="172">
        <f t="shared" si="161"/>
        <v>1</v>
      </c>
      <c r="M1565" s="152" t="s">
        <v>458</v>
      </c>
      <c r="N1565" s="153"/>
      <c r="O1565" s="153"/>
      <c r="P1565" s="153"/>
      <c r="Q1565" s="153"/>
      <c r="R1565" s="153"/>
      <c r="S1565" s="154">
        <f t="shared" si="162"/>
        <v>0</v>
      </c>
      <c r="T1565" s="153"/>
      <c r="U1565" s="169">
        <f t="shared" si="160"/>
        <v>0</v>
      </c>
      <c r="V1565" s="156"/>
      <c r="W1565" s="158"/>
      <c r="X1565" s="158"/>
      <c r="Y1565" s="158"/>
      <c r="Z1565" s="153"/>
      <c r="AA1565" s="159" t="s">
        <v>278</v>
      </c>
      <c r="AB1565" s="160"/>
      <c r="AC1565" s="174">
        <f t="shared" si="163"/>
        <v>0</v>
      </c>
    </row>
    <row r="1566" spans="10:29" ht="12.5" hidden="1">
      <c r="J1566" s="149"/>
      <c r="K1566" s="171">
        <f>MAX(K$1232:K1565)+1</f>
        <v>335</v>
      </c>
      <c r="L1566" s="172">
        <f t="shared" si="161"/>
        <v>1</v>
      </c>
      <c r="M1566" s="152" t="s">
        <v>459</v>
      </c>
      <c r="N1566" s="153"/>
      <c r="O1566" s="153"/>
      <c r="P1566" s="153"/>
      <c r="Q1566" s="153"/>
      <c r="R1566" s="153"/>
      <c r="S1566" s="154">
        <f t="shared" si="162"/>
        <v>0</v>
      </c>
      <c r="T1566" s="153"/>
      <c r="U1566" s="169">
        <f t="shared" si="160"/>
        <v>0</v>
      </c>
      <c r="V1566" s="156"/>
      <c r="W1566" s="158"/>
      <c r="X1566" s="158"/>
      <c r="Y1566" s="158"/>
      <c r="Z1566" s="153"/>
      <c r="AA1566" s="159" t="s">
        <v>278</v>
      </c>
      <c r="AB1566" s="160"/>
      <c r="AC1566" s="174">
        <f t="shared" si="163"/>
        <v>0</v>
      </c>
    </row>
    <row r="1567" spans="10:29" ht="12.5" hidden="1">
      <c r="J1567" s="149"/>
      <c r="K1567" s="171">
        <f>MAX(K$1232:K1566)+1</f>
        <v>336</v>
      </c>
      <c r="L1567" s="172">
        <f t="shared" si="161"/>
        <v>1</v>
      </c>
      <c r="M1567" s="152" t="s">
        <v>460</v>
      </c>
      <c r="N1567" s="153"/>
      <c r="O1567" s="153"/>
      <c r="P1567" s="153"/>
      <c r="Q1567" s="153"/>
      <c r="R1567" s="153"/>
      <c r="S1567" s="154">
        <f t="shared" si="162"/>
        <v>0</v>
      </c>
      <c r="T1567" s="153"/>
      <c r="U1567" s="169">
        <f t="shared" si="160"/>
        <v>0</v>
      </c>
      <c r="V1567" s="156"/>
      <c r="W1567" s="158"/>
      <c r="X1567" s="158"/>
      <c r="Y1567" s="158"/>
      <c r="Z1567" s="153"/>
      <c r="AA1567" s="159" t="s">
        <v>278</v>
      </c>
      <c r="AB1567" s="160"/>
      <c r="AC1567" s="174">
        <f t="shared" si="163"/>
        <v>0</v>
      </c>
    </row>
    <row r="1568" spans="10:29" ht="12.5" hidden="1">
      <c r="J1568" s="149"/>
      <c r="K1568" s="171">
        <f>MAX(K$1232:K1567)+1</f>
        <v>337</v>
      </c>
      <c r="L1568" s="172">
        <f t="shared" si="161"/>
        <v>1</v>
      </c>
      <c r="M1568" s="152" t="s">
        <v>461</v>
      </c>
      <c r="N1568" s="153"/>
      <c r="O1568" s="153"/>
      <c r="P1568" s="153"/>
      <c r="Q1568" s="153"/>
      <c r="R1568" s="153"/>
      <c r="S1568" s="154">
        <f t="shared" si="162"/>
        <v>0</v>
      </c>
      <c r="T1568" s="153"/>
      <c r="U1568" s="169">
        <f t="shared" si="160"/>
        <v>0</v>
      </c>
      <c r="V1568" s="156"/>
      <c r="W1568" s="158"/>
      <c r="X1568" s="158"/>
      <c r="Y1568" s="158"/>
      <c r="Z1568" s="153"/>
      <c r="AA1568" s="159" t="s">
        <v>278</v>
      </c>
      <c r="AB1568" s="160"/>
      <c r="AC1568" s="174">
        <f t="shared" si="163"/>
        <v>0</v>
      </c>
    </row>
    <row r="1569" spans="10:29" ht="12.5" hidden="1">
      <c r="J1569" s="149"/>
      <c r="K1569" s="171">
        <f>MAX(K$1232:K1568)+1</f>
        <v>338</v>
      </c>
      <c r="L1569" s="172">
        <f t="shared" si="161"/>
        <v>1</v>
      </c>
      <c r="M1569" s="152" t="s">
        <v>462</v>
      </c>
      <c r="N1569" s="153"/>
      <c r="O1569" s="153"/>
      <c r="P1569" s="153"/>
      <c r="Q1569" s="153"/>
      <c r="R1569" s="153"/>
      <c r="S1569" s="154">
        <f t="shared" si="162"/>
        <v>0</v>
      </c>
      <c r="T1569" s="153"/>
      <c r="U1569" s="169">
        <f t="shared" si="160"/>
        <v>0</v>
      </c>
      <c r="V1569" s="156"/>
      <c r="W1569" s="158"/>
      <c r="X1569" s="158"/>
      <c r="Y1569" s="158"/>
      <c r="Z1569" s="153"/>
      <c r="AA1569" s="159" t="s">
        <v>278</v>
      </c>
      <c r="AB1569" s="160"/>
      <c r="AC1569" s="174">
        <f t="shared" si="163"/>
        <v>0</v>
      </c>
    </row>
    <row r="1570" spans="10:29" ht="12.5" hidden="1">
      <c r="J1570" s="149"/>
      <c r="K1570" s="171">
        <f>MAX(K$1232:K1569)+1</f>
        <v>339</v>
      </c>
      <c r="L1570" s="172">
        <f t="shared" si="161"/>
        <v>1</v>
      </c>
      <c r="M1570" s="152" t="s">
        <v>463</v>
      </c>
      <c r="N1570" s="153"/>
      <c r="O1570" s="153"/>
      <c r="P1570" s="153"/>
      <c r="Q1570" s="153"/>
      <c r="R1570" s="153"/>
      <c r="S1570" s="154">
        <f t="shared" si="162"/>
        <v>0</v>
      </c>
      <c r="T1570" s="153"/>
      <c r="U1570" s="169">
        <f t="shared" si="160"/>
        <v>0</v>
      </c>
      <c r="V1570" s="156"/>
      <c r="W1570" s="158"/>
      <c r="X1570" s="158"/>
      <c r="Y1570" s="158"/>
      <c r="Z1570" s="153"/>
      <c r="AA1570" s="159" t="s">
        <v>278</v>
      </c>
      <c r="AB1570" s="160"/>
      <c r="AC1570" s="174">
        <f t="shared" si="163"/>
        <v>0</v>
      </c>
    </row>
    <row r="1571" spans="10:29" ht="12.5" hidden="1">
      <c r="J1571" s="149"/>
      <c r="K1571" s="171">
        <f>MAX(K$1232:K1570)+1</f>
        <v>340</v>
      </c>
      <c r="L1571" s="172">
        <f t="shared" si="161"/>
        <v>1</v>
      </c>
      <c r="M1571" s="152" t="s">
        <v>464</v>
      </c>
      <c r="N1571" s="153"/>
      <c r="O1571" s="153"/>
      <c r="P1571" s="153"/>
      <c r="Q1571" s="153"/>
      <c r="R1571" s="153"/>
      <c r="S1571" s="154">
        <f t="shared" si="162"/>
        <v>0</v>
      </c>
      <c r="T1571" s="153"/>
      <c r="U1571" s="169">
        <f t="shared" si="160"/>
        <v>0</v>
      </c>
      <c r="V1571" s="156"/>
      <c r="W1571" s="158"/>
      <c r="X1571" s="158"/>
      <c r="Y1571" s="158"/>
      <c r="Z1571" s="153"/>
      <c r="AA1571" s="159" t="s">
        <v>278</v>
      </c>
      <c r="AB1571" s="160"/>
      <c r="AC1571" s="174">
        <f t="shared" si="163"/>
        <v>0</v>
      </c>
    </row>
    <row r="1572" spans="10:29" ht="12.5" hidden="1">
      <c r="J1572" s="149"/>
      <c r="K1572" s="171">
        <f>MAX(K$1232:K1571)+1</f>
        <v>341</v>
      </c>
      <c r="L1572" s="172">
        <f t="shared" si="161"/>
        <v>1</v>
      </c>
      <c r="M1572" s="152" t="s">
        <v>465</v>
      </c>
      <c r="N1572" s="153"/>
      <c r="O1572" s="153"/>
      <c r="P1572" s="153"/>
      <c r="Q1572" s="153"/>
      <c r="R1572" s="153"/>
      <c r="S1572" s="154">
        <f t="shared" si="162"/>
        <v>0</v>
      </c>
      <c r="T1572" s="153"/>
      <c r="U1572" s="169">
        <f t="shared" si="160"/>
        <v>0</v>
      </c>
      <c r="V1572" s="156"/>
      <c r="W1572" s="158"/>
      <c r="X1572" s="158"/>
      <c r="Y1572" s="158"/>
      <c r="Z1572" s="153"/>
      <c r="AA1572" s="159" t="s">
        <v>278</v>
      </c>
      <c r="AB1572" s="160"/>
      <c r="AC1572" s="174">
        <f t="shared" si="163"/>
        <v>0</v>
      </c>
    </row>
    <row r="1573" spans="10:29" ht="12.5" hidden="1">
      <c r="J1573" s="149"/>
      <c r="K1573" s="171">
        <f>MAX(K$1232:K1572)+1</f>
        <v>342</v>
      </c>
      <c r="L1573" s="172">
        <f t="shared" si="161"/>
        <v>1</v>
      </c>
      <c r="M1573" s="152" t="s">
        <v>466</v>
      </c>
      <c r="N1573" s="153"/>
      <c r="O1573" s="153"/>
      <c r="P1573" s="153"/>
      <c r="Q1573" s="153"/>
      <c r="R1573" s="153"/>
      <c r="S1573" s="154">
        <f t="shared" si="162"/>
        <v>0</v>
      </c>
      <c r="T1573" s="153"/>
      <c r="U1573" s="169">
        <f t="shared" si="160"/>
        <v>0</v>
      </c>
      <c r="V1573" s="156"/>
      <c r="W1573" s="158"/>
      <c r="X1573" s="158"/>
      <c r="Y1573" s="158"/>
      <c r="Z1573" s="153"/>
      <c r="AA1573" s="159" t="s">
        <v>278</v>
      </c>
      <c r="AB1573" s="160"/>
      <c r="AC1573" s="174">
        <f t="shared" si="163"/>
        <v>0</v>
      </c>
    </row>
    <row r="1574" spans="10:29" ht="12.5" hidden="1">
      <c r="J1574" s="149"/>
      <c r="K1574" s="171">
        <f>MAX(K$1232:K1573)+1</f>
        <v>343</v>
      </c>
      <c r="L1574" s="172">
        <f t="shared" si="161"/>
        <v>1</v>
      </c>
      <c r="M1574" s="152" t="s">
        <v>467</v>
      </c>
      <c r="N1574" s="153"/>
      <c r="O1574" s="153"/>
      <c r="P1574" s="153"/>
      <c r="Q1574" s="153"/>
      <c r="R1574" s="153"/>
      <c r="S1574" s="154">
        <f t="shared" si="162"/>
        <v>0</v>
      </c>
      <c r="T1574" s="153"/>
      <c r="U1574" s="169">
        <f t="shared" si="160"/>
        <v>0</v>
      </c>
      <c r="V1574" s="156"/>
      <c r="W1574" s="158"/>
      <c r="X1574" s="158"/>
      <c r="Y1574" s="158"/>
      <c r="Z1574" s="153"/>
      <c r="AA1574" s="159" t="s">
        <v>278</v>
      </c>
      <c r="AB1574" s="160"/>
      <c r="AC1574" s="174">
        <f t="shared" si="163"/>
        <v>0</v>
      </c>
    </row>
    <row r="1575" spans="10:29" ht="12.5" hidden="1">
      <c r="J1575" s="149"/>
      <c r="K1575" s="171">
        <f>MAX(K$1232:K1574)+1</f>
        <v>344</v>
      </c>
      <c r="L1575" s="172">
        <f t="shared" si="161"/>
        <v>1</v>
      </c>
      <c r="M1575" s="152" t="s">
        <v>468</v>
      </c>
      <c r="N1575" s="153"/>
      <c r="O1575" s="153"/>
      <c r="P1575" s="153"/>
      <c r="Q1575" s="153"/>
      <c r="R1575" s="153"/>
      <c r="S1575" s="154">
        <f t="shared" si="162"/>
        <v>0</v>
      </c>
      <c r="T1575" s="153"/>
      <c r="U1575" s="169">
        <f t="shared" si="160"/>
        <v>0</v>
      </c>
      <c r="V1575" s="156"/>
      <c r="W1575" s="158"/>
      <c r="X1575" s="158"/>
      <c r="Y1575" s="158"/>
      <c r="Z1575" s="153"/>
      <c r="AA1575" s="159" t="s">
        <v>278</v>
      </c>
      <c r="AB1575" s="160"/>
      <c r="AC1575" s="174">
        <f t="shared" si="163"/>
        <v>0</v>
      </c>
    </row>
    <row r="1576" spans="10:29" ht="12.5" hidden="1">
      <c r="J1576" s="149"/>
      <c r="K1576" s="171">
        <f>MAX(K$1232:K1575)+1</f>
        <v>345</v>
      </c>
      <c r="L1576" s="172">
        <f t="shared" si="161"/>
        <v>1</v>
      </c>
      <c r="M1576" s="152" t="s">
        <v>469</v>
      </c>
      <c r="N1576" s="153"/>
      <c r="O1576" s="153"/>
      <c r="P1576" s="153"/>
      <c r="Q1576" s="153"/>
      <c r="R1576" s="153"/>
      <c r="S1576" s="154">
        <f t="shared" si="162"/>
        <v>0</v>
      </c>
      <c r="T1576" s="153"/>
      <c r="U1576" s="169">
        <f t="shared" si="160"/>
        <v>0</v>
      </c>
      <c r="V1576" s="156"/>
      <c r="W1576" s="158"/>
      <c r="X1576" s="158"/>
      <c r="Y1576" s="158"/>
      <c r="Z1576" s="153"/>
      <c r="AA1576" s="159" t="s">
        <v>278</v>
      </c>
      <c r="AB1576" s="160"/>
      <c r="AC1576" s="174">
        <f t="shared" si="163"/>
        <v>0</v>
      </c>
    </row>
    <row r="1577" spans="10:29" ht="12.5" hidden="1">
      <c r="J1577" s="149"/>
      <c r="K1577" s="171">
        <f>MAX(K$1232:K1576)+1</f>
        <v>346</v>
      </c>
      <c r="L1577" s="172">
        <f t="shared" si="161"/>
        <v>1</v>
      </c>
      <c r="M1577" s="152" t="s">
        <v>470</v>
      </c>
      <c r="N1577" s="153"/>
      <c r="O1577" s="153"/>
      <c r="P1577" s="153"/>
      <c r="Q1577" s="153"/>
      <c r="R1577" s="153"/>
      <c r="S1577" s="154">
        <f t="shared" si="162"/>
        <v>0</v>
      </c>
      <c r="T1577" s="153"/>
      <c r="U1577" s="169">
        <f t="shared" si="160"/>
        <v>0</v>
      </c>
      <c r="V1577" s="156"/>
      <c r="W1577" s="158"/>
      <c r="X1577" s="158"/>
      <c r="Y1577" s="158"/>
      <c r="Z1577" s="153"/>
      <c r="AA1577" s="159" t="s">
        <v>278</v>
      </c>
      <c r="AB1577" s="160"/>
      <c r="AC1577" s="174">
        <f t="shared" si="163"/>
        <v>0</v>
      </c>
    </row>
    <row r="1578" spans="10:29" ht="12.5" hidden="1">
      <c r="J1578" s="149"/>
      <c r="K1578" s="171">
        <f>MAX(K$1232:K1577)+1</f>
        <v>347</v>
      </c>
      <c r="L1578" s="172">
        <f t="shared" si="161"/>
        <v>1</v>
      </c>
      <c r="M1578" s="152" t="s">
        <v>471</v>
      </c>
      <c r="N1578" s="153"/>
      <c r="O1578" s="153"/>
      <c r="P1578" s="153"/>
      <c r="Q1578" s="153"/>
      <c r="R1578" s="153"/>
      <c r="S1578" s="154">
        <f t="shared" si="162"/>
        <v>0</v>
      </c>
      <c r="T1578" s="153"/>
      <c r="U1578" s="169">
        <f t="shared" ref="U1578:U1641" si="164">T1578+S1578</f>
        <v>0</v>
      </c>
      <c r="V1578" s="156"/>
      <c r="W1578" s="158"/>
      <c r="X1578" s="158"/>
      <c r="Y1578" s="158"/>
      <c r="Z1578" s="153"/>
      <c r="AA1578" s="159" t="s">
        <v>278</v>
      </c>
      <c r="AB1578" s="160"/>
      <c r="AC1578" s="174">
        <f t="shared" si="163"/>
        <v>0</v>
      </c>
    </row>
    <row r="1579" spans="10:29" ht="12.5" hidden="1">
      <c r="J1579" s="149"/>
      <c r="K1579" s="171">
        <f>MAX(K$1232:K1578)+1</f>
        <v>348</v>
      </c>
      <c r="L1579" s="172">
        <f t="shared" si="161"/>
        <v>1</v>
      </c>
      <c r="M1579" s="152" t="s">
        <v>472</v>
      </c>
      <c r="N1579" s="153"/>
      <c r="O1579" s="153"/>
      <c r="P1579" s="153"/>
      <c r="Q1579" s="153"/>
      <c r="R1579" s="153"/>
      <c r="S1579" s="154">
        <f t="shared" si="162"/>
        <v>0</v>
      </c>
      <c r="T1579" s="153"/>
      <c r="U1579" s="169">
        <f t="shared" si="164"/>
        <v>0</v>
      </c>
      <c r="V1579" s="156"/>
      <c r="W1579" s="158"/>
      <c r="X1579" s="158"/>
      <c r="Y1579" s="158"/>
      <c r="Z1579" s="153"/>
      <c r="AA1579" s="159" t="s">
        <v>278</v>
      </c>
      <c r="AB1579" s="160"/>
      <c r="AC1579" s="174">
        <f t="shared" si="163"/>
        <v>0</v>
      </c>
    </row>
    <row r="1580" spans="10:29" ht="12.5" hidden="1">
      <c r="J1580" s="149"/>
      <c r="K1580" s="171">
        <f>MAX(K$1232:K1579)+1</f>
        <v>349</v>
      </c>
      <c r="L1580" s="172">
        <f t="shared" si="161"/>
        <v>1</v>
      </c>
      <c r="M1580" s="152" t="s">
        <v>473</v>
      </c>
      <c r="N1580" s="153"/>
      <c r="O1580" s="153"/>
      <c r="P1580" s="153"/>
      <c r="Q1580" s="153"/>
      <c r="R1580" s="153"/>
      <c r="S1580" s="154">
        <f t="shared" si="162"/>
        <v>0</v>
      </c>
      <c r="T1580" s="153"/>
      <c r="U1580" s="169">
        <f t="shared" si="164"/>
        <v>0</v>
      </c>
      <c r="V1580" s="156"/>
      <c r="W1580" s="158"/>
      <c r="X1580" s="158"/>
      <c r="Y1580" s="158"/>
      <c r="Z1580" s="153"/>
      <c r="AA1580" s="159" t="s">
        <v>278</v>
      </c>
      <c r="AB1580" s="160"/>
      <c r="AC1580" s="174">
        <f t="shared" si="163"/>
        <v>0</v>
      </c>
    </row>
    <row r="1581" spans="10:29" ht="12.5" hidden="1">
      <c r="J1581" s="149"/>
      <c r="K1581" s="171">
        <f>MAX(K$1232:K1580)+1</f>
        <v>350</v>
      </c>
      <c r="L1581" s="172">
        <f t="shared" si="161"/>
        <v>1</v>
      </c>
      <c r="M1581" s="152" t="s">
        <v>474</v>
      </c>
      <c r="N1581" s="153"/>
      <c r="O1581" s="153"/>
      <c r="P1581" s="153"/>
      <c r="Q1581" s="153"/>
      <c r="R1581" s="153"/>
      <c r="S1581" s="154">
        <f t="shared" si="162"/>
        <v>0</v>
      </c>
      <c r="T1581" s="153"/>
      <c r="U1581" s="169">
        <f t="shared" si="164"/>
        <v>0</v>
      </c>
      <c r="V1581" s="156"/>
      <c r="W1581" s="158"/>
      <c r="X1581" s="158"/>
      <c r="Y1581" s="158"/>
      <c r="Z1581" s="153"/>
      <c r="AA1581" s="159" t="s">
        <v>278</v>
      </c>
      <c r="AB1581" s="160"/>
      <c r="AC1581" s="174">
        <f t="shared" si="163"/>
        <v>0</v>
      </c>
    </row>
    <row r="1582" spans="10:29" ht="12.5" hidden="1">
      <c r="J1582" s="149"/>
      <c r="K1582" s="171">
        <f>MAX(K$1232:K1581)+1</f>
        <v>351</v>
      </c>
      <c r="L1582" s="172">
        <f t="shared" si="161"/>
        <v>1</v>
      </c>
      <c r="M1582" s="152" t="s">
        <v>475</v>
      </c>
      <c r="N1582" s="153"/>
      <c r="O1582" s="153"/>
      <c r="P1582" s="153"/>
      <c r="Q1582" s="153"/>
      <c r="R1582" s="153"/>
      <c r="S1582" s="154">
        <f t="shared" si="162"/>
        <v>0</v>
      </c>
      <c r="T1582" s="153"/>
      <c r="U1582" s="169">
        <f t="shared" si="164"/>
        <v>0</v>
      </c>
      <c r="V1582" s="156"/>
      <c r="W1582" s="158"/>
      <c r="X1582" s="158"/>
      <c r="Y1582" s="158"/>
      <c r="Z1582" s="153"/>
      <c r="AA1582" s="159" t="s">
        <v>278</v>
      </c>
      <c r="AB1582" s="160"/>
      <c r="AC1582" s="174">
        <f t="shared" si="163"/>
        <v>0</v>
      </c>
    </row>
    <row r="1583" spans="10:29" ht="12.5" hidden="1">
      <c r="J1583" s="149"/>
      <c r="K1583" s="171">
        <f>MAX(K$1232:K1582)+1</f>
        <v>352</v>
      </c>
      <c r="L1583" s="172">
        <f t="shared" si="161"/>
        <v>1</v>
      </c>
      <c r="M1583" s="152" t="s">
        <v>476</v>
      </c>
      <c r="N1583" s="153"/>
      <c r="O1583" s="153"/>
      <c r="P1583" s="153"/>
      <c r="Q1583" s="153"/>
      <c r="R1583" s="153"/>
      <c r="S1583" s="154">
        <f t="shared" si="162"/>
        <v>0</v>
      </c>
      <c r="T1583" s="153"/>
      <c r="U1583" s="169">
        <f t="shared" si="164"/>
        <v>0</v>
      </c>
      <c r="V1583" s="156"/>
      <c r="W1583" s="158"/>
      <c r="X1583" s="158"/>
      <c r="Y1583" s="158"/>
      <c r="Z1583" s="153"/>
      <c r="AA1583" s="159" t="s">
        <v>278</v>
      </c>
      <c r="AB1583" s="160"/>
      <c r="AC1583" s="174">
        <f t="shared" si="163"/>
        <v>0</v>
      </c>
    </row>
    <row r="1584" spans="10:29" ht="12.5" hidden="1">
      <c r="J1584" s="149"/>
      <c r="K1584" s="171">
        <f>MAX(K$1232:K1583)+1</f>
        <v>353</v>
      </c>
      <c r="L1584" s="172">
        <f t="shared" si="161"/>
        <v>1</v>
      </c>
      <c r="M1584" s="152" t="s">
        <v>477</v>
      </c>
      <c r="N1584" s="153"/>
      <c r="O1584" s="153"/>
      <c r="P1584" s="153"/>
      <c r="Q1584" s="153"/>
      <c r="R1584" s="153"/>
      <c r="S1584" s="154">
        <f t="shared" si="162"/>
        <v>0</v>
      </c>
      <c r="T1584" s="153"/>
      <c r="U1584" s="169">
        <f t="shared" si="164"/>
        <v>0</v>
      </c>
      <c r="V1584" s="156"/>
      <c r="W1584" s="158"/>
      <c r="X1584" s="158"/>
      <c r="Y1584" s="158"/>
      <c r="Z1584" s="153"/>
      <c r="AA1584" s="159" t="s">
        <v>278</v>
      </c>
      <c r="AB1584" s="160"/>
      <c r="AC1584" s="174">
        <f t="shared" si="163"/>
        <v>0</v>
      </c>
    </row>
    <row r="1585" spans="10:29" ht="12.5" hidden="1">
      <c r="J1585" s="149"/>
      <c r="K1585" s="171">
        <f>MAX(K$1232:K1584)+1</f>
        <v>354</v>
      </c>
      <c r="L1585" s="172">
        <f t="shared" si="161"/>
        <v>1</v>
      </c>
      <c r="M1585" s="152" t="s">
        <v>478</v>
      </c>
      <c r="N1585" s="153"/>
      <c r="O1585" s="153"/>
      <c r="P1585" s="153"/>
      <c r="Q1585" s="153"/>
      <c r="R1585" s="153"/>
      <c r="S1585" s="154">
        <f t="shared" si="162"/>
        <v>0</v>
      </c>
      <c r="T1585" s="153"/>
      <c r="U1585" s="169">
        <f t="shared" si="164"/>
        <v>0</v>
      </c>
      <c r="V1585" s="156"/>
      <c r="W1585" s="158"/>
      <c r="X1585" s="158"/>
      <c r="Y1585" s="158"/>
      <c r="Z1585" s="153"/>
      <c r="AA1585" s="159" t="s">
        <v>278</v>
      </c>
      <c r="AB1585" s="160"/>
      <c r="AC1585" s="174">
        <f t="shared" si="163"/>
        <v>0</v>
      </c>
    </row>
    <row r="1586" spans="10:29" ht="12.5" hidden="1">
      <c r="J1586" s="149"/>
      <c r="K1586" s="171">
        <f>MAX(K$1232:K1585)+1</f>
        <v>355</v>
      </c>
      <c r="L1586" s="172">
        <f t="shared" si="161"/>
        <v>1</v>
      </c>
      <c r="M1586" s="152" t="s">
        <v>479</v>
      </c>
      <c r="N1586" s="153"/>
      <c r="O1586" s="153"/>
      <c r="P1586" s="153"/>
      <c r="Q1586" s="153"/>
      <c r="R1586" s="153"/>
      <c r="S1586" s="154">
        <f t="shared" si="162"/>
        <v>0</v>
      </c>
      <c r="T1586" s="153"/>
      <c r="U1586" s="169">
        <f t="shared" si="164"/>
        <v>0</v>
      </c>
      <c r="V1586" s="156"/>
      <c r="W1586" s="158"/>
      <c r="X1586" s="158"/>
      <c r="Y1586" s="158"/>
      <c r="Z1586" s="153"/>
      <c r="AA1586" s="159" t="s">
        <v>278</v>
      </c>
      <c r="AB1586" s="160"/>
      <c r="AC1586" s="174">
        <f t="shared" si="163"/>
        <v>0</v>
      </c>
    </row>
    <row r="1587" spans="10:29" ht="12.5" hidden="1">
      <c r="J1587" s="149"/>
      <c r="K1587" s="171">
        <f>MAX(K$1232:K1586)+1</f>
        <v>356</v>
      </c>
      <c r="L1587" s="172">
        <f t="shared" si="161"/>
        <v>1</v>
      </c>
      <c r="M1587" s="152" t="s">
        <v>480</v>
      </c>
      <c r="N1587" s="153"/>
      <c r="O1587" s="153"/>
      <c r="P1587" s="153"/>
      <c r="Q1587" s="153"/>
      <c r="R1587" s="153"/>
      <c r="S1587" s="154">
        <f t="shared" si="162"/>
        <v>0</v>
      </c>
      <c r="T1587" s="153"/>
      <c r="U1587" s="169">
        <f t="shared" si="164"/>
        <v>0</v>
      </c>
      <c r="V1587" s="156"/>
      <c r="W1587" s="158"/>
      <c r="X1587" s="158"/>
      <c r="Y1587" s="158"/>
      <c r="Z1587" s="153"/>
      <c r="AA1587" s="159" t="s">
        <v>278</v>
      </c>
      <c r="AB1587" s="160"/>
      <c r="AC1587" s="174">
        <f t="shared" si="163"/>
        <v>0</v>
      </c>
    </row>
    <row r="1588" spans="10:29" ht="12.5" hidden="1">
      <c r="J1588" s="149"/>
      <c r="K1588" s="171">
        <f>MAX(K$1232:K1587)+1</f>
        <v>357</v>
      </c>
      <c r="L1588" s="172">
        <f t="shared" si="161"/>
        <v>1</v>
      </c>
      <c r="M1588" s="152" t="s">
        <v>481</v>
      </c>
      <c r="N1588" s="153"/>
      <c r="O1588" s="153"/>
      <c r="P1588" s="153"/>
      <c r="Q1588" s="153"/>
      <c r="R1588" s="153"/>
      <c r="S1588" s="154">
        <f t="shared" si="162"/>
        <v>0</v>
      </c>
      <c r="T1588" s="153"/>
      <c r="U1588" s="169">
        <f t="shared" si="164"/>
        <v>0</v>
      </c>
      <c r="V1588" s="156"/>
      <c r="W1588" s="158"/>
      <c r="X1588" s="158"/>
      <c r="Y1588" s="158"/>
      <c r="Z1588" s="153"/>
      <c r="AA1588" s="159" t="s">
        <v>278</v>
      </c>
      <c r="AB1588" s="160"/>
      <c r="AC1588" s="174">
        <f t="shared" si="163"/>
        <v>0</v>
      </c>
    </row>
    <row r="1589" spans="10:29" ht="12.5" hidden="1">
      <c r="J1589" s="149"/>
      <c r="K1589" s="171">
        <f>MAX(K$1232:K1588)+1</f>
        <v>358</v>
      </c>
      <c r="L1589" s="172">
        <f t="shared" si="161"/>
        <v>1</v>
      </c>
      <c r="M1589" s="152" t="s">
        <v>482</v>
      </c>
      <c r="N1589" s="153"/>
      <c r="O1589" s="153"/>
      <c r="P1589" s="153"/>
      <c r="Q1589" s="153"/>
      <c r="R1589" s="153"/>
      <c r="S1589" s="154">
        <f t="shared" si="162"/>
        <v>0</v>
      </c>
      <c r="T1589" s="153"/>
      <c r="U1589" s="169">
        <f t="shared" si="164"/>
        <v>0</v>
      </c>
      <c r="V1589" s="156"/>
      <c r="W1589" s="158"/>
      <c r="X1589" s="158"/>
      <c r="Y1589" s="158"/>
      <c r="Z1589" s="153"/>
      <c r="AA1589" s="159" t="s">
        <v>278</v>
      </c>
      <c r="AB1589" s="160"/>
      <c r="AC1589" s="174">
        <f t="shared" si="163"/>
        <v>0</v>
      </c>
    </row>
    <row r="1590" spans="10:29" ht="12.5" hidden="1">
      <c r="J1590" s="149"/>
      <c r="K1590" s="171">
        <f>MAX(K$1232:K1589)+1</f>
        <v>359</v>
      </c>
      <c r="L1590" s="172">
        <f t="shared" si="161"/>
        <v>1</v>
      </c>
      <c r="M1590" s="152" t="s">
        <v>483</v>
      </c>
      <c r="N1590" s="153"/>
      <c r="O1590" s="153"/>
      <c r="P1590" s="153"/>
      <c r="Q1590" s="153"/>
      <c r="R1590" s="153"/>
      <c r="S1590" s="154">
        <f t="shared" si="162"/>
        <v>0</v>
      </c>
      <c r="T1590" s="153"/>
      <c r="U1590" s="169">
        <f t="shared" si="164"/>
        <v>0</v>
      </c>
      <c r="V1590" s="156"/>
      <c r="W1590" s="158"/>
      <c r="X1590" s="158"/>
      <c r="Y1590" s="158"/>
      <c r="Z1590" s="153"/>
      <c r="AA1590" s="159" t="s">
        <v>278</v>
      </c>
      <c r="AB1590" s="160"/>
      <c r="AC1590" s="174">
        <f t="shared" si="163"/>
        <v>0</v>
      </c>
    </row>
    <row r="1591" spans="10:29" ht="12.5" hidden="1">
      <c r="J1591" s="149"/>
      <c r="K1591" s="171">
        <f>MAX(K$1232:K1590)+1</f>
        <v>360</v>
      </c>
      <c r="L1591" s="172">
        <f t="shared" si="161"/>
        <v>1</v>
      </c>
      <c r="M1591" s="152" t="s">
        <v>484</v>
      </c>
      <c r="N1591" s="153"/>
      <c r="O1591" s="153"/>
      <c r="P1591" s="153"/>
      <c r="Q1591" s="153"/>
      <c r="R1591" s="153"/>
      <c r="S1591" s="154">
        <f t="shared" si="162"/>
        <v>0</v>
      </c>
      <c r="T1591" s="153"/>
      <c r="U1591" s="169">
        <f t="shared" si="164"/>
        <v>0</v>
      </c>
      <c r="V1591" s="156"/>
      <c r="W1591" s="158"/>
      <c r="X1591" s="158"/>
      <c r="Y1591" s="158"/>
      <c r="Z1591" s="153"/>
      <c r="AA1591" s="159" t="s">
        <v>278</v>
      </c>
      <c r="AB1591" s="160"/>
      <c r="AC1591" s="174">
        <f t="shared" si="163"/>
        <v>0</v>
      </c>
    </row>
    <row r="1592" spans="10:29" ht="12.5" hidden="1">
      <c r="J1592" s="149"/>
      <c r="K1592" s="171">
        <f>MAX(K$1232:K1591)+1</f>
        <v>361</v>
      </c>
      <c r="L1592" s="172">
        <f t="shared" si="161"/>
        <v>1</v>
      </c>
      <c r="M1592" s="152" t="s">
        <v>485</v>
      </c>
      <c r="N1592" s="153"/>
      <c r="O1592" s="153"/>
      <c r="P1592" s="153"/>
      <c r="Q1592" s="153"/>
      <c r="R1592" s="153"/>
      <c r="S1592" s="154">
        <f t="shared" si="162"/>
        <v>0</v>
      </c>
      <c r="T1592" s="153"/>
      <c r="U1592" s="169">
        <f t="shared" si="164"/>
        <v>0</v>
      </c>
      <c r="V1592" s="156"/>
      <c r="W1592" s="158"/>
      <c r="X1592" s="158"/>
      <c r="Y1592" s="158"/>
      <c r="Z1592" s="153"/>
      <c r="AA1592" s="159" t="s">
        <v>278</v>
      </c>
      <c r="AB1592" s="160"/>
      <c r="AC1592" s="174">
        <f t="shared" si="163"/>
        <v>0</v>
      </c>
    </row>
    <row r="1593" spans="10:29" ht="12.5" hidden="1">
      <c r="J1593" s="149"/>
      <c r="K1593" s="171">
        <f>MAX(K$1232:K1592)+1</f>
        <v>362</v>
      </c>
      <c r="L1593" s="172">
        <f t="shared" si="161"/>
        <v>1</v>
      </c>
      <c r="M1593" s="152" t="s">
        <v>486</v>
      </c>
      <c r="N1593" s="153"/>
      <c r="O1593" s="153"/>
      <c r="P1593" s="153"/>
      <c r="Q1593" s="153"/>
      <c r="R1593" s="153"/>
      <c r="S1593" s="154">
        <f t="shared" si="162"/>
        <v>0</v>
      </c>
      <c r="T1593" s="153"/>
      <c r="U1593" s="169">
        <f t="shared" si="164"/>
        <v>0</v>
      </c>
      <c r="V1593" s="156"/>
      <c r="W1593" s="158"/>
      <c r="X1593" s="158"/>
      <c r="Y1593" s="158"/>
      <c r="Z1593" s="153"/>
      <c r="AA1593" s="159" t="s">
        <v>278</v>
      </c>
      <c r="AB1593" s="160"/>
      <c r="AC1593" s="174">
        <f t="shared" si="163"/>
        <v>0</v>
      </c>
    </row>
    <row r="1594" spans="10:29" ht="12.5" hidden="1">
      <c r="J1594" s="149"/>
      <c r="K1594" s="171">
        <f>MAX(K$1232:K1593)+1</f>
        <v>363</v>
      </c>
      <c r="L1594" s="172">
        <f t="shared" si="161"/>
        <v>1</v>
      </c>
      <c r="M1594" s="152" t="s">
        <v>487</v>
      </c>
      <c r="N1594" s="153"/>
      <c r="O1594" s="153"/>
      <c r="P1594" s="153"/>
      <c r="Q1594" s="153"/>
      <c r="R1594" s="153"/>
      <c r="S1594" s="154">
        <f t="shared" si="162"/>
        <v>0</v>
      </c>
      <c r="T1594" s="153"/>
      <c r="U1594" s="169">
        <f t="shared" si="164"/>
        <v>0</v>
      </c>
      <c r="V1594" s="156"/>
      <c r="W1594" s="158"/>
      <c r="X1594" s="158"/>
      <c r="Y1594" s="158"/>
      <c r="Z1594" s="153"/>
      <c r="AA1594" s="159" t="s">
        <v>278</v>
      </c>
      <c r="AB1594" s="160"/>
      <c r="AC1594" s="174">
        <f t="shared" si="163"/>
        <v>0</v>
      </c>
    </row>
    <row r="1595" spans="10:29" ht="12.5" hidden="1">
      <c r="J1595" s="149"/>
      <c r="K1595" s="171">
        <f>MAX(K$1232:K1594)+1</f>
        <v>364</v>
      </c>
      <c r="L1595" s="172">
        <f t="shared" si="161"/>
        <v>1</v>
      </c>
      <c r="M1595" s="152" t="s">
        <v>488</v>
      </c>
      <c r="N1595" s="153"/>
      <c r="O1595" s="153"/>
      <c r="P1595" s="153"/>
      <c r="Q1595" s="153"/>
      <c r="R1595" s="153"/>
      <c r="S1595" s="154">
        <f t="shared" si="162"/>
        <v>0</v>
      </c>
      <c r="T1595" s="153"/>
      <c r="U1595" s="169">
        <f t="shared" si="164"/>
        <v>0</v>
      </c>
      <c r="V1595" s="156"/>
      <c r="W1595" s="158"/>
      <c r="X1595" s="158"/>
      <c r="Y1595" s="158"/>
      <c r="Z1595" s="153"/>
      <c r="AA1595" s="159" t="s">
        <v>278</v>
      </c>
      <c r="AB1595" s="160"/>
      <c r="AC1595" s="174">
        <f t="shared" si="163"/>
        <v>0</v>
      </c>
    </row>
    <row r="1596" spans="10:29" ht="12.5" hidden="1">
      <c r="J1596" s="149"/>
      <c r="K1596" s="171">
        <f>MAX(K$1232:K1595)+1</f>
        <v>365</v>
      </c>
      <c r="L1596" s="172">
        <f t="shared" si="161"/>
        <v>1</v>
      </c>
      <c r="M1596" s="152" t="s">
        <v>489</v>
      </c>
      <c r="N1596" s="153"/>
      <c r="O1596" s="153"/>
      <c r="P1596" s="153"/>
      <c r="Q1596" s="153"/>
      <c r="R1596" s="153"/>
      <c r="S1596" s="154">
        <f t="shared" si="162"/>
        <v>0</v>
      </c>
      <c r="T1596" s="153"/>
      <c r="U1596" s="169">
        <f t="shared" si="164"/>
        <v>0</v>
      </c>
      <c r="V1596" s="156"/>
      <c r="W1596" s="158"/>
      <c r="X1596" s="158"/>
      <c r="Y1596" s="158"/>
      <c r="Z1596" s="153"/>
      <c r="AA1596" s="159" t="s">
        <v>278</v>
      </c>
      <c r="AB1596" s="160"/>
      <c r="AC1596" s="174">
        <f t="shared" si="163"/>
        <v>0</v>
      </c>
    </row>
    <row r="1597" spans="10:29" ht="12.5" hidden="1">
      <c r="J1597" s="149"/>
      <c r="K1597" s="171">
        <f>MAX(K$1232:K1596)+1</f>
        <v>366</v>
      </c>
      <c r="L1597" s="172">
        <f t="shared" si="161"/>
        <v>1</v>
      </c>
      <c r="M1597" s="152" t="s">
        <v>490</v>
      </c>
      <c r="N1597" s="153"/>
      <c r="O1597" s="153"/>
      <c r="P1597" s="153"/>
      <c r="Q1597" s="153"/>
      <c r="R1597" s="153"/>
      <c r="S1597" s="154">
        <f t="shared" si="162"/>
        <v>0</v>
      </c>
      <c r="T1597" s="153"/>
      <c r="U1597" s="169">
        <f t="shared" si="164"/>
        <v>0</v>
      </c>
      <c r="V1597" s="156"/>
      <c r="W1597" s="158"/>
      <c r="X1597" s="158"/>
      <c r="Y1597" s="158"/>
      <c r="Z1597" s="153"/>
      <c r="AA1597" s="159" t="s">
        <v>278</v>
      </c>
      <c r="AB1597" s="160"/>
      <c r="AC1597" s="174">
        <f t="shared" si="163"/>
        <v>0</v>
      </c>
    </row>
    <row r="1598" spans="10:29" ht="12.5" hidden="1">
      <c r="J1598" s="149"/>
      <c r="K1598" s="171">
        <f>MAX(K$1232:K1597)+1</f>
        <v>367</v>
      </c>
      <c r="L1598" s="172">
        <f t="shared" si="161"/>
        <v>1</v>
      </c>
      <c r="M1598" s="152" t="s">
        <v>491</v>
      </c>
      <c r="N1598" s="153"/>
      <c r="O1598" s="153"/>
      <c r="P1598" s="153"/>
      <c r="Q1598" s="153"/>
      <c r="R1598" s="153"/>
      <c r="S1598" s="154">
        <f t="shared" si="162"/>
        <v>0</v>
      </c>
      <c r="T1598" s="153"/>
      <c r="U1598" s="169">
        <f t="shared" si="164"/>
        <v>0</v>
      </c>
      <c r="V1598" s="156"/>
      <c r="W1598" s="158"/>
      <c r="X1598" s="158"/>
      <c r="Y1598" s="158"/>
      <c r="Z1598" s="153"/>
      <c r="AA1598" s="159" t="s">
        <v>278</v>
      </c>
      <c r="AB1598" s="160"/>
      <c r="AC1598" s="174">
        <f t="shared" si="163"/>
        <v>0</v>
      </c>
    </row>
    <row r="1599" spans="10:29" ht="12.5" hidden="1">
      <c r="J1599" s="149"/>
      <c r="K1599" s="171">
        <f>MAX(K$1232:K1598)+1</f>
        <v>368</v>
      </c>
      <c r="L1599" s="172">
        <f t="shared" si="161"/>
        <v>1</v>
      </c>
      <c r="M1599" s="152" t="s">
        <v>492</v>
      </c>
      <c r="N1599" s="153"/>
      <c r="O1599" s="153"/>
      <c r="P1599" s="153"/>
      <c r="Q1599" s="153"/>
      <c r="R1599" s="153"/>
      <c r="S1599" s="154">
        <f t="shared" si="162"/>
        <v>0</v>
      </c>
      <c r="T1599" s="153"/>
      <c r="U1599" s="169">
        <f t="shared" si="164"/>
        <v>0</v>
      </c>
      <c r="V1599" s="156"/>
      <c r="W1599" s="158"/>
      <c r="X1599" s="158"/>
      <c r="Y1599" s="158"/>
      <c r="Z1599" s="153"/>
      <c r="AA1599" s="159" t="s">
        <v>278</v>
      </c>
      <c r="AB1599" s="160"/>
      <c r="AC1599" s="174">
        <f t="shared" si="163"/>
        <v>0</v>
      </c>
    </row>
    <row r="1600" spans="10:29" ht="12.5" hidden="1">
      <c r="J1600" s="149"/>
      <c r="K1600" s="171">
        <f>MAX(K$1232:K1599)+1</f>
        <v>369</v>
      </c>
      <c r="L1600" s="172">
        <f t="shared" si="161"/>
        <v>1</v>
      </c>
      <c r="M1600" s="152" t="s">
        <v>493</v>
      </c>
      <c r="N1600" s="153"/>
      <c r="O1600" s="153"/>
      <c r="P1600" s="153"/>
      <c r="Q1600" s="153"/>
      <c r="R1600" s="153"/>
      <c r="S1600" s="154">
        <f t="shared" si="162"/>
        <v>0</v>
      </c>
      <c r="T1600" s="153"/>
      <c r="U1600" s="169">
        <f t="shared" si="164"/>
        <v>0</v>
      </c>
      <c r="V1600" s="156"/>
      <c r="W1600" s="158"/>
      <c r="X1600" s="158"/>
      <c r="Y1600" s="158"/>
      <c r="Z1600" s="153"/>
      <c r="AA1600" s="159" t="s">
        <v>278</v>
      </c>
      <c r="AB1600" s="160"/>
      <c r="AC1600" s="174">
        <f t="shared" si="163"/>
        <v>0</v>
      </c>
    </row>
    <row r="1601" spans="10:29" ht="12.5" hidden="1">
      <c r="J1601" s="149"/>
      <c r="K1601" s="171">
        <f>MAX(K$1232:K1600)+1</f>
        <v>370</v>
      </c>
      <c r="L1601" s="172">
        <f t="shared" si="161"/>
        <v>1</v>
      </c>
      <c r="M1601" s="152" t="s">
        <v>494</v>
      </c>
      <c r="N1601" s="153"/>
      <c r="O1601" s="153"/>
      <c r="P1601" s="153"/>
      <c r="Q1601" s="153"/>
      <c r="R1601" s="153"/>
      <c r="S1601" s="154">
        <f t="shared" si="162"/>
        <v>0</v>
      </c>
      <c r="T1601" s="153"/>
      <c r="U1601" s="169">
        <f t="shared" si="164"/>
        <v>0</v>
      </c>
      <c r="V1601" s="156"/>
      <c r="W1601" s="158"/>
      <c r="X1601" s="158"/>
      <c r="Y1601" s="158"/>
      <c r="Z1601" s="153"/>
      <c r="AA1601" s="159" t="s">
        <v>278</v>
      </c>
      <c r="AB1601" s="160"/>
      <c r="AC1601" s="174">
        <f t="shared" si="163"/>
        <v>0</v>
      </c>
    </row>
    <row r="1602" spans="10:29" ht="12.5" hidden="1">
      <c r="J1602" s="149"/>
      <c r="K1602" s="171">
        <f>MAX(K$1232:K1601)+1</f>
        <v>371</v>
      </c>
      <c r="L1602" s="172">
        <f t="shared" si="161"/>
        <v>1</v>
      </c>
      <c r="M1602" s="152" t="s">
        <v>495</v>
      </c>
      <c r="N1602" s="153"/>
      <c r="O1602" s="153"/>
      <c r="P1602" s="153"/>
      <c r="Q1602" s="153"/>
      <c r="R1602" s="153"/>
      <c r="S1602" s="154">
        <f t="shared" si="162"/>
        <v>0</v>
      </c>
      <c r="T1602" s="153"/>
      <c r="U1602" s="169">
        <f t="shared" si="164"/>
        <v>0</v>
      </c>
      <c r="V1602" s="156"/>
      <c r="W1602" s="158"/>
      <c r="X1602" s="158"/>
      <c r="Y1602" s="158"/>
      <c r="Z1602" s="153"/>
      <c r="AA1602" s="159" t="s">
        <v>278</v>
      </c>
      <c r="AB1602" s="160"/>
      <c r="AC1602" s="174">
        <f t="shared" si="163"/>
        <v>0</v>
      </c>
    </row>
    <row r="1603" spans="10:29" ht="12.5" hidden="1">
      <c r="J1603" s="149"/>
      <c r="K1603" s="171">
        <f>MAX(K$1232:K1602)+1</f>
        <v>372</v>
      </c>
      <c r="L1603" s="172">
        <f t="shared" si="161"/>
        <v>1</v>
      </c>
      <c r="M1603" s="152" t="s">
        <v>496</v>
      </c>
      <c r="N1603" s="153"/>
      <c r="O1603" s="153"/>
      <c r="P1603" s="153"/>
      <c r="Q1603" s="153"/>
      <c r="R1603" s="153"/>
      <c r="S1603" s="154">
        <f t="shared" si="162"/>
        <v>0</v>
      </c>
      <c r="T1603" s="153"/>
      <c r="U1603" s="169">
        <f t="shared" si="164"/>
        <v>0</v>
      </c>
      <c r="V1603" s="156"/>
      <c r="W1603" s="158"/>
      <c r="X1603" s="158"/>
      <c r="Y1603" s="158"/>
      <c r="Z1603" s="153"/>
      <c r="AA1603" s="159" t="s">
        <v>278</v>
      </c>
      <c r="AB1603" s="160"/>
      <c r="AC1603" s="174">
        <f t="shared" si="163"/>
        <v>0</v>
      </c>
    </row>
    <row r="1604" spans="10:29" ht="12.5" hidden="1">
      <c r="J1604" s="149"/>
      <c r="K1604" s="171">
        <f>MAX(K$1232:K1603)+1</f>
        <v>373</v>
      </c>
      <c r="L1604" s="172">
        <f t="shared" si="161"/>
        <v>1</v>
      </c>
      <c r="M1604" s="152" t="s">
        <v>497</v>
      </c>
      <c r="N1604" s="153"/>
      <c r="O1604" s="153"/>
      <c r="P1604" s="153"/>
      <c r="Q1604" s="153"/>
      <c r="R1604" s="153"/>
      <c r="S1604" s="154">
        <f t="shared" si="162"/>
        <v>0</v>
      </c>
      <c r="T1604" s="153"/>
      <c r="U1604" s="169">
        <f t="shared" si="164"/>
        <v>0</v>
      </c>
      <c r="V1604" s="156"/>
      <c r="W1604" s="158"/>
      <c r="X1604" s="158"/>
      <c r="Y1604" s="158"/>
      <c r="Z1604" s="153"/>
      <c r="AA1604" s="159" t="s">
        <v>278</v>
      </c>
      <c r="AB1604" s="160"/>
      <c r="AC1604" s="174">
        <f t="shared" si="163"/>
        <v>0</v>
      </c>
    </row>
    <row r="1605" spans="10:29" ht="12.5" hidden="1">
      <c r="J1605" s="149"/>
      <c r="K1605" s="171">
        <f>MAX(K$1232:K1604)+1</f>
        <v>374</v>
      </c>
      <c r="L1605" s="172">
        <f t="shared" si="161"/>
        <v>1</v>
      </c>
      <c r="M1605" s="152" t="s">
        <v>498</v>
      </c>
      <c r="N1605" s="153"/>
      <c r="O1605" s="153"/>
      <c r="P1605" s="153"/>
      <c r="Q1605" s="153"/>
      <c r="R1605" s="153"/>
      <c r="S1605" s="154">
        <f t="shared" si="162"/>
        <v>0</v>
      </c>
      <c r="T1605" s="153"/>
      <c r="U1605" s="169">
        <f t="shared" si="164"/>
        <v>0</v>
      </c>
      <c r="V1605" s="156"/>
      <c r="W1605" s="158"/>
      <c r="X1605" s="158"/>
      <c r="Y1605" s="158"/>
      <c r="Z1605" s="153"/>
      <c r="AA1605" s="159" t="s">
        <v>278</v>
      </c>
      <c r="AB1605" s="160"/>
      <c r="AC1605" s="174">
        <f t="shared" si="163"/>
        <v>0</v>
      </c>
    </row>
    <row r="1606" spans="10:29" ht="12.5" hidden="1">
      <c r="J1606" s="149"/>
      <c r="K1606" s="171">
        <f>MAX(K$1232:K1605)+1</f>
        <v>375</v>
      </c>
      <c r="L1606" s="172">
        <f t="shared" si="161"/>
        <v>1</v>
      </c>
      <c r="M1606" s="152" t="s">
        <v>499</v>
      </c>
      <c r="N1606" s="153"/>
      <c r="O1606" s="153"/>
      <c r="P1606" s="153"/>
      <c r="Q1606" s="153"/>
      <c r="R1606" s="153"/>
      <c r="S1606" s="154">
        <f t="shared" si="162"/>
        <v>0</v>
      </c>
      <c r="T1606" s="153"/>
      <c r="U1606" s="169">
        <f t="shared" si="164"/>
        <v>0</v>
      </c>
      <c r="V1606" s="156"/>
      <c r="W1606" s="158"/>
      <c r="X1606" s="158"/>
      <c r="Y1606" s="158"/>
      <c r="Z1606" s="153"/>
      <c r="AA1606" s="159" t="s">
        <v>278</v>
      </c>
      <c r="AB1606" s="160"/>
      <c r="AC1606" s="174">
        <f t="shared" si="163"/>
        <v>0</v>
      </c>
    </row>
    <row r="1607" spans="10:29" ht="12.5" hidden="1">
      <c r="J1607" s="149"/>
      <c r="K1607" s="171">
        <f>MAX(K$1232:K1606)+1</f>
        <v>376</v>
      </c>
      <c r="L1607" s="172">
        <f t="shared" si="161"/>
        <v>1</v>
      </c>
      <c r="M1607" s="152" t="s">
        <v>500</v>
      </c>
      <c r="N1607" s="153"/>
      <c r="O1607" s="153"/>
      <c r="P1607" s="153"/>
      <c r="Q1607" s="153"/>
      <c r="R1607" s="153"/>
      <c r="S1607" s="154">
        <f t="shared" si="162"/>
        <v>0</v>
      </c>
      <c r="T1607" s="153"/>
      <c r="U1607" s="169">
        <f t="shared" si="164"/>
        <v>0</v>
      </c>
      <c r="V1607" s="156"/>
      <c r="W1607" s="158"/>
      <c r="X1607" s="158"/>
      <c r="Y1607" s="158"/>
      <c r="Z1607" s="153"/>
      <c r="AA1607" s="159" t="s">
        <v>278</v>
      </c>
      <c r="AB1607" s="160"/>
      <c r="AC1607" s="174">
        <f t="shared" si="163"/>
        <v>0</v>
      </c>
    </row>
    <row r="1608" spans="10:29" ht="12.5" hidden="1">
      <c r="J1608" s="149"/>
      <c r="K1608" s="171">
        <f>MAX(K$1232:K1607)+1</f>
        <v>377</v>
      </c>
      <c r="L1608" s="172">
        <f t="shared" si="161"/>
        <v>1</v>
      </c>
      <c r="M1608" s="152" t="s">
        <v>501</v>
      </c>
      <c r="N1608" s="153"/>
      <c r="O1608" s="153"/>
      <c r="P1608" s="153"/>
      <c r="Q1608" s="153"/>
      <c r="R1608" s="153"/>
      <c r="S1608" s="154">
        <f t="shared" si="162"/>
        <v>0</v>
      </c>
      <c r="T1608" s="153"/>
      <c r="U1608" s="169">
        <f t="shared" si="164"/>
        <v>0</v>
      </c>
      <c r="V1608" s="156"/>
      <c r="W1608" s="158"/>
      <c r="X1608" s="158"/>
      <c r="Y1608" s="158"/>
      <c r="Z1608" s="153"/>
      <c r="AA1608" s="159" t="s">
        <v>278</v>
      </c>
      <c r="AB1608" s="160"/>
      <c r="AC1608" s="174">
        <f t="shared" si="163"/>
        <v>0</v>
      </c>
    </row>
    <row r="1609" spans="10:29" ht="12.5" hidden="1">
      <c r="J1609" s="149"/>
      <c r="K1609" s="171">
        <f>MAX(K$1232:K1608)+1</f>
        <v>378</v>
      </c>
      <c r="L1609" s="172">
        <f t="shared" si="161"/>
        <v>1</v>
      </c>
      <c r="M1609" s="152" t="s">
        <v>502</v>
      </c>
      <c r="N1609" s="153"/>
      <c r="O1609" s="153"/>
      <c r="P1609" s="153"/>
      <c r="Q1609" s="153"/>
      <c r="R1609" s="153"/>
      <c r="S1609" s="154">
        <f t="shared" si="162"/>
        <v>0</v>
      </c>
      <c r="T1609" s="153"/>
      <c r="U1609" s="169">
        <f t="shared" si="164"/>
        <v>0</v>
      </c>
      <c r="V1609" s="156"/>
      <c r="W1609" s="158"/>
      <c r="X1609" s="158"/>
      <c r="Y1609" s="158"/>
      <c r="Z1609" s="153"/>
      <c r="AA1609" s="159" t="s">
        <v>278</v>
      </c>
      <c r="AB1609" s="160"/>
      <c r="AC1609" s="174">
        <f t="shared" si="163"/>
        <v>0</v>
      </c>
    </row>
    <row r="1610" spans="10:29" ht="12.5" hidden="1">
      <c r="J1610" s="149"/>
      <c r="K1610" s="171">
        <f>MAX(K$1232:K1609)+1</f>
        <v>379</v>
      </c>
      <c r="L1610" s="172">
        <f t="shared" si="161"/>
        <v>1</v>
      </c>
      <c r="M1610" s="152" t="s">
        <v>503</v>
      </c>
      <c r="N1610" s="153"/>
      <c r="O1610" s="153"/>
      <c r="P1610" s="153"/>
      <c r="Q1610" s="153"/>
      <c r="R1610" s="153"/>
      <c r="S1610" s="154">
        <f t="shared" si="162"/>
        <v>0</v>
      </c>
      <c r="T1610" s="153"/>
      <c r="U1610" s="169">
        <f t="shared" si="164"/>
        <v>0</v>
      </c>
      <c r="V1610" s="156"/>
      <c r="W1610" s="158"/>
      <c r="X1610" s="158"/>
      <c r="Y1610" s="158"/>
      <c r="Z1610" s="153"/>
      <c r="AA1610" s="159" t="s">
        <v>278</v>
      </c>
      <c r="AB1610" s="160"/>
      <c r="AC1610" s="174">
        <f t="shared" si="163"/>
        <v>0</v>
      </c>
    </row>
    <row r="1611" spans="10:29" ht="12.5" hidden="1">
      <c r="J1611" s="149"/>
      <c r="K1611" s="171">
        <f>MAX(K$1232:K1610)+1</f>
        <v>380</v>
      </c>
      <c r="L1611" s="172">
        <f t="shared" si="161"/>
        <v>1</v>
      </c>
      <c r="M1611" s="152" t="s">
        <v>504</v>
      </c>
      <c r="N1611" s="153"/>
      <c r="O1611" s="153"/>
      <c r="P1611" s="153"/>
      <c r="Q1611" s="153"/>
      <c r="R1611" s="153"/>
      <c r="S1611" s="154">
        <f t="shared" si="162"/>
        <v>0</v>
      </c>
      <c r="T1611" s="153"/>
      <c r="U1611" s="169">
        <f t="shared" si="164"/>
        <v>0</v>
      </c>
      <c r="V1611" s="156"/>
      <c r="W1611" s="158"/>
      <c r="X1611" s="158"/>
      <c r="Y1611" s="158"/>
      <c r="Z1611" s="153"/>
      <c r="AA1611" s="159" t="s">
        <v>278</v>
      </c>
      <c r="AB1611" s="160"/>
      <c r="AC1611" s="174">
        <f t="shared" si="163"/>
        <v>0</v>
      </c>
    </row>
    <row r="1612" spans="10:29" ht="12.5" hidden="1">
      <c r="J1612" s="149"/>
      <c r="K1612" s="171">
        <f>MAX(K$1232:K1611)+1</f>
        <v>381</v>
      </c>
      <c r="L1612" s="172">
        <f t="shared" si="161"/>
        <v>1</v>
      </c>
      <c r="M1612" s="152" t="s">
        <v>505</v>
      </c>
      <c r="N1612" s="153"/>
      <c r="O1612" s="153"/>
      <c r="P1612" s="153"/>
      <c r="Q1612" s="153"/>
      <c r="R1612" s="153"/>
      <c r="S1612" s="154">
        <f t="shared" si="162"/>
        <v>0</v>
      </c>
      <c r="T1612" s="153"/>
      <c r="U1612" s="169">
        <f t="shared" si="164"/>
        <v>0</v>
      </c>
      <c r="V1612" s="156"/>
      <c r="W1612" s="158"/>
      <c r="X1612" s="158"/>
      <c r="Y1612" s="158"/>
      <c r="Z1612" s="153"/>
      <c r="AA1612" s="159" t="s">
        <v>278</v>
      </c>
      <c r="AB1612" s="160"/>
      <c r="AC1612" s="174">
        <f t="shared" si="163"/>
        <v>0</v>
      </c>
    </row>
    <row r="1613" spans="10:29" ht="12.5" hidden="1">
      <c r="J1613" s="149"/>
      <c r="K1613" s="171">
        <f>MAX(K$1232:K1612)+1</f>
        <v>382</v>
      </c>
      <c r="L1613" s="172">
        <f t="shared" si="161"/>
        <v>1</v>
      </c>
      <c r="M1613" s="152" t="s">
        <v>506</v>
      </c>
      <c r="N1613" s="153"/>
      <c r="O1613" s="153"/>
      <c r="P1613" s="153"/>
      <c r="Q1613" s="153"/>
      <c r="R1613" s="153"/>
      <c r="S1613" s="154">
        <f t="shared" si="162"/>
        <v>0</v>
      </c>
      <c r="T1613" s="153"/>
      <c r="U1613" s="169">
        <f t="shared" si="164"/>
        <v>0</v>
      </c>
      <c r="V1613" s="156"/>
      <c r="W1613" s="158"/>
      <c r="X1613" s="158"/>
      <c r="Y1613" s="158"/>
      <c r="Z1613" s="153"/>
      <c r="AA1613" s="159" t="s">
        <v>278</v>
      </c>
      <c r="AB1613" s="160"/>
      <c r="AC1613" s="174">
        <f t="shared" si="163"/>
        <v>0</v>
      </c>
    </row>
    <row r="1614" spans="10:29" ht="12.5" hidden="1">
      <c r="J1614" s="149"/>
      <c r="K1614" s="171">
        <f>MAX(K$1232:K1613)+1</f>
        <v>383</v>
      </c>
      <c r="L1614" s="172">
        <f t="shared" si="161"/>
        <v>1</v>
      </c>
      <c r="M1614" s="152" t="s">
        <v>507</v>
      </c>
      <c r="N1614" s="153"/>
      <c r="O1614" s="153"/>
      <c r="P1614" s="153"/>
      <c r="Q1614" s="153"/>
      <c r="R1614" s="153"/>
      <c r="S1614" s="154">
        <f t="shared" si="162"/>
        <v>0</v>
      </c>
      <c r="T1614" s="153"/>
      <c r="U1614" s="169">
        <f t="shared" si="164"/>
        <v>0</v>
      </c>
      <c r="V1614" s="156"/>
      <c r="W1614" s="158"/>
      <c r="X1614" s="158"/>
      <c r="Y1614" s="158"/>
      <c r="Z1614" s="153"/>
      <c r="AA1614" s="159" t="s">
        <v>278</v>
      </c>
      <c r="AB1614" s="160"/>
      <c r="AC1614" s="174">
        <f t="shared" si="163"/>
        <v>0</v>
      </c>
    </row>
    <row r="1615" spans="10:29" ht="12.5" hidden="1">
      <c r="J1615" s="149"/>
      <c r="K1615" s="171">
        <f>MAX(K$1232:K1614)+1</f>
        <v>384</v>
      </c>
      <c r="L1615" s="172">
        <f t="shared" si="161"/>
        <v>1</v>
      </c>
      <c r="M1615" s="152" t="s">
        <v>508</v>
      </c>
      <c r="N1615" s="153"/>
      <c r="O1615" s="153"/>
      <c r="P1615" s="153"/>
      <c r="Q1615" s="153"/>
      <c r="R1615" s="153"/>
      <c r="S1615" s="154">
        <f t="shared" si="162"/>
        <v>0</v>
      </c>
      <c r="T1615" s="153"/>
      <c r="U1615" s="169">
        <f t="shared" si="164"/>
        <v>0</v>
      </c>
      <c r="V1615" s="156"/>
      <c r="W1615" s="158"/>
      <c r="X1615" s="158"/>
      <c r="Y1615" s="158"/>
      <c r="Z1615" s="153"/>
      <c r="AA1615" s="159" t="s">
        <v>278</v>
      </c>
      <c r="AB1615" s="160"/>
      <c r="AC1615" s="174">
        <f t="shared" si="163"/>
        <v>0</v>
      </c>
    </row>
    <row r="1616" spans="10:29" ht="12.5" hidden="1">
      <c r="J1616" s="149"/>
      <c r="K1616" s="171">
        <f>MAX(K$1232:K1615)+1</f>
        <v>385</v>
      </c>
      <c r="L1616" s="172">
        <f t="shared" si="161"/>
        <v>1</v>
      </c>
      <c r="M1616" s="152" t="s">
        <v>509</v>
      </c>
      <c r="N1616" s="153"/>
      <c r="O1616" s="153"/>
      <c r="P1616" s="153"/>
      <c r="Q1616" s="153"/>
      <c r="R1616" s="153"/>
      <c r="S1616" s="154">
        <f t="shared" si="162"/>
        <v>0</v>
      </c>
      <c r="T1616" s="153"/>
      <c r="U1616" s="169">
        <f t="shared" si="164"/>
        <v>0</v>
      </c>
      <c r="V1616" s="156"/>
      <c r="W1616" s="158"/>
      <c r="X1616" s="158"/>
      <c r="Y1616" s="158"/>
      <c r="Z1616" s="153"/>
      <c r="AA1616" s="159" t="s">
        <v>278</v>
      </c>
      <c r="AB1616" s="160"/>
      <c r="AC1616" s="174">
        <f t="shared" si="163"/>
        <v>0</v>
      </c>
    </row>
    <row r="1617" spans="10:29" ht="12.5" hidden="1">
      <c r="J1617" s="149"/>
      <c r="K1617" s="171">
        <f>MAX(K$1232:K1616)+1</f>
        <v>386</v>
      </c>
      <c r="L1617" s="172">
        <f t="shared" ref="L1617:L1631" si="165">IF(J1616="",L1616,L1616+1)</f>
        <v>1</v>
      </c>
      <c r="M1617" s="152" t="s">
        <v>510</v>
      </c>
      <c r="N1617" s="153"/>
      <c r="O1617" s="153"/>
      <c r="P1617" s="153"/>
      <c r="Q1617" s="153"/>
      <c r="R1617" s="153"/>
      <c r="S1617" s="154">
        <f t="shared" si="162"/>
        <v>0</v>
      </c>
      <c r="T1617" s="153"/>
      <c r="U1617" s="169">
        <f t="shared" si="164"/>
        <v>0</v>
      </c>
      <c r="V1617" s="156"/>
      <c r="W1617" s="158"/>
      <c r="X1617" s="158"/>
      <c r="Y1617" s="158"/>
      <c r="Z1617" s="153"/>
      <c r="AA1617" s="159" t="s">
        <v>278</v>
      </c>
      <c r="AB1617" s="160"/>
      <c r="AC1617" s="174">
        <f t="shared" si="163"/>
        <v>0</v>
      </c>
    </row>
    <row r="1618" spans="10:29" ht="12.5" hidden="1">
      <c r="J1618" s="149"/>
      <c r="K1618" s="171">
        <f>MAX(K$1232:K1617)+1</f>
        <v>387</v>
      </c>
      <c r="L1618" s="172">
        <f t="shared" si="165"/>
        <v>1</v>
      </c>
      <c r="M1618" s="152" t="s">
        <v>511</v>
      </c>
      <c r="N1618" s="153"/>
      <c r="O1618" s="153"/>
      <c r="P1618" s="153"/>
      <c r="Q1618" s="153"/>
      <c r="R1618" s="153"/>
      <c r="S1618" s="154">
        <f t="shared" si="162"/>
        <v>0</v>
      </c>
      <c r="T1618" s="153"/>
      <c r="U1618" s="169">
        <f t="shared" si="164"/>
        <v>0</v>
      </c>
      <c r="V1618" s="156"/>
      <c r="W1618" s="158"/>
      <c r="X1618" s="158"/>
      <c r="Y1618" s="158"/>
      <c r="Z1618" s="153"/>
      <c r="AA1618" s="159" t="s">
        <v>278</v>
      </c>
      <c r="AB1618" s="160"/>
      <c r="AC1618" s="174">
        <f t="shared" si="163"/>
        <v>0</v>
      </c>
    </row>
    <row r="1619" spans="10:29" ht="12.5" hidden="1">
      <c r="J1619" s="149"/>
      <c r="K1619" s="171">
        <f>MAX(K$1232:K1618)+1</f>
        <v>388</v>
      </c>
      <c r="L1619" s="172">
        <f t="shared" si="165"/>
        <v>1</v>
      </c>
      <c r="M1619" s="152" t="s">
        <v>512</v>
      </c>
      <c r="N1619" s="153"/>
      <c r="O1619" s="153"/>
      <c r="P1619" s="153"/>
      <c r="Q1619" s="153"/>
      <c r="R1619" s="153"/>
      <c r="S1619" s="154">
        <f t="shared" si="162"/>
        <v>0</v>
      </c>
      <c r="T1619" s="153"/>
      <c r="U1619" s="169">
        <f t="shared" si="164"/>
        <v>0</v>
      </c>
      <c r="V1619" s="156"/>
      <c r="W1619" s="158"/>
      <c r="X1619" s="158"/>
      <c r="Y1619" s="158"/>
      <c r="Z1619" s="153"/>
      <c r="AA1619" s="159" t="s">
        <v>278</v>
      </c>
      <c r="AB1619" s="160"/>
      <c r="AC1619" s="174">
        <f t="shared" si="163"/>
        <v>0</v>
      </c>
    </row>
    <row r="1620" spans="10:29" ht="12.5" hidden="1">
      <c r="J1620" s="149"/>
      <c r="K1620" s="171">
        <f>MAX(K$1232:K1619)+1</f>
        <v>389</v>
      </c>
      <c r="L1620" s="172">
        <f t="shared" si="165"/>
        <v>1</v>
      </c>
      <c r="M1620" s="152" t="s">
        <v>513</v>
      </c>
      <c r="N1620" s="153"/>
      <c r="O1620" s="153"/>
      <c r="P1620" s="153"/>
      <c r="Q1620" s="153"/>
      <c r="R1620" s="153"/>
      <c r="S1620" s="154">
        <f t="shared" si="162"/>
        <v>0</v>
      </c>
      <c r="T1620" s="153"/>
      <c r="U1620" s="169">
        <f t="shared" si="164"/>
        <v>0</v>
      </c>
      <c r="V1620" s="156"/>
      <c r="W1620" s="158"/>
      <c r="X1620" s="158"/>
      <c r="Y1620" s="158"/>
      <c r="Z1620" s="153"/>
      <c r="AA1620" s="159" t="s">
        <v>278</v>
      </c>
      <c r="AB1620" s="160"/>
      <c r="AC1620" s="174">
        <f t="shared" si="163"/>
        <v>0</v>
      </c>
    </row>
    <row r="1621" spans="10:29" ht="12.5" hidden="1">
      <c r="J1621" s="149"/>
      <c r="K1621" s="171">
        <f>MAX(K$1232:K1620)+1</f>
        <v>390</v>
      </c>
      <c r="L1621" s="172">
        <f t="shared" si="165"/>
        <v>1</v>
      </c>
      <c r="M1621" s="152" t="s">
        <v>514</v>
      </c>
      <c r="N1621" s="153"/>
      <c r="O1621" s="153"/>
      <c r="P1621" s="153"/>
      <c r="Q1621" s="153"/>
      <c r="R1621" s="153"/>
      <c r="S1621" s="154">
        <f t="shared" si="162"/>
        <v>0</v>
      </c>
      <c r="T1621" s="153"/>
      <c r="U1621" s="169">
        <f t="shared" si="164"/>
        <v>0</v>
      </c>
      <c r="V1621" s="156"/>
      <c r="W1621" s="158"/>
      <c r="X1621" s="158"/>
      <c r="Y1621" s="158"/>
      <c r="Z1621" s="153"/>
      <c r="AA1621" s="159" t="s">
        <v>278</v>
      </c>
      <c r="AB1621" s="160"/>
      <c r="AC1621" s="174">
        <f t="shared" si="163"/>
        <v>0</v>
      </c>
    </row>
    <row r="1622" spans="10:29" ht="12.5" hidden="1">
      <c r="J1622" s="149"/>
      <c r="K1622" s="171">
        <f>MAX(K$1232:K1621)+1</f>
        <v>391</v>
      </c>
      <c r="L1622" s="172">
        <f t="shared" si="165"/>
        <v>1</v>
      </c>
      <c r="M1622" s="152" t="s">
        <v>515</v>
      </c>
      <c r="N1622" s="153"/>
      <c r="O1622" s="153"/>
      <c r="P1622" s="153"/>
      <c r="Q1622" s="153"/>
      <c r="R1622" s="153"/>
      <c r="S1622" s="154">
        <f t="shared" si="162"/>
        <v>0</v>
      </c>
      <c r="T1622" s="153"/>
      <c r="U1622" s="169">
        <f t="shared" si="164"/>
        <v>0</v>
      </c>
      <c r="V1622" s="156"/>
      <c r="W1622" s="158"/>
      <c r="X1622" s="158"/>
      <c r="Y1622" s="158"/>
      <c r="Z1622" s="153"/>
      <c r="AA1622" s="159" t="s">
        <v>278</v>
      </c>
      <c r="AB1622" s="160"/>
      <c r="AC1622" s="174">
        <f t="shared" si="163"/>
        <v>0</v>
      </c>
    </row>
    <row r="1623" spans="10:29" ht="12.5" hidden="1">
      <c r="J1623" s="149"/>
      <c r="K1623" s="171">
        <f>MAX(K$1232:K1622)+1</f>
        <v>392</v>
      </c>
      <c r="L1623" s="172">
        <f t="shared" si="165"/>
        <v>1</v>
      </c>
      <c r="M1623" s="152" t="s">
        <v>516</v>
      </c>
      <c r="N1623" s="153"/>
      <c r="O1623" s="153"/>
      <c r="P1623" s="153"/>
      <c r="Q1623" s="153"/>
      <c r="R1623" s="153"/>
      <c r="S1623" s="154">
        <f t="shared" si="162"/>
        <v>0</v>
      </c>
      <c r="T1623" s="153"/>
      <c r="U1623" s="169">
        <f t="shared" si="164"/>
        <v>0</v>
      </c>
      <c r="V1623" s="156"/>
      <c r="W1623" s="158"/>
      <c r="X1623" s="158"/>
      <c r="Y1623" s="158"/>
      <c r="Z1623" s="153"/>
      <c r="AA1623" s="159" t="s">
        <v>278</v>
      </c>
      <c r="AB1623" s="160"/>
      <c r="AC1623" s="174">
        <f t="shared" si="163"/>
        <v>0</v>
      </c>
    </row>
    <row r="1624" spans="10:29" ht="12.5" hidden="1">
      <c r="J1624" s="149"/>
      <c r="K1624" s="171">
        <f>MAX(K$1232:K1623)+1</f>
        <v>393</v>
      </c>
      <c r="L1624" s="172">
        <f t="shared" si="165"/>
        <v>1</v>
      </c>
      <c r="M1624" s="152" t="s">
        <v>517</v>
      </c>
      <c r="N1624" s="153"/>
      <c r="O1624" s="153"/>
      <c r="P1624" s="153"/>
      <c r="Q1624" s="153"/>
      <c r="R1624" s="153"/>
      <c r="S1624" s="154">
        <f t="shared" si="162"/>
        <v>0</v>
      </c>
      <c r="T1624" s="153"/>
      <c r="U1624" s="169">
        <f t="shared" si="164"/>
        <v>0</v>
      </c>
      <c r="V1624" s="156"/>
      <c r="W1624" s="158"/>
      <c r="X1624" s="158"/>
      <c r="Y1624" s="158"/>
      <c r="Z1624" s="153"/>
      <c r="AA1624" s="159" t="s">
        <v>278</v>
      </c>
      <c r="AB1624" s="160"/>
      <c r="AC1624" s="174">
        <f t="shared" si="163"/>
        <v>0</v>
      </c>
    </row>
    <row r="1625" spans="10:29" ht="12.5" hidden="1">
      <c r="J1625" s="149"/>
      <c r="K1625" s="171">
        <f>MAX(K$1232:K1624)+1</f>
        <v>394</v>
      </c>
      <c r="L1625" s="172">
        <f t="shared" si="165"/>
        <v>1</v>
      </c>
      <c r="M1625" s="152" t="s">
        <v>518</v>
      </c>
      <c r="N1625" s="153"/>
      <c r="O1625" s="153"/>
      <c r="P1625" s="153"/>
      <c r="Q1625" s="153"/>
      <c r="R1625" s="153"/>
      <c r="S1625" s="154">
        <f t="shared" si="162"/>
        <v>0</v>
      </c>
      <c r="T1625" s="153"/>
      <c r="U1625" s="169">
        <f t="shared" si="164"/>
        <v>0</v>
      </c>
      <c r="V1625" s="156"/>
      <c r="W1625" s="158"/>
      <c r="X1625" s="158"/>
      <c r="Y1625" s="158"/>
      <c r="Z1625" s="153"/>
      <c r="AA1625" s="159" t="s">
        <v>278</v>
      </c>
      <c r="AB1625" s="160"/>
      <c r="AC1625" s="174">
        <f t="shared" si="163"/>
        <v>0</v>
      </c>
    </row>
    <row r="1626" spans="10:29" ht="12.5" hidden="1">
      <c r="J1626" s="149"/>
      <c r="K1626" s="171">
        <f>MAX(K$1232:K1625)+1</f>
        <v>395</v>
      </c>
      <c r="L1626" s="172">
        <f t="shared" si="165"/>
        <v>1</v>
      </c>
      <c r="M1626" s="152" t="s">
        <v>519</v>
      </c>
      <c r="N1626" s="153"/>
      <c r="O1626" s="153"/>
      <c r="P1626" s="153"/>
      <c r="Q1626" s="153"/>
      <c r="R1626" s="153"/>
      <c r="S1626" s="154">
        <f t="shared" ref="S1626:S1631" si="166">SUM(N1626:R1626)</f>
        <v>0</v>
      </c>
      <c r="T1626" s="153"/>
      <c r="U1626" s="169">
        <f t="shared" si="164"/>
        <v>0</v>
      </c>
      <c r="V1626" s="156"/>
      <c r="W1626" s="158"/>
      <c r="X1626" s="158"/>
      <c r="Y1626" s="158"/>
      <c r="Z1626" s="153"/>
      <c r="AA1626" s="159" t="s">
        <v>278</v>
      </c>
      <c r="AB1626" s="160"/>
      <c r="AC1626" s="174">
        <f t="shared" ref="AC1626:AC1631" si="167">INDEX(Y1626:Z1626,1,MATCH(_WellBasketSelection,$Y$1231:$Z$1231,0))*U1626</f>
        <v>0</v>
      </c>
    </row>
    <row r="1627" spans="10:29" ht="12.5" hidden="1">
      <c r="J1627" s="149"/>
      <c r="K1627" s="171">
        <f>MAX(K$1232:K1626)+1</f>
        <v>396</v>
      </c>
      <c r="L1627" s="172">
        <f t="shared" si="165"/>
        <v>1</v>
      </c>
      <c r="M1627" s="152" t="s">
        <v>520</v>
      </c>
      <c r="N1627" s="153"/>
      <c r="O1627" s="153"/>
      <c r="P1627" s="153"/>
      <c r="Q1627" s="153"/>
      <c r="R1627" s="153"/>
      <c r="S1627" s="154">
        <f t="shared" si="166"/>
        <v>0</v>
      </c>
      <c r="T1627" s="153"/>
      <c r="U1627" s="169">
        <f t="shared" si="164"/>
        <v>0</v>
      </c>
      <c r="V1627" s="156"/>
      <c r="W1627" s="158"/>
      <c r="X1627" s="158"/>
      <c r="Y1627" s="158"/>
      <c r="Z1627" s="153"/>
      <c r="AA1627" s="159" t="s">
        <v>278</v>
      </c>
      <c r="AB1627" s="160"/>
      <c r="AC1627" s="174">
        <f t="shared" si="167"/>
        <v>0</v>
      </c>
    </row>
    <row r="1628" spans="10:29" ht="12.5" hidden="1">
      <c r="J1628" s="149"/>
      <c r="K1628" s="171">
        <f>MAX(K$1232:K1627)+1</f>
        <v>397</v>
      </c>
      <c r="L1628" s="172">
        <f t="shared" si="165"/>
        <v>1</v>
      </c>
      <c r="M1628" s="152" t="s">
        <v>521</v>
      </c>
      <c r="N1628" s="153"/>
      <c r="O1628" s="153"/>
      <c r="P1628" s="153"/>
      <c r="Q1628" s="153"/>
      <c r="R1628" s="153"/>
      <c r="S1628" s="154">
        <f t="shared" si="166"/>
        <v>0</v>
      </c>
      <c r="T1628" s="153"/>
      <c r="U1628" s="169">
        <f t="shared" si="164"/>
        <v>0</v>
      </c>
      <c r="V1628" s="156"/>
      <c r="W1628" s="158"/>
      <c r="X1628" s="158"/>
      <c r="Y1628" s="158"/>
      <c r="Z1628" s="153"/>
      <c r="AA1628" s="159" t="s">
        <v>278</v>
      </c>
      <c r="AB1628" s="160"/>
      <c r="AC1628" s="174">
        <f t="shared" si="167"/>
        <v>0</v>
      </c>
    </row>
    <row r="1629" spans="10:29" ht="12.5" hidden="1">
      <c r="J1629" s="149"/>
      <c r="K1629" s="171">
        <f>MAX(K$1232:K1628)+1</f>
        <v>398</v>
      </c>
      <c r="L1629" s="172">
        <f t="shared" si="165"/>
        <v>1</v>
      </c>
      <c r="M1629" s="152" t="s">
        <v>522</v>
      </c>
      <c r="N1629" s="153"/>
      <c r="O1629" s="153"/>
      <c r="P1629" s="153"/>
      <c r="Q1629" s="153"/>
      <c r="R1629" s="153"/>
      <c r="S1629" s="154">
        <f t="shared" si="166"/>
        <v>0</v>
      </c>
      <c r="T1629" s="153"/>
      <c r="U1629" s="169">
        <f t="shared" si="164"/>
        <v>0</v>
      </c>
      <c r="V1629" s="156"/>
      <c r="W1629" s="158"/>
      <c r="X1629" s="158"/>
      <c r="Y1629" s="158"/>
      <c r="Z1629" s="153"/>
      <c r="AA1629" s="159" t="s">
        <v>278</v>
      </c>
      <c r="AB1629" s="160"/>
      <c r="AC1629" s="174">
        <f t="shared" si="167"/>
        <v>0</v>
      </c>
    </row>
    <row r="1630" spans="10:29" ht="12.5" hidden="1">
      <c r="J1630" s="149"/>
      <c r="K1630" s="171">
        <f>MAX(K$1232:K1629)+1</f>
        <v>399</v>
      </c>
      <c r="L1630" s="172">
        <f t="shared" si="165"/>
        <v>1</v>
      </c>
      <c r="M1630" s="152" t="s">
        <v>523</v>
      </c>
      <c r="N1630" s="153"/>
      <c r="O1630" s="153"/>
      <c r="P1630" s="153"/>
      <c r="Q1630" s="153"/>
      <c r="R1630" s="153"/>
      <c r="S1630" s="154">
        <f t="shared" si="166"/>
        <v>0</v>
      </c>
      <c r="T1630" s="153"/>
      <c r="U1630" s="169">
        <f t="shared" si="164"/>
        <v>0</v>
      </c>
      <c r="V1630" s="156"/>
      <c r="W1630" s="158"/>
      <c r="X1630" s="158"/>
      <c r="Y1630" s="158"/>
      <c r="Z1630" s="153"/>
      <c r="AA1630" s="159" t="s">
        <v>278</v>
      </c>
      <c r="AB1630" s="160"/>
      <c r="AC1630" s="174">
        <f t="shared" si="167"/>
        <v>0</v>
      </c>
    </row>
    <row r="1631" spans="10:29" ht="12.5" hidden="1">
      <c r="J1631" s="149"/>
      <c r="K1631" s="171">
        <f>MAX(K$1232:K1630)+1</f>
        <v>400</v>
      </c>
      <c r="L1631" s="172">
        <f t="shared" si="165"/>
        <v>1</v>
      </c>
      <c r="M1631" s="152" t="s">
        <v>524</v>
      </c>
      <c r="N1631" s="153"/>
      <c r="O1631" s="153"/>
      <c r="P1631" s="153"/>
      <c r="Q1631" s="153"/>
      <c r="R1631" s="153"/>
      <c r="S1631" s="154">
        <f t="shared" si="166"/>
        <v>0</v>
      </c>
      <c r="T1631" s="153"/>
      <c r="U1631" s="169">
        <f t="shared" si="164"/>
        <v>0</v>
      </c>
      <c r="V1631" s="156"/>
      <c r="W1631" s="158"/>
      <c r="X1631" s="158"/>
      <c r="Y1631" s="158"/>
      <c r="Z1631" s="153"/>
      <c r="AA1631" s="159" t="s">
        <v>278</v>
      </c>
      <c r="AB1631" s="160"/>
      <c r="AC1631" s="174">
        <f t="shared" si="167"/>
        <v>0</v>
      </c>
    </row>
    <row r="1632" spans="10:29" ht="12.5">
      <c r="K1632" s="132" t="s">
        <v>267</v>
      </c>
      <c r="L1632" s="132"/>
      <c r="M1632" s="133"/>
      <c r="N1632" s="135"/>
      <c r="O1632" s="135"/>
      <c r="P1632" s="135"/>
      <c r="Q1632" s="135"/>
      <c r="R1632" s="135"/>
      <c r="S1632" s="135"/>
      <c r="T1632" s="135"/>
      <c r="U1632" s="136"/>
      <c r="V1632" s="71"/>
      <c r="W1632" s="137"/>
      <c r="X1632" s="137"/>
      <c r="Y1632" s="137"/>
      <c r="Z1632" s="137"/>
      <c r="AA1632" s="137"/>
      <c r="AB1632" s="175"/>
      <c r="AC1632" s="163">
        <f>SUM(AC1232:AC1631)-AC1298-AC1289-AC1259-AC1250-AC1241-AC1271-AC1232-AC1280-AC1307</f>
        <v>1258.6868138256764</v>
      </c>
    </row>
    <row r="1633" ht="12.5"/>
    <row r="1634" ht="12.5"/>
    <row r="1635" ht="12.5"/>
    <row r="1636" ht="12.5"/>
    <row r="1637" ht="12.5"/>
    <row r="1638" ht="12.5"/>
    <row r="1639" ht="12.5"/>
    <row r="1640" ht="12.5"/>
    <row r="1641" ht="12.5"/>
    <row r="1642" ht="12.5"/>
    <row r="1643" ht="12.5"/>
    <row r="1644" ht="12.5"/>
    <row r="1645" ht="12.5"/>
    <row r="1646" ht="12.5"/>
    <row r="1647" ht="12.5"/>
    <row r="1648" ht="12.5"/>
    <row r="1649" ht="12.5"/>
    <row r="1650" ht="12.5"/>
    <row r="1651" ht="12.5"/>
    <row r="1652" ht="12.5"/>
    <row r="1653" ht="12.5"/>
    <row r="1654" ht="12.5"/>
    <row r="1655" ht="12.5"/>
    <row r="1656" ht="12.5"/>
    <row r="1657" ht="12.5"/>
    <row r="1658" ht="12.5"/>
    <row r="1659" ht="12.5"/>
    <row r="1660" ht="12.5"/>
    <row r="1661" ht="12.5"/>
    <row r="1662" ht="12.5"/>
    <row r="1663" ht="12.5"/>
    <row r="1664" ht="12.5"/>
    <row r="1665" ht="12.5"/>
    <row r="1666" ht="12.5"/>
    <row r="1667" ht="12.5"/>
    <row r="1668" ht="12.5"/>
    <row r="1669" ht="12.5"/>
    <row r="1670" ht="12.5"/>
    <row r="1671" ht="12.5"/>
    <row r="1672" ht="12.5"/>
    <row r="1673" ht="12.5"/>
    <row r="1674" ht="12.5"/>
    <row r="1675" ht="12.5"/>
    <row r="1676" ht="12.5"/>
    <row r="1677" ht="12.5"/>
    <row r="1678" ht="12.5"/>
    <row r="1679" ht="12.5"/>
    <row r="1680" ht="12.5"/>
    <row r="1681" ht="12.5"/>
    <row r="1682" ht="12.5"/>
    <row r="1683" ht="12.5"/>
    <row r="1684" ht="12.5"/>
    <row r="1685" ht="12.5"/>
    <row r="1686" ht="12.5"/>
    <row r="1687" ht="12.5"/>
    <row r="1688" ht="12.5"/>
    <row r="1689" ht="12.5"/>
    <row r="1690" ht="12.5"/>
    <row r="1691" ht="12.5"/>
    <row r="1692" ht="12.5"/>
    <row r="1693" ht="12.5"/>
    <row r="1694" ht="12.5"/>
    <row r="1695" ht="12.5"/>
    <row r="1696" ht="12.5"/>
    <row r="1697" ht="12.5"/>
    <row r="1698" ht="12.5"/>
    <row r="1699" ht="12.5"/>
    <row r="1700" ht="12.5"/>
    <row r="1701" ht="12.5"/>
    <row r="1702" ht="12.5"/>
    <row r="1703" ht="12.5"/>
    <row r="1704" ht="12.5"/>
    <row r="1705" ht="12.5"/>
    <row r="1706" ht="12.5"/>
    <row r="1707" ht="12.5"/>
    <row r="1708" ht="12.5"/>
    <row r="1709" ht="12.5"/>
    <row r="1710" ht="12.5"/>
    <row r="1711" ht="12.5"/>
    <row r="1712" ht="12.5"/>
    <row r="1713" ht="12.5"/>
    <row r="1714" ht="12.5"/>
    <row r="1715" ht="12.5"/>
    <row r="1716" ht="12.5"/>
    <row r="1717" ht="12.5"/>
    <row r="1718" ht="12.5"/>
    <row r="1719" ht="12.5"/>
    <row r="1720" ht="12.5"/>
    <row r="1721" ht="12.5"/>
    <row r="1722" ht="12.5"/>
    <row r="1723" ht="12.5"/>
    <row r="1724" ht="12.5"/>
    <row r="1725" ht="12.5"/>
    <row r="1726" ht="12.5"/>
    <row r="1727" ht="12.5"/>
    <row r="1728" ht="12.5"/>
    <row r="1729" ht="12.5"/>
    <row r="1730" ht="12.5"/>
    <row r="1731" ht="12.5"/>
    <row r="1732" ht="12.5"/>
    <row r="1733" ht="12.5"/>
    <row r="1734" ht="12.5"/>
    <row r="1735" ht="12.5"/>
    <row r="1736" ht="12.5"/>
    <row r="1737" ht="12.5"/>
    <row r="1738" ht="12.5"/>
    <row r="1739" ht="12.5"/>
    <row r="1740" ht="12.5"/>
    <row r="1741" ht="12.5"/>
    <row r="1742" ht="12.5"/>
    <row r="1743" ht="12.5"/>
    <row r="1744" ht="12.5"/>
    <row r="1745" ht="12.5"/>
    <row r="1746" ht="12.5"/>
    <row r="1747" ht="12.5"/>
    <row r="1748" ht="12.5"/>
    <row r="1749" ht="12.5"/>
    <row r="1750" ht="12.5"/>
    <row r="1751" ht="12.5"/>
    <row r="1752" ht="12.5"/>
    <row r="1753" ht="12.5"/>
    <row r="1754" ht="12.5"/>
    <row r="1755" ht="12.5"/>
    <row r="1756" ht="12.5"/>
    <row r="1757" ht="12.5"/>
    <row r="1758" ht="12.5"/>
    <row r="1759" ht="12.5"/>
    <row r="1760" ht="12.5"/>
    <row r="1761" ht="12.5"/>
    <row r="1762" ht="12.5"/>
    <row r="1763" ht="12.5"/>
    <row r="1764" ht="12.5"/>
    <row r="1765" ht="12.5"/>
    <row r="1766" ht="12.5"/>
    <row r="1767" ht="12.5"/>
    <row r="1768" ht="12.5"/>
    <row r="1769" ht="12.5"/>
    <row r="1770" ht="12.5"/>
    <row r="1771" ht="12.5"/>
    <row r="1772" ht="12.5"/>
    <row r="1773" ht="12.5"/>
    <row r="1774" ht="12.5"/>
    <row r="1775" ht="12.5"/>
    <row r="1776" ht="12.5"/>
    <row r="1777" ht="12.5"/>
    <row r="1778" ht="12.5"/>
    <row r="1779" ht="12.5"/>
    <row r="1780" ht="12.5"/>
    <row r="1781" ht="12.5"/>
    <row r="1782" ht="12.5"/>
    <row r="1783" ht="12.5"/>
    <row r="1784" ht="12.5"/>
    <row r="1785" ht="12.5"/>
    <row r="1786" ht="12.5"/>
    <row r="1787" ht="12.5"/>
    <row r="1788" ht="12.5"/>
    <row r="1789" ht="12.5"/>
    <row r="1790" ht="12.5"/>
    <row r="1791" ht="12.5"/>
    <row r="1792" ht="12.5"/>
    <row r="1793" ht="12.5"/>
    <row r="1794" ht="12.5"/>
    <row r="1795" ht="12.5"/>
    <row r="1796" ht="12.5"/>
    <row r="1797" ht="12.5"/>
    <row r="1798" ht="12.5"/>
    <row r="1799" ht="12.5"/>
    <row r="1800" ht="12.5"/>
    <row r="1801" ht="12.5"/>
    <row r="1802" ht="12.5"/>
    <row r="1803" ht="12.5"/>
    <row r="1804" ht="12.5"/>
    <row r="1805" ht="12.5"/>
    <row r="1806" ht="12.5"/>
    <row r="1807" ht="12.5"/>
    <row r="1808" ht="12.5"/>
    <row r="1809" ht="12.5"/>
    <row r="1810" ht="12.5"/>
    <row r="1811" ht="12.5"/>
    <row r="1812" ht="12.5"/>
    <row r="1813" ht="12.5"/>
    <row r="1814" ht="12.5"/>
    <row r="1815" ht="12.5"/>
    <row r="1816" ht="12.5"/>
    <row r="1817" ht="12.5"/>
    <row r="1818" ht="12.5"/>
    <row r="1819" ht="12.5"/>
    <row r="1820" ht="12.5"/>
    <row r="1821" ht="12.5"/>
    <row r="1822" ht="12.5"/>
    <row r="1823" ht="12.5"/>
    <row r="1824" ht="12.5"/>
    <row r="1825" ht="12.5"/>
    <row r="1826" ht="12.5"/>
    <row r="1827" ht="12.5"/>
    <row r="1828" ht="12.5"/>
    <row r="1829" ht="12.5"/>
    <row r="1830" ht="12.5"/>
    <row r="1831" ht="12.5"/>
    <row r="1832" ht="12.5"/>
    <row r="1833" ht="12.5"/>
    <row r="1834" ht="12.5"/>
    <row r="1835" ht="12.5"/>
    <row r="1836" ht="12.5"/>
    <row r="1837" ht="12.5"/>
    <row r="1838" ht="12.5"/>
    <row r="1839" ht="12.5"/>
    <row r="1840" ht="12.5"/>
    <row r="1841" ht="12.5"/>
    <row r="1842" ht="12.5"/>
    <row r="1843" ht="12.5"/>
    <row r="1844" ht="12.5"/>
    <row r="1845" ht="12.5"/>
    <row r="1846" ht="12.5"/>
    <row r="1847" ht="12.5"/>
    <row r="1848" ht="12.5"/>
    <row r="1849" ht="12.5"/>
    <row r="1850" ht="12.5"/>
    <row r="1851" ht="12.5"/>
    <row r="1852" ht="12.5"/>
    <row r="1853" ht="12.5"/>
    <row r="1854" ht="12.5"/>
    <row r="1855" ht="12.5"/>
    <row r="1856" ht="12.5"/>
    <row r="1857" ht="12.5"/>
    <row r="1858" ht="12.5"/>
    <row r="1859" ht="12.5"/>
    <row r="1860" ht="12.5"/>
    <row r="1861" ht="12.5"/>
    <row r="1862" ht="12.5"/>
    <row r="1863" ht="12.5"/>
    <row r="1864" ht="12.5"/>
    <row r="1865" ht="12.5"/>
    <row r="1866" ht="12.5"/>
    <row r="1867" ht="12.5"/>
    <row r="1868" ht="12.5"/>
    <row r="1869" ht="12.5"/>
    <row r="1870" ht="12.5"/>
    <row r="1871" ht="12.5"/>
    <row r="1872" ht="12.5"/>
    <row r="1873" ht="12.5"/>
    <row r="1874" ht="12.5"/>
    <row r="1875" ht="12.5"/>
    <row r="1876" ht="12.5"/>
    <row r="1877" ht="12.5"/>
    <row r="1878" ht="12.5"/>
    <row r="1879" ht="12.5"/>
    <row r="1880" ht="12.5"/>
    <row r="1881" ht="12.5"/>
    <row r="1882" ht="12.5"/>
    <row r="1883" ht="12.5"/>
    <row r="1884" ht="12.5"/>
    <row r="1885" ht="12.5"/>
    <row r="1886" ht="12.5"/>
    <row r="1887" ht="12.5"/>
    <row r="1888" ht="12.5"/>
    <row r="1889" ht="12.5"/>
    <row r="1890" ht="12.5"/>
    <row r="1891" ht="12.5"/>
    <row r="1892" ht="12.5"/>
    <row r="1893" ht="12.5"/>
    <row r="1894" ht="12.5"/>
    <row r="1895" ht="12.5"/>
    <row r="1896" ht="12.5"/>
    <row r="1897" ht="12.5"/>
    <row r="1898" ht="12.5"/>
    <row r="1899" ht="12.5"/>
    <row r="1900" ht="12.5"/>
    <row r="1901" ht="12.5"/>
    <row r="1902" ht="12.5"/>
    <row r="1903" ht="12.5"/>
    <row r="1904" ht="12.5"/>
    <row r="1905" ht="12.5"/>
    <row r="1906" ht="12.5"/>
    <row r="1907" ht="12.5"/>
    <row r="1908" ht="12.5"/>
    <row r="1909" ht="12.5"/>
    <row r="1910" ht="12.5"/>
    <row r="1911" ht="12.5"/>
    <row r="1912" ht="12.5"/>
    <row r="1913" ht="12.5"/>
    <row r="1914" ht="12.5"/>
    <row r="1915" ht="12.5"/>
    <row r="1916" ht="12.5"/>
    <row r="1917" ht="12.5"/>
    <row r="1918" ht="12.5"/>
    <row r="1919" ht="12.5"/>
    <row r="1920" ht="12.5"/>
    <row r="1921" ht="12.5"/>
    <row r="1922" ht="12.5"/>
    <row r="1923" ht="12.5"/>
    <row r="1924" ht="12.5"/>
    <row r="1925" ht="12.5"/>
    <row r="1926" ht="12.5"/>
    <row r="1927" ht="12.5"/>
    <row r="1928" ht="12.5"/>
    <row r="1929" ht="12.5"/>
    <row r="1930" ht="12.5"/>
    <row r="1931" ht="12.5"/>
    <row r="1932" ht="12.5"/>
    <row r="1933" ht="12.5"/>
    <row r="1934" ht="12.5"/>
    <row r="1935" ht="12.5"/>
    <row r="1936" ht="12.5"/>
    <row r="1937" ht="12.5"/>
    <row r="1938" ht="12.5"/>
    <row r="1939" ht="12.5"/>
    <row r="1940" ht="12.5"/>
    <row r="1941" ht="12.5"/>
    <row r="1942" ht="12.5"/>
    <row r="1943" ht="12.5"/>
    <row r="1944" ht="12.5"/>
    <row r="1945" ht="12.5"/>
    <row r="1946" ht="12.5"/>
    <row r="1947" ht="12.5"/>
    <row r="1948" ht="12.5"/>
    <row r="1949" ht="12.5"/>
    <row r="1950" ht="12.5"/>
    <row r="1951" ht="12.5"/>
    <row r="1952" ht="12.5"/>
    <row r="1953" ht="12.5"/>
    <row r="1954" ht="12.5"/>
    <row r="1955" ht="12.5"/>
    <row r="1956" ht="12.5"/>
    <row r="1957" ht="12.5"/>
    <row r="1958" ht="12.5"/>
    <row r="1959" ht="12.5"/>
    <row r="1960" ht="12.5"/>
    <row r="1961" ht="12.5"/>
    <row r="1962" ht="12.5"/>
    <row r="1963" ht="12.5"/>
    <row r="1964" ht="12.5"/>
    <row r="1965" ht="12.5"/>
    <row r="1966" ht="12.5"/>
    <row r="1967" ht="12.5"/>
    <row r="1968" ht="12.5"/>
    <row r="1969" ht="12.5"/>
    <row r="1970" ht="12.5"/>
    <row r="1971" ht="12.5"/>
    <row r="1972" ht="12.5"/>
    <row r="1973" ht="12.5"/>
    <row r="1974" ht="12.5"/>
    <row r="1975" ht="12.5"/>
    <row r="1976" ht="12.5"/>
    <row r="1977" ht="12.5"/>
    <row r="1978" ht="12.5"/>
    <row r="1979" ht="12.5"/>
    <row r="1980" ht="12.5"/>
    <row r="1981" ht="12.5"/>
    <row r="1982" ht="12.5"/>
    <row r="1983" ht="12.5"/>
    <row r="1984" ht="12.5"/>
    <row r="1985" ht="12.5"/>
    <row r="1986" ht="12.5"/>
    <row r="1987" ht="12.5"/>
    <row r="1988" ht="12.5"/>
    <row r="1989" ht="12.5"/>
    <row r="1990" ht="12.5"/>
    <row r="1991" ht="12.5"/>
    <row r="1992" ht="12.5"/>
    <row r="1993" ht="12.5"/>
    <row r="1994" ht="12.5"/>
    <row r="1995" ht="12.5"/>
    <row r="1996" ht="12.5"/>
    <row r="1997" ht="12.5"/>
    <row r="1998" ht="12.5"/>
    <row r="1999" ht="12.5"/>
    <row r="2000" ht="12.5"/>
    <row r="2001" ht="12.5"/>
    <row r="2002" ht="12.5"/>
    <row r="2003" ht="12.5"/>
    <row r="2004" ht="12.5"/>
    <row r="2005" ht="12.5"/>
    <row r="2006" ht="12.5"/>
    <row r="2007" ht="12.5"/>
    <row r="2008" ht="12.5"/>
    <row r="2009" ht="12.5"/>
    <row r="2010" ht="12.5"/>
    <row r="2011" ht="12.5"/>
    <row r="2012" ht="12.5"/>
    <row r="2013" ht="12.5"/>
    <row r="2014" ht="12.5"/>
    <row r="2015" ht="12.5"/>
    <row r="2016" ht="12.5"/>
    <row r="2017" ht="12.5"/>
    <row r="2018" ht="12.5"/>
    <row r="2019" ht="12.5"/>
    <row r="2020" ht="12.5"/>
    <row r="2021" ht="12.5"/>
    <row r="2022" ht="12.5"/>
    <row r="2023" ht="12.5"/>
    <row r="2024" ht="12.5"/>
    <row r="2025" ht="12.5"/>
    <row r="2026" ht="12.5"/>
    <row r="2027" ht="12.5"/>
    <row r="2028" ht="12.5"/>
    <row r="2029" ht="12.5"/>
    <row r="2030" ht="12.5"/>
    <row r="2031" ht="12.5"/>
    <row r="2032" ht="12.5"/>
    <row r="2033" ht="12.5"/>
    <row r="2034" ht="12.5"/>
    <row r="2035" ht="12.5"/>
    <row r="2036" ht="12.5"/>
    <row r="2037" ht="12.5"/>
    <row r="2038" ht="12.5"/>
    <row r="2039" ht="12.5"/>
    <row r="2040" ht="12.5"/>
    <row r="2041" ht="12.5"/>
    <row r="2042" ht="12.5"/>
    <row r="2043" ht="12.5"/>
    <row r="2044" ht="12.5"/>
    <row r="2045" ht="12.5"/>
    <row r="2046" ht="12.5"/>
    <row r="2047" ht="12.5"/>
    <row r="2048" ht="12.5"/>
    <row r="2049" ht="12.5"/>
    <row r="2050" ht="12.5"/>
    <row r="2051" ht="12.5"/>
    <row r="2052" ht="12.5"/>
    <row r="2053" ht="12.5"/>
    <row r="2054" ht="12.5"/>
    <row r="2055" ht="12.5"/>
    <row r="2056" ht="12.5"/>
    <row r="2057" ht="12.5"/>
    <row r="2058" ht="12.5"/>
    <row r="2059" ht="12.5"/>
    <row r="2060" ht="12.5"/>
    <row r="2061" ht="12.5"/>
    <row r="2062" ht="12.5"/>
    <row r="2063" ht="12.5"/>
    <row r="2064" ht="12.5"/>
    <row r="2065" ht="12.5"/>
    <row r="2066" ht="12.5"/>
    <row r="2067" ht="12.5"/>
    <row r="2068" ht="12.5"/>
    <row r="2069" ht="12.5"/>
    <row r="2070" ht="12.5"/>
    <row r="2071" ht="12.5"/>
    <row r="2072" ht="12.5"/>
    <row r="2073" ht="12.5"/>
    <row r="2074" ht="12.5"/>
    <row r="2075" ht="12.5"/>
    <row r="2076" ht="12.5"/>
    <row r="2077" ht="12.5"/>
    <row r="2078" ht="12.5"/>
    <row r="2079" ht="12.5"/>
    <row r="2080" ht="12.5"/>
    <row r="2081" ht="12.5"/>
    <row r="2082" ht="12.5"/>
    <row r="2083" ht="12.5"/>
    <row r="2084" ht="12.5"/>
    <row r="2085" ht="12.5"/>
    <row r="2086" ht="12.5"/>
    <row r="2087" ht="12.5"/>
    <row r="2088" ht="12.5"/>
    <row r="2089" ht="12.5"/>
    <row r="2090" ht="12.5"/>
    <row r="2091" ht="12.5"/>
    <row r="2092" ht="12.5"/>
    <row r="2093" ht="12.5"/>
    <row r="2094" ht="12.5"/>
    <row r="2095" ht="12.5"/>
    <row r="2096" ht="12.5"/>
    <row r="2097" ht="12.5"/>
    <row r="2098" ht="12.5"/>
    <row r="2099" ht="12.5"/>
    <row r="2100" ht="12.5"/>
    <row r="2101" ht="12.5"/>
    <row r="2102" ht="12.5"/>
    <row r="2103" ht="12.5"/>
    <row r="2104" ht="12.5"/>
    <row r="2105" ht="12.5"/>
    <row r="2106" ht="12.5"/>
    <row r="2107" ht="12.5"/>
    <row r="2108" ht="12.5"/>
    <row r="2109" ht="12.5"/>
    <row r="2110" ht="12.5"/>
    <row r="2111" ht="12.5"/>
    <row r="2112" ht="12.5"/>
    <row r="2113" ht="12.5"/>
    <row r="2114" ht="12.5"/>
    <row r="2115" ht="12.5"/>
    <row r="2116" ht="12.5"/>
    <row r="2117" ht="12.5"/>
    <row r="2118" ht="12.5"/>
    <row r="2119" ht="12.5"/>
    <row r="2120" ht="12.5"/>
    <row r="2121" ht="12.5"/>
    <row r="2122" ht="12.5"/>
    <row r="2123" ht="12.5"/>
    <row r="2124" ht="12.5"/>
    <row r="2125" ht="12.5"/>
    <row r="2126" ht="12.5"/>
    <row r="2127" ht="12.5"/>
    <row r="2128" ht="12.5"/>
    <row r="2129" ht="12.5"/>
    <row r="2130" ht="12.5"/>
    <row r="2131" ht="12.5"/>
    <row r="2132" ht="12.5"/>
    <row r="2133" ht="12.5"/>
    <row r="2134" ht="12.5"/>
    <row r="2135" ht="12.5"/>
    <row r="2136" ht="12.5"/>
    <row r="2137" ht="12.5"/>
    <row r="2138" ht="12.5"/>
    <row r="2139" ht="12.5"/>
    <row r="2140" ht="12.5"/>
    <row r="2141" ht="12.5"/>
    <row r="2142" ht="12.5"/>
    <row r="2143" ht="12.5"/>
    <row r="2144" ht="12.5"/>
    <row r="2145" ht="12.5"/>
    <row r="2146" ht="12.5"/>
    <row r="2147" ht="12.5"/>
    <row r="2148" ht="12.5"/>
    <row r="2149" ht="12.5"/>
    <row r="2150" ht="12.5"/>
    <row r="2151" ht="12.5"/>
    <row r="2152" ht="12.5"/>
    <row r="2153" ht="12.5"/>
    <row r="2154" ht="12.5"/>
    <row r="2155" ht="12.5"/>
    <row r="2156" ht="12.5"/>
    <row r="2157" ht="12.5"/>
    <row r="2158" ht="12.5"/>
    <row r="2159" ht="12.5"/>
    <row r="2160" ht="12.5"/>
    <row r="2161" ht="12.5"/>
    <row r="2162" ht="12.5"/>
    <row r="2163" ht="12.5"/>
    <row r="2164" ht="12.5"/>
    <row r="2165" ht="12.5"/>
    <row r="2166" ht="12.5"/>
    <row r="2167" ht="12.5"/>
    <row r="2168" ht="12.5"/>
    <row r="2169" ht="12.5"/>
    <row r="2170" ht="12.5"/>
    <row r="2171" ht="12.5"/>
    <row r="2172" ht="12.5"/>
    <row r="2173" ht="12.5"/>
    <row r="2174" ht="12.5"/>
    <row r="2175" ht="12.5"/>
    <row r="2176" ht="12.5"/>
    <row r="2177" ht="12.5"/>
    <row r="2178" ht="12.5"/>
    <row r="2179" ht="12.5"/>
    <row r="2180" ht="12.5"/>
    <row r="2181" ht="12.5"/>
    <row r="2182" ht="12.5"/>
    <row r="2183" ht="12.5"/>
    <row r="2184" ht="12.5"/>
    <row r="2185" ht="12.5"/>
    <row r="2186" ht="12.5"/>
    <row r="2187" ht="12.5"/>
    <row r="2188" ht="12.5"/>
    <row r="2189" ht="12.5"/>
    <row r="2190" ht="12.5"/>
    <row r="2191" ht="12.5"/>
    <row r="2192" ht="12.5"/>
    <row r="2193" ht="12.5"/>
    <row r="2194" ht="12.5"/>
    <row r="2195" ht="12.5"/>
    <row r="2196" ht="12.5"/>
    <row r="2197" ht="12.5"/>
    <row r="2198" ht="12.5"/>
    <row r="2199" ht="12.5"/>
    <row r="2200" ht="12.5"/>
    <row r="2201" ht="12.5"/>
    <row r="2202" ht="12.5"/>
    <row r="2203" ht="12.5"/>
    <row r="2204" ht="12.5"/>
    <row r="2205" ht="12.5"/>
    <row r="2206" ht="12.5"/>
    <row r="2207" ht="12.5"/>
    <row r="2208" ht="12.5"/>
    <row r="2209" ht="12.5"/>
    <row r="2210" ht="12.5"/>
    <row r="2211" ht="12.5"/>
    <row r="2212" ht="12.5"/>
    <row r="2213" ht="12.5"/>
    <row r="2214" ht="12.5"/>
    <row r="2215" ht="12.5"/>
    <row r="2216" ht="12.5"/>
    <row r="2217" ht="12.5"/>
    <row r="2218" ht="12.5"/>
    <row r="2219" ht="12.5"/>
    <row r="2220" ht="12.5"/>
    <row r="2221" ht="12.5"/>
    <row r="2222" ht="12.5"/>
    <row r="2223" ht="12.5"/>
    <row r="2224" ht="12.5"/>
    <row r="2225" ht="12.5"/>
    <row r="2226" ht="12.5"/>
    <row r="2227" ht="12.5"/>
    <row r="2228" ht="12.5"/>
    <row r="2229" ht="12.5"/>
    <row r="2230" ht="12.5"/>
    <row r="2231" ht="12.5"/>
    <row r="2232" ht="12.5"/>
    <row r="2233" ht="12.5"/>
    <row r="2234" ht="12.5"/>
    <row r="2235" ht="12.5"/>
    <row r="2236" ht="12.5"/>
    <row r="2237" ht="12.5"/>
    <row r="2238" ht="12.5"/>
    <row r="2239" ht="12.5"/>
    <row r="2240" ht="12.5"/>
    <row r="2241" ht="12.5"/>
    <row r="2242" ht="12.5"/>
    <row r="2243" ht="12.5"/>
    <row r="2244" ht="12.5"/>
    <row r="2245" ht="12.5"/>
    <row r="2246" ht="12.5"/>
    <row r="2247" ht="12.5"/>
    <row r="2248" ht="12.5"/>
    <row r="2249" ht="12.5"/>
    <row r="2250" ht="12.5"/>
    <row r="2251" ht="12.5"/>
    <row r="2252" ht="12.5"/>
    <row r="2253" ht="12.5"/>
    <row r="2254" ht="12.5"/>
    <row r="2255" ht="12.5"/>
    <row r="2256" ht="12.5"/>
    <row r="2257" ht="12.5"/>
    <row r="2258" ht="12.5"/>
    <row r="2259" ht="12.5"/>
    <row r="2260" ht="12.5"/>
    <row r="2261" ht="12.5"/>
    <row r="2262" ht="12.5"/>
    <row r="2263" ht="12.5"/>
    <row r="2264" ht="12.5"/>
    <row r="2265" ht="12.5"/>
    <row r="2266" ht="12.5"/>
    <row r="2267" ht="12.5"/>
    <row r="2268" ht="12.5"/>
    <row r="2269" ht="12.5"/>
    <row r="2270" ht="12.5"/>
    <row r="2271" ht="12.5"/>
    <row r="2272" ht="12.5"/>
    <row r="2273" ht="12.5"/>
    <row r="2274" ht="12.5"/>
    <row r="2275" ht="12.5"/>
    <row r="2276" ht="12.5"/>
    <row r="2277" ht="12.5"/>
    <row r="2278" ht="12.5"/>
    <row r="2279" ht="12.5"/>
    <row r="2280" ht="12.5"/>
    <row r="2281" ht="12.5"/>
    <row r="2282" ht="12.5"/>
    <row r="2283" ht="12.5"/>
    <row r="2284" ht="12.5"/>
    <row r="2285" ht="12.5"/>
    <row r="2286" ht="12.5"/>
    <row r="2287" ht="12.5"/>
    <row r="2288" ht="12.5"/>
    <row r="2289" ht="12.5"/>
    <row r="2290" ht="12.5"/>
    <row r="2291" ht="12.5"/>
    <row r="2292" ht="12.5"/>
    <row r="2293" ht="12.5"/>
    <row r="2294" ht="12.5"/>
    <row r="2295" ht="12.5"/>
    <row r="2296" ht="12.5"/>
    <row r="2297" ht="12.5"/>
    <row r="2298" ht="12.5"/>
    <row r="2299" ht="12.5"/>
    <row r="2300" ht="12.5"/>
    <row r="2301" ht="12.5"/>
    <row r="2302" ht="12.5"/>
    <row r="2303" ht="12.5"/>
    <row r="2304" ht="12.5"/>
    <row r="2305" ht="12.5"/>
    <row r="2306" ht="12.5"/>
    <row r="2307" ht="12.5"/>
    <row r="2308" ht="12.5"/>
    <row r="2309" ht="12.5"/>
    <row r="2310" ht="12.5"/>
    <row r="2311" ht="12.5"/>
    <row r="2312" ht="12.5"/>
    <row r="2313" ht="12.5"/>
    <row r="2314" ht="12.5"/>
    <row r="2315" ht="12.5"/>
    <row r="2316" ht="12.5"/>
    <row r="2317" ht="12.5"/>
    <row r="2318" ht="12.5"/>
    <row r="2319" ht="12.5"/>
    <row r="2320" ht="12.5"/>
    <row r="2321" ht="12.5"/>
    <row r="2322" ht="12.5"/>
    <row r="2323" ht="12.5"/>
    <row r="2324" ht="12.5"/>
    <row r="2325" ht="12.5"/>
    <row r="2326" ht="12.5"/>
    <row r="2327" ht="12.5"/>
    <row r="2328" ht="12.5"/>
    <row r="2329" ht="12.5"/>
    <row r="2330" ht="12.5"/>
    <row r="2331" ht="12.5"/>
    <row r="2332" ht="12.5"/>
    <row r="2333" ht="12.5"/>
    <row r="2334" ht="12.5"/>
    <row r="2335" ht="12.5"/>
    <row r="2336" ht="12.5"/>
    <row r="2337" ht="12.5"/>
    <row r="2338" ht="12.5"/>
    <row r="2339" ht="12.5"/>
    <row r="2340" ht="12.5"/>
    <row r="2341" ht="12.5"/>
    <row r="2342" ht="12.5"/>
    <row r="2343" ht="12.5"/>
    <row r="2344" ht="12.5"/>
    <row r="2345" ht="12.5"/>
    <row r="2346" ht="12.5"/>
    <row r="2347" ht="12.5"/>
    <row r="2348" ht="12.5"/>
    <row r="2349" ht="12.5"/>
    <row r="2350" ht="12.5"/>
    <row r="2351" ht="12.5"/>
    <row r="2352" ht="12.5"/>
    <row r="2353" ht="12.5"/>
    <row r="2354" ht="12.5"/>
    <row r="2355" ht="12.5"/>
    <row r="2356" ht="12.5"/>
    <row r="2357" ht="12.5"/>
    <row r="2358" ht="12.5"/>
    <row r="2359" ht="12.5"/>
    <row r="2360" ht="12.5"/>
    <row r="2361" ht="12.5"/>
    <row r="2362" ht="12.5"/>
    <row r="2363" ht="12.5"/>
    <row r="2364" ht="12.5"/>
    <row r="2365" ht="12.5"/>
    <row r="2366" ht="12.5"/>
    <row r="2367" ht="12.5"/>
    <row r="2368" ht="12.5"/>
    <row r="2369" ht="12.5"/>
    <row r="2370" ht="12.5"/>
    <row r="2371" ht="12.5"/>
    <row r="2372" ht="12.5"/>
    <row r="2373" ht="12.5"/>
    <row r="2374" ht="12.5"/>
    <row r="2375" ht="12.5"/>
    <row r="2376" ht="12.5"/>
    <row r="2377" ht="12.5"/>
    <row r="2378" ht="12.5"/>
    <row r="2379" ht="12.5"/>
    <row r="2380" ht="12.5"/>
    <row r="2381" ht="12.5"/>
    <row r="2382" ht="12.5"/>
    <row r="2383" ht="12.5"/>
    <row r="2384" ht="12.5"/>
    <row r="2385" ht="12.5"/>
    <row r="2386" ht="12.5"/>
    <row r="2387" ht="12.5"/>
    <row r="2388" ht="12.5"/>
    <row r="2389" ht="12.5"/>
    <row r="2390" ht="12.5"/>
    <row r="2391" ht="12.5"/>
    <row r="2392" ht="12.5"/>
    <row r="2393" ht="12.5"/>
    <row r="2394" ht="12.5"/>
    <row r="2395" ht="12.5"/>
    <row r="2396" ht="12.5"/>
    <row r="2397" ht="12.5"/>
    <row r="2398" ht="12.5"/>
    <row r="2399" ht="12.5"/>
    <row r="2400" ht="12.5"/>
    <row r="2401" ht="12.5"/>
    <row r="2402" ht="12.5"/>
    <row r="2403" ht="12.5"/>
    <row r="2404" ht="12.5"/>
    <row r="2405" ht="12.5"/>
    <row r="2406" ht="12.5"/>
    <row r="2407" ht="12.5"/>
    <row r="2408" ht="12.5"/>
    <row r="2409" ht="12.5"/>
    <row r="2410" ht="12.5"/>
    <row r="2411" ht="12.5"/>
    <row r="2412" ht="12.5"/>
    <row r="2413" ht="12.5"/>
    <row r="2414" ht="12.5"/>
    <row r="2415" ht="12.5"/>
    <row r="2416" ht="12.5"/>
    <row r="2417" ht="12.5"/>
    <row r="2418" ht="12.5"/>
    <row r="2419" ht="12.5"/>
    <row r="2420" ht="12.5"/>
    <row r="2421" ht="12.5"/>
    <row r="2422" ht="12.5"/>
    <row r="2423" ht="12.5"/>
    <row r="2424" ht="12.5"/>
    <row r="2425" ht="12.5"/>
    <row r="2426" ht="12.5"/>
    <row r="2427" ht="12.5"/>
    <row r="2428" ht="12.5"/>
    <row r="2429" ht="12.5"/>
    <row r="2430" ht="12.5"/>
    <row r="2431" ht="12.5"/>
    <row r="2432" ht="12.5"/>
    <row r="2433" ht="12.5"/>
    <row r="2434" ht="12.5"/>
    <row r="2435" ht="12.5"/>
    <row r="2436" ht="12.5"/>
    <row r="2437" ht="12.5"/>
    <row r="2438" ht="12.5"/>
    <row r="2439" ht="12.5"/>
    <row r="2440" ht="12.5"/>
    <row r="2441" ht="12.5"/>
    <row r="2442" ht="12.5"/>
    <row r="2443" ht="12.5"/>
    <row r="2444" ht="12.5"/>
    <row r="2445" ht="12.5"/>
    <row r="2446" ht="12.5"/>
    <row r="2447" ht="12.5"/>
    <row r="2448" ht="12.5"/>
    <row r="2449" ht="12.5"/>
    <row r="2450" ht="12.5"/>
    <row r="2451" ht="12.5"/>
    <row r="2452" ht="12.5"/>
    <row r="2453" ht="12.5"/>
    <row r="2454" ht="12.5"/>
    <row r="2455" ht="12.5"/>
    <row r="2456" ht="12.5"/>
    <row r="2457" ht="12.5"/>
    <row r="2458" ht="12.5"/>
    <row r="2459" ht="12.5"/>
    <row r="2460" ht="12.5"/>
    <row r="2461" ht="12.5"/>
    <row r="2462" ht="12.5"/>
    <row r="2463" ht="12.5"/>
    <row r="2464" ht="12.5"/>
    <row r="2465" ht="12.5"/>
    <row r="2466" ht="12.5"/>
    <row r="2467" ht="12.5"/>
    <row r="2468" ht="12.5"/>
    <row r="2469" ht="12.5"/>
    <row r="2470" ht="12.5"/>
    <row r="2471" ht="12.5"/>
    <row r="2472" ht="12.5"/>
    <row r="2473" ht="12.5"/>
    <row r="2474" ht="12.5"/>
    <row r="2475" ht="12.5"/>
    <row r="2476" ht="12.5"/>
    <row r="2477" ht="12.5"/>
    <row r="2478" ht="12.5"/>
    <row r="2479" ht="12.5"/>
    <row r="2480" ht="12.5"/>
    <row r="2481" ht="12.5"/>
    <row r="2482" ht="12.5"/>
    <row r="2483" ht="12.5"/>
    <row r="2484" ht="12.5"/>
    <row r="2485" ht="12.5"/>
    <row r="2486" ht="12.5"/>
    <row r="2487" ht="12.5"/>
    <row r="2488" ht="12.5"/>
    <row r="2489" ht="12.5"/>
    <row r="2490" ht="12.5"/>
    <row r="2491" ht="12.5"/>
    <row r="2492" ht="12.5"/>
    <row r="2493" ht="12.5"/>
    <row r="2494" ht="12.5"/>
    <row r="2495" ht="12.5"/>
    <row r="2496" ht="12.5"/>
    <row r="2497" ht="12.5"/>
    <row r="2498" ht="12.5"/>
    <row r="2499" ht="12.5"/>
    <row r="2500" ht="12.5"/>
    <row r="2501" ht="12.5"/>
    <row r="2502" ht="12.5"/>
    <row r="2503" ht="12.5"/>
    <row r="2504" ht="12.5"/>
    <row r="2505" ht="12.5"/>
    <row r="2506" ht="12.5"/>
    <row r="2507" ht="12.5"/>
    <row r="2508" ht="12.5"/>
    <row r="2509" ht="12.5"/>
    <row r="2510" ht="12.5"/>
    <row r="2511" ht="12.5"/>
    <row r="2512" ht="12.5"/>
    <row r="2513" ht="12.5"/>
    <row r="2514" ht="12.5"/>
    <row r="2515" ht="12.5"/>
    <row r="2516" ht="12.5"/>
    <row r="2517" ht="12.5"/>
    <row r="2518" ht="12.5"/>
    <row r="2519" ht="12.5"/>
    <row r="2520" ht="12.5"/>
    <row r="2521" ht="12.5"/>
    <row r="2522" ht="12.5"/>
    <row r="2523" ht="12.5"/>
    <row r="2524" ht="12.5"/>
    <row r="2525" ht="12.5"/>
    <row r="2526" ht="12.5"/>
    <row r="2527" ht="12.5"/>
    <row r="2528" ht="12.5"/>
    <row r="2529" ht="12.5"/>
    <row r="2530" ht="12.5"/>
    <row r="2531" ht="12.5"/>
    <row r="2532" ht="12.5"/>
    <row r="2533" ht="12.5"/>
    <row r="2534" ht="12.5"/>
    <row r="2535" ht="12.5"/>
    <row r="2536" ht="12.5"/>
    <row r="2537" ht="12.5"/>
    <row r="2538" ht="12.5"/>
    <row r="2539" ht="12.5"/>
    <row r="2540" ht="12.5"/>
    <row r="2541" ht="12.5"/>
    <row r="2542" ht="12.5"/>
    <row r="2543" ht="12.5"/>
    <row r="2544" ht="12.5"/>
    <row r="2545" ht="12.5"/>
    <row r="2546" ht="12.5"/>
    <row r="2547" ht="12.5"/>
    <row r="2548" ht="12.5"/>
    <row r="2549" ht="12.5"/>
    <row r="2550" ht="12.5"/>
    <row r="2551" ht="12.5"/>
    <row r="2552" ht="12.5"/>
    <row r="2553" ht="12.5"/>
    <row r="2554" ht="12.5"/>
    <row r="2555" ht="12.5"/>
    <row r="2556" ht="12.5"/>
    <row r="2557" ht="12.5"/>
    <row r="2558" ht="12.5"/>
    <row r="2559" ht="12.5"/>
    <row r="2560" ht="12.5"/>
    <row r="2561" ht="12.5"/>
    <row r="2562" ht="12.5"/>
    <row r="2563" ht="12.5"/>
    <row r="2564" ht="12.5"/>
    <row r="2565" ht="12.5"/>
    <row r="2566" ht="12.5"/>
    <row r="2567" ht="12.5"/>
    <row r="2568" ht="12.5"/>
    <row r="2569" ht="12.5"/>
    <row r="2570" ht="12.5"/>
    <row r="2571" ht="12.5"/>
    <row r="2572" ht="12.5"/>
    <row r="2573" ht="12.5"/>
    <row r="2574" ht="12.5"/>
    <row r="2575" ht="12.5"/>
    <row r="2576" ht="12.5"/>
    <row r="2577" ht="12.5"/>
    <row r="2578" ht="12.5"/>
    <row r="2579" ht="12.5"/>
    <row r="2580" ht="12.5"/>
    <row r="2581" ht="12.5"/>
    <row r="2582" ht="12.5"/>
    <row r="2583" ht="12.5"/>
    <row r="2584" ht="12.5"/>
    <row r="2585" ht="12.5"/>
    <row r="2586" ht="12.5"/>
    <row r="2587" ht="12.5"/>
    <row r="2588" ht="12.5"/>
    <row r="2589" ht="12.5"/>
    <row r="2590" ht="12.5"/>
    <row r="2591" ht="12.5"/>
    <row r="2592" ht="12.5"/>
    <row r="2593" ht="12.5"/>
    <row r="2594" ht="12.5"/>
    <row r="2595" ht="12.5"/>
    <row r="2596" ht="12.5"/>
    <row r="2597" ht="12.5"/>
    <row r="2598" ht="12.5"/>
    <row r="2599" ht="12.5"/>
    <row r="2600" ht="12.5"/>
    <row r="2601" ht="12.5"/>
    <row r="2602" ht="12.5"/>
    <row r="2603" ht="12.5"/>
    <row r="2604" ht="12.5"/>
    <row r="2605" ht="12.5"/>
    <row r="2606" ht="12.5"/>
    <row r="2607" ht="12.5"/>
    <row r="2608" ht="12.5"/>
    <row r="2609" ht="12.5"/>
    <row r="2610" ht="12.5"/>
    <row r="2611" ht="12.5"/>
    <row r="2612" ht="12.5"/>
    <row r="2613" ht="12.5"/>
    <row r="2614" ht="12.5"/>
    <row r="2615" ht="12.5"/>
    <row r="2616" ht="12.5"/>
    <row r="2617" ht="12.5"/>
    <row r="2618" ht="12.5"/>
    <row r="2619" ht="12.5"/>
    <row r="2620" ht="12.5"/>
    <row r="2621" ht="12.5"/>
    <row r="2622" ht="12.5"/>
    <row r="2623" ht="12.5"/>
    <row r="2624" ht="12.5"/>
    <row r="2625" ht="12.5"/>
    <row r="2626" ht="12.5"/>
    <row r="2627" ht="12.5"/>
    <row r="2628" ht="12.5"/>
    <row r="2629" ht="12.5"/>
    <row r="2630" ht="12.5"/>
    <row r="2631" ht="12.5"/>
    <row r="2632" ht="12.5"/>
    <row r="2633" ht="12.5"/>
    <row r="2634" ht="12.5"/>
    <row r="2635" ht="12.5"/>
    <row r="2636" ht="12.5"/>
    <row r="2637" ht="12.5"/>
    <row r="2638" ht="12.5"/>
    <row r="2639" ht="12.5"/>
    <row r="2640" ht="12.5"/>
    <row r="2641" ht="12.5"/>
    <row r="2642" ht="12.5"/>
    <row r="2643" ht="12.5"/>
    <row r="2644" ht="12.5"/>
    <row r="2645" ht="12.5"/>
    <row r="2646" ht="12.5"/>
    <row r="2647" ht="12.5"/>
    <row r="2648" ht="12.5"/>
    <row r="2649" ht="12.5"/>
    <row r="2650" ht="12.5"/>
    <row r="2651" ht="12.5"/>
    <row r="2652" ht="12.5"/>
    <row r="2653" ht="12.5"/>
    <row r="2654" ht="12.5"/>
    <row r="2655" ht="12.5"/>
    <row r="2656" ht="12.5"/>
    <row r="2657" ht="12.5"/>
    <row r="2658" ht="12.5"/>
    <row r="2659" ht="12.5"/>
    <row r="2660" ht="12.5"/>
    <row r="2661" ht="12.5"/>
    <row r="2662" ht="12.5"/>
    <row r="2663" ht="12.5"/>
    <row r="2664" ht="12.5"/>
    <row r="2665" ht="12.5"/>
    <row r="2666" ht="12.5"/>
    <row r="2667" ht="12.5"/>
    <row r="2668" ht="12.5"/>
    <row r="2669" ht="12.5"/>
    <row r="2670" ht="12.5"/>
    <row r="2671" ht="12.5"/>
    <row r="2672" ht="12.5"/>
    <row r="2673" ht="12.5"/>
    <row r="2674" ht="12.5"/>
    <row r="2675" ht="12.5"/>
    <row r="2676" ht="12.5"/>
    <row r="2677" ht="12.5"/>
    <row r="2678" ht="12.5"/>
    <row r="2679" ht="12.5"/>
    <row r="2680" ht="12.5"/>
    <row r="2681" ht="12.5"/>
    <row r="2682" ht="12.5"/>
    <row r="2683" ht="12.5"/>
    <row r="2684" ht="12.5"/>
    <row r="2685" ht="12.5"/>
    <row r="2686" ht="12.5"/>
    <row r="2687" ht="12.5"/>
    <row r="2688" ht="12.5"/>
    <row r="2689" ht="12.5"/>
    <row r="2690" ht="12.5"/>
    <row r="2691" ht="12.5"/>
    <row r="2692" ht="12.5"/>
    <row r="2693" ht="12.5"/>
    <row r="2694" ht="12.5"/>
    <row r="2695" ht="12.5"/>
    <row r="2696" ht="12.5"/>
    <row r="2697" ht="12.5"/>
    <row r="2698" ht="12.5"/>
    <row r="2699" ht="12.5"/>
    <row r="2700" ht="12.5"/>
    <row r="2701" ht="12.5"/>
    <row r="2702" ht="12.5"/>
    <row r="2703" ht="12.5"/>
    <row r="2704" ht="12.5"/>
    <row r="2705" ht="12.5"/>
    <row r="2706" ht="12.5"/>
    <row r="2707" ht="12.5"/>
    <row r="2708" ht="12.5"/>
    <row r="2709" ht="12.5"/>
    <row r="2710" ht="12.5"/>
    <row r="2711" ht="12.5"/>
    <row r="2712" ht="12.5"/>
    <row r="2713" ht="12.5"/>
    <row r="2714" ht="12.5"/>
    <row r="2715" ht="12.5"/>
    <row r="2716" ht="12.5"/>
    <row r="2717" ht="12.5"/>
    <row r="2718" ht="12.5"/>
    <row r="2719" ht="12.5"/>
    <row r="2720" ht="12.5"/>
    <row r="2721" ht="12.5"/>
    <row r="2722" ht="12.5"/>
    <row r="2723" ht="12.5"/>
    <row r="2724" ht="12.5"/>
    <row r="2725" ht="12.5"/>
    <row r="2726" ht="12.5"/>
    <row r="2727" ht="12.5"/>
    <row r="2728" ht="12.5"/>
    <row r="2729" ht="12.5"/>
    <row r="2730" ht="12.5"/>
    <row r="2731" ht="12.5"/>
    <row r="2732" ht="12.5"/>
    <row r="2733" ht="12.5"/>
    <row r="2734" ht="12.5"/>
    <row r="2735" ht="12.5"/>
    <row r="2736" ht="12.5"/>
    <row r="2737" ht="12.5"/>
    <row r="2738" ht="12.5"/>
    <row r="2739" ht="12.5"/>
    <row r="2740" ht="12.5"/>
    <row r="2741" ht="12.5"/>
    <row r="2742" ht="12.5"/>
    <row r="2743" ht="12.5"/>
    <row r="2744" ht="12.5"/>
    <row r="2745" ht="12.5"/>
    <row r="2746" ht="12.5"/>
    <row r="2747" ht="12.5"/>
    <row r="2748" ht="12.5"/>
    <row r="2749" ht="12.5"/>
    <row r="2750" ht="12.5"/>
    <row r="2751" ht="12.5"/>
    <row r="2752" ht="12.5"/>
    <row r="2753" ht="12.5"/>
    <row r="2754" ht="12.5"/>
    <row r="2755" ht="12.5"/>
    <row r="2756" ht="12.5"/>
    <row r="2757" ht="12.5"/>
    <row r="2758" ht="12.5"/>
    <row r="2759" ht="12.5"/>
    <row r="2760" ht="12.5"/>
    <row r="2761" ht="12.5"/>
    <row r="2762" ht="12.5"/>
    <row r="2763" ht="12.5"/>
    <row r="2764" ht="12.5"/>
    <row r="2765" ht="12.5"/>
    <row r="2766" ht="12.5"/>
    <row r="2767" ht="12.5"/>
    <row r="2768" ht="12.5"/>
    <row r="2769" ht="12.5"/>
    <row r="2770" ht="12.5"/>
    <row r="2771" ht="12.5"/>
    <row r="2772" ht="12.5"/>
    <row r="2773" ht="12.5"/>
    <row r="2774" ht="12.5"/>
    <row r="2775" ht="12.5"/>
    <row r="2776" ht="12.5"/>
    <row r="2777" ht="12.5"/>
    <row r="2778" ht="12.5"/>
    <row r="2779" ht="12.5"/>
    <row r="2780" ht="12.5"/>
    <row r="2781" ht="12.5"/>
    <row r="2782" ht="12.5"/>
    <row r="2783" ht="12.5"/>
    <row r="2784" ht="12.5"/>
    <row r="2785" ht="12.5"/>
    <row r="2786" ht="12.5"/>
    <row r="2787" ht="12.5"/>
    <row r="2788" ht="12.5"/>
    <row r="2789" ht="12.5"/>
    <row r="2790" ht="12.5"/>
    <row r="2791" ht="12.5"/>
    <row r="2792" ht="12.5"/>
    <row r="2793" ht="12.5"/>
    <row r="2794" ht="12.5"/>
    <row r="2795" ht="12.5"/>
    <row r="2796" ht="12.5"/>
    <row r="2797" ht="12.5"/>
    <row r="2798" ht="12.5"/>
    <row r="2799" ht="12.5"/>
    <row r="2800" ht="12.5"/>
    <row r="2801" ht="12.5"/>
    <row r="2802" ht="12.5"/>
    <row r="2803" ht="12.5"/>
    <row r="2804" ht="12.5"/>
    <row r="2805" ht="12.5"/>
    <row r="2806" ht="12.5"/>
    <row r="2807" ht="12.5"/>
    <row r="2808" ht="12.5"/>
    <row r="2809" ht="12.5"/>
    <row r="2810" ht="12.5"/>
    <row r="2811" ht="12.5"/>
    <row r="2812" ht="12.5"/>
    <row r="2813" ht="12.5"/>
    <row r="2814" ht="12.5"/>
    <row r="2815" ht="12.5"/>
    <row r="2816" ht="12.5"/>
    <row r="2817" ht="12.5"/>
    <row r="2818" ht="12.5"/>
    <row r="2819" ht="12.5"/>
    <row r="2820" ht="12.5"/>
    <row r="2821" ht="12.5"/>
    <row r="2822" ht="12.5"/>
    <row r="2823" ht="12.5"/>
    <row r="2824" ht="12.5"/>
    <row r="2825" ht="12.5"/>
    <row r="2826" ht="12.5"/>
    <row r="2827" ht="12.5"/>
    <row r="2828" ht="12.5"/>
    <row r="2829" ht="12.5"/>
    <row r="2830" ht="12.5"/>
    <row r="2831" ht="12.5"/>
    <row r="2832" ht="12.5"/>
    <row r="2833" ht="12.5"/>
    <row r="2834" ht="12.5"/>
    <row r="2835" ht="12.5"/>
    <row r="2836" ht="12.5"/>
    <row r="2837" ht="12.5"/>
    <row r="2838" ht="12.5"/>
    <row r="2839" ht="12.5"/>
    <row r="2840" ht="12.5"/>
    <row r="2841" ht="12.5"/>
    <row r="2842" ht="12.5"/>
    <row r="2843" ht="12.5"/>
    <row r="2844" ht="12.5"/>
    <row r="2845" ht="12.5"/>
    <row r="2846" ht="12.5"/>
    <row r="2847" ht="12.5"/>
    <row r="2848" ht="12.5"/>
    <row r="2849" ht="12.5"/>
    <row r="2850" ht="12.5"/>
    <row r="2851" ht="12.5"/>
    <row r="2852" ht="12.5"/>
    <row r="2853" ht="12.5"/>
    <row r="2854" ht="12.5"/>
    <row r="2855" ht="12.5"/>
    <row r="2856" ht="12.5"/>
    <row r="2857" ht="12.5"/>
    <row r="2858" ht="12.5"/>
    <row r="2859" ht="12.5"/>
    <row r="2860" ht="12.5"/>
    <row r="2861" ht="12.5"/>
    <row r="2862" ht="12.5"/>
    <row r="2863" ht="12.5"/>
    <row r="2864" ht="12.5"/>
    <row r="2865" ht="12.5"/>
    <row r="2866" ht="12.5"/>
    <row r="2867" ht="12.5"/>
    <row r="2868" ht="12.5"/>
    <row r="2869" ht="12.5"/>
    <row r="2870" ht="12.5"/>
    <row r="2871" ht="12.5"/>
    <row r="2872" ht="12.5"/>
    <row r="2873" ht="12.5"/>
    <row r="2874" ht="12.5"/>
    <row r="2875" ht="12.5"/>
    <row r="2876" ht="12.5"/>
    <row r="2877" ht="12.5"/>
    <row r="2878" ht="12.5"/>
    <row r="2879" ht="12.5"/>
    <row r="2880" ht="12.5"/>
    <row r="2881" ht="12.5"/>
    <row r="2882" ht="12.5"/>
    <row r="2883" ht="12.5"/>
    <row r="2884" ht="12.5"/>
    <row r="2885" ht="12.5"/>
    <row r="2886" ht="12.5"/>
    <row r="2887" ht="12.5"/>
    <row r="2888" ht="12.5"/>
    <row r="2889" ht="12.5"/>
    <row r="2890" ht="12.5"/>
    <row r="2891" ht="12.5"/>
    <row r="2892" ht="12.5"/>
    <row r="2893" ht="12.5"/>
    <row r="2894" ht="12.5"/>
    <row r="2895" ht="12.5"/>
    <row r="2896" ht="12.5"/>
    <row r="2897" ht="12.5"/>
    <row r="2898" ht="12.5"/>
    <row r="2899" ht="12.5"/>
    <row r="2900" ht="12.5"/>
    <row r="2901" ht="12.5"/>
    <row r="2902" ht="12.5"/>
    <row r="2903" ht="12.5"/>
    <row r="2904" ht="12.5"/>
    <row r="2905" ht="12.5"/>
    <row r="2906" ht="12.5"/>
    <row r="2907" ht="12.5"/>
    <row r="2908" ht="12.5"/>
    <row r="2909" ht="12.5"/>
    <row r="2910" ht="12.5"/>
    <row r="2911" ht="12.5"/>
    <row r="2912" ht="12.5"/>
    <row r="2913" ht="12.5"/>
    <row r="2914" ht="12.5"/>
    <row r="2915" ht="12.5"/>
    <row r="2916" ht="12.5"/>
    <row r="2917" ht="12.5"/>
    <row r="2918" ht="12.5"/>
    <row r="2919" ht="12.5"/>
    <row r="2920" ht="12.5"/>
    <row r="2921" ht="12.5"/>
    <row r="2922" ht="12.5"/>
    <row r="2923" ht="12.5"/>
    <row r="2924" ht="12.5"/>
    <row r="2925" ht="12.5"/>
    <row r="2926" ht="12.5"/>
    <row r="2927" ht="12.5"/>
    <row r="2928" ht="12.5"/>
    <row r="2929" ht="12.5"/>
    <row r="2930" ht="12.5"/>
    <row r="2931" ht="12.5"/>
    <row r="2932" ht="12.5"/>
    <row r="2933" ht="12.5"/>
    <row r="2934" ht="12.5"/>
    <row r="2935" ht="12.5"/>
    <row r="2936" ht="12.5"/>
    <row r="2937" ht="12.5"/>
    <row r="2938" ht="12.5"/>
    <row r="2939" ht="12.5"/>
    <row r="2940" ht="12.5"/>
    <row r="2941" ht="12.5"/>
    <row r="2942" ht="12.5"/>
    <row r="2943" ht="12.5"/>
    <row r="2944" ht="12.5"/>
    <row r="2945" ht="12.5"/>
    <row r="2946" ht="12.5"/>
    <row r="2947" ht="12.5"/>
    <row r="2948" ht="12.5"/>
    <row r="2949" ht="12.5"/>
    <row r="2950" ht="12.5"/>
    <row r="2951" ht="12.5"/>
    <row r="2952" ht="12.5"/>
    <row r="2953" ht="12.5"/>
    <row r="2954" ht="12.5"/>
    <row r="2955" ht="12.5"/>
    <row r="2956" ht="12.5"/>
    <row r="2957" ht="12.5"/>
    <row r="2958" ht="12.5"/>
    <row r="2959" ht="12.5"/>
    <row r="2960" ht="12.5"/>
    <row r="2961" ht="12.5"/>
    <row r="2962" ht="12.5"/>
    <row r="2963" ht="12.5"/>
    <row r="2964" ht="12.5"/>
    <row r="2965" ht="12.5"/>
    <row r="2966" ht="12.5"/>
    <row r="2967" ht="12.5"/>
    <row r="2968" ht="12.5"/>
    <row r="2969" ht="12.5"/>
    <row r="2970" ht="12.5"/>
    <row r="2971" ht="12.5"/>
    <row r="2972" ht="12.5"/>
    <row r="2973" ht="12.5"/>
    <row r="2974" ht="12.5"/>
    <row r="2975" ht="12.5"/>
    <row r="2976" ht="12.5"/>
    <row r="2977" ht="12.5"/>
    <row r="2978" ht="12.5"/>
    <row r="2979" ht="12.5"/>
    <row r="2980" ht="12.5"/>
    <row r="2981" ht="12.5"/>
    <row r="2982" ht="12.5"/>
    <row r="2983" ht="12.5"/>
    <row r="2984" ht="12.5"/>
    <row r="2985" ht="12.5"/>
    <row r="2986" ht="12.5"/>
    <row r="2987" ht="12.5"/>
    <row r="2988" ht="12.5"/>
    <row r="2989" ht="12.5"/>
    <row r="2990" ht="12.5"/>
    <row r="2991" ht="12.5"/>
    <row r="2992" ht="12.5"/>
    <row r="2993" ht="12.5"/>
    <row r="2994" ht="12.5"/>
    <row r="2995" ht="12.5"/>
    <row r="2996" ht="12.5"/>
    <row r="2997" ht="12.5"/>
    <row r="2998" ht="12.5"/>
    <row r="2999" ht="12.5"/>
    <row r="3000" ht="12.5"/>
    <row r="3001" ht="12.5"/>
    <row r="3002" ht="12.5"/>
    <row r="3003" ht="12.5"/>
    <row r="3004" ht="12.5"/>
    <row r="3005" ht="12.5"/>
    <row r="3006" ht="12.5"/>
    <row r="3007" ht="12.5"/>
    <row r="3008" ht="12.5"/>
    <row r="3009" ht="12.5"/>
    <row r="3010" ht="12.5"/>
    <row r="3011" ht="12.5"/>
    <row r="3012" ht="12.5"/>
    <row r="3013" ht="12.5"/>
    <row r="3014" ht="12.5"/>
    <row r="3015" ht="12.5"/>
    <row r="3016" ht="12.5"/>
    <row r="3017" ht="12.5"/>
    <row r="3018" ht="12.5"/>
    <row r="3019" ht="12.5"/>
    <row r="3020" ht="12.5"/>
    <row r="3021" ht="12.5"/>
    <row r="3022" ht="12.5"/>
    <row r="3023" ht="12.5"/>
    <row r="3024" ht="12.5"/>
    <row r="3025" ht="12.5"/>
    <row r="3026" ht="12.5"/>
    <row r="3027" ht="12.5"/>
    <row r="3028" ht="12.5"/>
    <row r="3029" ht="12.5"/>
    <row r="3030" ht="12.5"/>
    <row r="3031" ht="12.5"/>
    <row r="3032" ht="12.5"/>
    <row r="3033" ht="12.5"/>
    <row r="3034" ht="12.5"/>
    <row r="3035" ht="12.5"/>
    <row r="3036" ht="12.5"/>
    <row r="3037" ht="12.5"/>
    <row r="3038" ht="12.5"/>
    <row r="3039" ht="12.5"/>
    <row r="3040" ht="12.5"/>
    <row r="3041" ht="12.5"/>
    <row r="3042" ht="12.5"/>
    <row r="3043" ht="12.5"/>
    <row r="3044" ht="12.5"/>
    <row r="3045" ht="12.5"/>
    <row r="3046" ht="12.5"/>
    <row r="3047" ht="12.5"/>
    <row r="3048" ht="12.5"/>
    <row r="3049" ht="12.5"/>
    <row r="3050" ht="12.5"/>
    <row r="3051" ht="12.5"/>
    <row r="3052" ht="12.5"/>
    <row r="3053" ht="12.5"/>
    <row r="3054" ht="12.5"/>
    <row r="3055" ht="12.5"/>
    <row r="3056" ht="12.5"/>
    <row r="3057" ht="12.5"/>
    <row r="3058" ht="12.5"/>
    <row r="3059" ht="12.5"/>
    <row r="3060" ht="12.5"/>
    <row r="3061" ht="12.5"/>
    <row r="3062" ht="12.5"/>
    <row r="3063" ht="12.5"/>
    <row r="3064" ht="12.5"/>
    <row r="3065" ht="12.5"/>
    <row r="3066" ht="12.5"/>
    <row r="3067" ht="12.5"/>
    <row r="3068" ht="12.5"/>
    <row r="3069" ht="12.5"/>
    <row r="3070" ht="12.5"/>
    <row r="3071" ht="12.5"/>
    <row r="3072" ht="12.5"/>
    <row r="3073" ht="12.5"/>
    <row r="3074" ht="12.5"/>
    <row r="3075" ht="12.5"/>
    <row r="3076" ht="12.5"/>
    <row r="3077" ht="12.5"/>
    <row r="3078" ht="12.5"/>
    <row r="3079" ht="12.5"/>
    <row r="3080" ht="12.5"/>
    <row r="3081" ht="12.5"/>
    <row r="3082" ht="12.5"/>
    <row r="3083" ht="12.5"/>
    <row r="3084" ht="12.5"/>
    <row r="3085" ht="12.5"/>
    <row r="3086" ht="12.5"/>
    <row r="3087" ht="12.5"/>
    <row r="3088" ht="12.5"/>
    <row r="3089" ht="12.5"/>
    <row r="3090" ht="12.5"/>
    <row r="3091" ht="12.5"/>
    <row r="3092" ht="12.5"/>
    <row r="3093" ht="12.5"/>
    <row r="3094" ht="12.5"/>
    <row r="3095" ht="12.5"/>
    <row r="3096" ht="12.5"/>
    <row r="3097" ht="12.5"/>
    <row r="3098" ht="12.5"/>
    <row r="3099" ht="12.5"/>
    <row r="3100" ht="12.5"/>
    <row r="3101" ht="12.5"/>
    <row r="3102" ht="12.5"/>
    <row r="3103" ht="12.5"/>
    <row r="3104" ht="12.5"/>
    <row r="3105" ht="12.5"/>
    <row r="3106" ht="12.5"/>
    <row r="3107" ht="12.5"/>
    <row r="3108" ht="12.5"/>
    <row r="3109" ht="12.5"/>
    <row r="3110" ht="12.5"/>
    <row r="3111" ht="12.5"/>
    <row r="3112" ht="12.5"/>
    <row r="3113" ht="12.5"/>
    <row r="3114" ht="12.5"/>
    <row r="3115" ht="12.5"/>
    <row r="3116" ht="12.5"/>
    <row r="3117" ht="12.5"/>
    <row r="3118" ht="12.5"/>
    <row r="3119" ht="12.5"/>
    <row r="3120" ht="12.5"/>
    <row r="3121" ht="12.5"/>
    <row r="3122" ht="12.5"/>
    <row r="3123" ht="12.5"/>
    <row r="3124" ht="12.5"/>
    <row r="3125" ht="12.5"/>
    <row r="3126" ht="12.5"/>
    <row r="3127" ht="12.5"/>
    <row r="3128" ht="12.5"/>
    <row r="3129" ht="12.5"/>
    <row r="3130" ht="12.5"/>
    <row r="3131" ht="12.5"/>
    <row r="3132" ht="12.5"/>
    <row r="3133" ht="12.5"/>
    <row r="3134" ht="12.5"/>
    <row r="3135" ht="12.5"/>
    <row r="3136" ht="12.5"/>
    <row r="3137" ht="12.5"/>
    <row r="3138" ht="12.5"/>
    <row r="3139" ht="12.5"/>
    <row r="3140" ht="12.5"/>
    <row r="3141" ht="12.5"/>
    <row r="3142" ht="12.5"/>
    <row r="3143" ht="12.5"/>
    <row r="3144" ht="12.5"/>
    <row r="3145" ht="12.5"/>
    <row r="3146" ht="12.5"/>
    <row r="3147" ht="12.5"/>
    <row r="3148" ht="12.5"/>
    <row r="3149" ht="12.5"/>
    <row r="3150" ht="12.5"/>
    <row r="3151" ht="12.5"/>
    <row r="3152" ht="12.5"/>
    <row r="3153" ht="12.5"/>
    <row r="3154" ht="12.5"/>
    <row r="3155" ht="12.5"/>
    <row r="3156" ht="12.5"/>
    <row r="3157" ht="12.5"/>
    <row r="3158" ht="12.5"/>
    <row r="3159" ht="12.5"/>
    <row r="3160" ht="12.5"/>
    <row r="3161" ht="12.5"/>
    <row r="3162" ht="12.5"/>
    <row r="3163" ht="12.5"/>
    <row r="3164" ht="12.5"/>
    <row r="3165" ht="12.5"/>
    <row r="3166" ht="12.5"/>
    <row r="3167" ht="12.5"/>
    <row r="3168" ht="12.5"/>
    <row r="3169" ht="12.5"/>
    <row r="3170" ht="12.5"/>
    <row r="3171" ht="12.5"/>
    <row r="3172" ht="12.5"/>
    <row r="3173" ht="12.5"/>
    <row r="3174" ht="12.5"/>
    <row r="3175" ht="12.5"/>
    <row r="3176" ht="12.5"/>
    <row r="3177" ht="12.5"/>
    <row r="3178" ht="12.5"/>
    <row r="3179" ht="12.5"/>
    <row r="3180" ht="12.5"/>
    <row r="3181" ht="12.5"/>
    <row r="3182" ht="12.5"/>
    <row r="3183" ht="12.5"/>
    <row r="3184" ht="12.5"/>
    <row r="3185" ht="12.5"/>
    <row r="3186" ht="12.5"/>
    <row r="3187" ht="12.5"/>
    <row r="3188" ht="12.5"/>
    <row r="3189" ht="12.5"/>
    <row r="3190" ht="12.5"/>
    <row r="3191" ht="12.5"/>
    <row r="3192" ht="12.5"/>
    <row r="3193" ht="12.5"/>
    <row r="3194" ht="12.5"/>
    <row r="3195" ht="12.5"/>
    <row r="3196" ht="12.5"/>
    <row r="3197" ht="12.5"/>
    <row r="3198" ht="12.5"/>
    <row r="3199" ht="12.5"/>
    <row r="3200" ht="12.5"/>
    <row r="3201" ht="12.5"/>
    <row r="3202" ht="12.5"/>
    <row r="3203" ht="12.5"/>
    <row r="3204" ht="12.5"/>
    <row r="3205" ht="12.5"/>
    <row r="3206" ht="12.5"/>
    <row r="3207" ht="12.5"/>
    <row r="3208" ht="12.5"/>
    <row r="3209" ht="12.5"/>
    <row r="3210" ht="12.5"/>
    <row r="3211" ht="12.5"/>
    <row r="3212" ht="12.5"/>
    <row r="3213" ht="12.5"/>
    <row r="3214" ht="12.5"/>
    <row r="3215" ht="12.5"/>
    <row r="3216" ht="12.5"/>
    <row r="3217" ht="12.5"/>
    <row r="3218" ht="12.5"/>
    <row r="3219" ht="12.5"/>
    <row r="3220" ht="12.5"/>
    <row r="3221" ht="12.5"/>
    <row r="3222" ht="12.5"/>
    <row r="3223" ht="12.5"/>
    <row r="3224" ht="12.5"/>
    <row r="3225" ht="12.5"/>
    <row r="3226" ht="12.5"/>
    <row r="3227" ht="12.5"/>
    <row r="3228" ht="12.5"/>
    <row r="3229" ht="12.5"/>
    <row r="3230" ht="12.5"/>
    <row r="3231" ht="12.5"/>
    <row r="3232" ht="12.5"/>
    <row r="3233" ht="12.5"/>
    <row r="3234" ht="12.5"/>
    <row r="3235" ht="12.5"/>
    <row r="3236" ht="12.5"/>
    <row r="3237" ht="12.5"/>
    <row r="3238" ht="12.5"/>
    <row r="3239" ht="12.5"/>
    <row r="3240" ht="12.5"/>
    <row r="3241" ht="12.5"/>
    <row r="3242" ht="12.5"/>
    <row r="3243" ht="12.5"/>
    <row r="3244" ht="12.5"/>
    <row r="3245" ht="12.5"/>
    <row r="3246" ht="12.5"/>
    <row r="3247" ht="12.5"/>
    <row r="3248" ht="12.5"/>
    <row r="3249" ht="12.5"/>
    <row r="3250" ht="12.5"/>
    <row r="3251" ht="12.5"/>
    <row r="3252" ht="12.5"/>
    <row r="3253" ht="12.5"/>
    <row r="3254" ht="12.5"/>
    <row r="3255" ht="12.5"/>
    <row r="3256" ht="12.5"/>
    <row r="3257" ht="12.5"/>
    <row r="3258" ht="12.5"/>
    <row r="3259" ht="12.5"/>
    <row r="3260" ht="12.5"/>
    <row r="3261" ht="12.5"/>
    <row r="3262" ht="12.5"/>
    <row r="3263" ht="12.5"/>
    <row r="3264" ht="12.5"/>
    <row r="3265" ht="12.5"/>
    <row r="3266" ht="12.5"/>
    <row r="3267" ht="12.5"/>
    <row r="3268" ht="12.5"/>
    <row r="3269" ht="12.5"/>
    <row r="3270" ht="12.5"/>
    <row r="3271" ht="12.5"/>
    <row r="3272" ht="12.5"/>
    <row r="3273" ht="12.5"/>
    <row r="3274" ht="12.5"/>
    <row r="3275" ht="12.5"/>
    <row r="3276" ht="12.5"/>
    <row r="3277" ht="12.5"/>
    <row r="3278" ht="12.5"/>
    <row r="3279" ht="12.5"/>
    <row r="3280" ht="12.5"/>
    <row r="3281" ht="12.5"/>
    <row r="3282" ht="12.5"/>
    <row r="3283" ht="12.5"/>
    <row r="3284" ht="12.5"/>
    <row r="3285" ht="12.5"/>
    <row r="3286" ht="12.5"/>
    <row r="3287" ht="12.5"/>
    <row r="3288" ht="12.5"/>
    <row r="3289" ht="12.5"/>
    <row r="3290" ht="12.5"/>
    <row r="3291" ht="12.5"/>
    <row r="3292" ht="12.5"/>
    <row r="3293" ht="12.5"/>
    <row r="3294" ht="12.5"/>
    <row r="3295" ht="12.5"/>
    <row r="3296" ht="12.5"/>
    <row r="3297" ht="12.5"/>
    <row r="3298" ht="12.5"/>
    <row r="3299" ht="12.5"/>
    <row r="3300" ht="12.5"/>
    <row r="3301" ht="12.5"/>
    <row r="3302" ht="12.5"/>
    <row r="3303" ht="12.5"/>
    <row r="3304" ht="12.5"/>
    <row r="3305" ht="12.5"/>
    <row r="3306" ht="12.5"/>
    <row r="3307" ht="12.5"/>
    <row r="3308" ht="12.5"/>
    <row r="3309" ht="12.5"/>
    <row r="3310" ht="12.5"/>
    <row r="3311" ht="12.5"/>
    <row r="3312" ht="12.5"/>
    <row r="3313" ht="12.5"/>
    <row r="3314" ht="12.5"/>
    <row r="3315" ht="12.5"/>
    <row r="3316" ht="12.5"/>
    <row r="3317" ht="12.5"/>
    <row r="3318" ht="12.5"/>
    <row r="3319" ht="12.5"/>
    <row r="3320" ht="12.5"/>
    <row r="3321" ht="12.5"/>
    <row r="3322" ht="12.5"/>
    <row r="3323" ht="12.5"/>
    <row r="3324" ht="12.5"/>
    <row r="3325" ht="12.5"/>
    <row r="3326" ht="12.5"/>
    <row r="3327" ht="12.5"/>
    <row r="3328" ht="12.5"/>
    <row r="3329" ht="12.5"/>
    <row r="3330" ht="12.5"/>
    <row r="3331" ht="12.5"/>
    <row r="3332" ht="12.5"/>
    <row r="3333" ht="12.5"/>
    <row r="3334" ht="12.5"/>
    <row r="3335" ht="12.5"/>
    <row r="3336" ht="12.5"/>
    <row r="3337" ht="12.5"/>
    <row r="3338" ht="12.5"/>
    <row r="3339" ht="12.5"/>
    <row r="3340" ht="12.5"/>
    <row r="3341" ht="12.5"/>
    <row r="3342" ht="12.5"/>
    <row r="3343" ht="12.5"/>
    <row r="3344" ht="12.5"/>
    <row r="3345" ht="12.5"/>
    <row r="3346" ht="12.5"/>
    <row r="3347" ht="12.5"/>
    <row r="3348" ht="12.5"/>
    <row r="3349" ht="12.5"/>
    <row r="3350" ht="12.5"/>
    <row r="3351" ht="12.5"/>
    <row r="3352" ht="12.5"/>
    <row r="3353" ht="12.5"/>
    <row r="3354" ht="12.5"/>
    <row r="3355" ht="12.5"/>
    <row r="3356" ht="12.5"/>
    <row r="3357" ht="12.5"/>
    <row r="3358" ht="12.5"/>
    <row r="3359" ht="12.5"/>
    <row r="3360" ht="12.5"/>
    <row r="3361" ht="12.5"/>
    <row r="3362" ht="12.5"/>
    <row r="3363" ht="12.5"/>
    <row r="3364" ht="12.5"/>
    <row r="3365" ht="12.5"/>
    <row r="3366" ht="12.5"/>
    <row r="3367" ht="12.5"/>
    <row r="3368" ht="12.5"/>
    <row r="3369" ht="12.5"/>
    <row r="3370" ht="12.5"/>
    <row r="3371" ht="12.5"/>
    <row r="3372" ht="12.5"/>
    <row r="3373" ht="12.5"/>
    <row r="3374" ht="12.5"/>
    <row r="3375" ht="12.5"/>
    <row r="3376" ht="12.5"/>
    <row r="3377" ht="12.5"/>
    <row r="3378" ht="12.5"/>
    <row r="3379" ht="12.5"/>
    <row r="3380" ht="12.5"/>
    <row r="3381" ht="12.5"/>
    <row r="3382" ht="12.5"/>
    <row r="3383" ht="12.5"/>
    <row r="3384" ht="12.5"/>
    <row r="3385" ht="12.5"/>
    <row r="3386" ht="12.5"/>
    <row r="3387" ht="12.5"/>
    <row r="3388" ht="12.5"/>
    <row r="3389" ht="12.5"/>
    <row r="3390" ht="12.5"/>
    <row r="3391" ht="12.5"/>
    <row r="3392" ht="12.5"/>
    <row r="3393" ht="12.5"/>
    <row r="3394" ht="12.5"/>
    <row r="3395" ht="12.5"/>
    <row r="3396" ht="12.5"/>
    <row r="3397" ht="12.5"/>
    <row r="3398" ht="12.5"/>
    <row r="3399" ht="12.5"/>
    <row r="3400" ht="12.5"/>
    <row r="3401" ht="12.5"/>
    <row r="3402" ht="12.5"/>
    <row r="3403" ht="12.5"/>
    <row r="3404" ht="12.5"/>
    <row r="3405" ht="12.5"/>
    <row r="3406" ht="12.5"/>
    <row r="3407" ht="12.5"/>
    <row r="3408" ht="12.5"/>
    <row r="3409" ht="12.5"/>
    <row r="3410" ht="12.5"/>
    <row r="3411" ht="12.5"/>
    <row r="3412" ht="12.5"/>
    <row r="3413" ht="12.5"/>
    <row r="3414" ht="12.5"/>
    <row r="3415" ht="12.5"/>
    <row r="3416" ht="12.5"/>
    <row r="3417" ht="12.5"/>
    <row r="3418" ht="12.5"/>
    <row r="3419" ht="12.5"/>
    <row r="3420" ht="12.5"/>
    <row r="3421" ht="12.5"/>
    <row r="3422" ht="12.5"/>
    <row r="3423" ht="12.5"/>
    <row r="3424" ht="12.5"/>
    <row r="3425" ht="12.5"/>
    <row r="3426" ht="12.5"/>
    <row r="3427" ht="12.5"/>
    <row r="3428" ht="12.5"/>
    <row r="3429" ht="12.5"/>
    <row r="3430" ht="12.5"/>
    <row r="3431" ht="12.5"/>
    <row r="3432" ht="12.5"/>
    <row r="3433" ht="12.5"/>
    <row r="3434" ht="12.5"/>
    <row r="3435" ht="12.5"/>
    <row r="3436" ht="12.5"/>
    <row r="3437" ht="12.5"/>
    <row r="3438" ht="12.5"/>
    <row r="3439" ht="12.5"/>
    <row r="3440" ht="12.5"/>
    <row r="3441" ht="12.5"/>
    <row r="3442" ht="12.5"/>
    <row r="3443" ht="12.5"/>
    <row r="3444" ht="12.5"/>
    <row r="3445" ht="12.5"/>
    <row r="3446" ht="12.5"/>
    <row r="3447" ht="12.5"/>
    <row r="3448" ht="12.5"/>
    <row r="3449" ht="12.5"/>
    <row r="3450" ht="12.5"/>
    <row r="3451" ht="12.5"/>
    <row r="3452" ht="12.5"/>
    <row r="3453" ht="12.5"/>
    <row r="3454" ht="12.5"/>
    <row r="3455" ht="12.5"/>
    <row r="3456" ht="12.5"/>
    <row r="3457" ht="12.5"/>
    <row r="3458" ht="12.5"/>
    <row r="3459" ht="12.5"/>
    <row r="3460" ht="12.5"/>
    <row r="3461" ht="12.5"/>
    <row r="3462" ht="12.5"/>
    <row r="3463" ht="12.5"/>
    <row r="3464" ht="12.5"/>
    <row r="3465" ht="12.5"/>
    <row r="3466" ht="12.5"/>
    <row r="3467" ht="12.5"/>
    <row r="3468" ht="12.5"/>
    <row r="3469" ht="12.5"/>
    <row r="3470" ht="12.5"/>
    <row r="3471" ht="12.5"/>
    <row r="3472" ht="12.5"/>
    <row r="3473" ht="12.5"/>
    <row r="3474" ht="12.5"/>
    <row r="3475" ht="12.5"/>
    <row r="3476" ht="12.5"/>
    <row r="3477" ht="12.5"/>
    <row r="3478" ht="12.5"/>
    <row r="3479" ht="12.5"/>
    <row r="3480" ht="12.5"/>
    <row r="3481" ht="12.5"/>
    <row r="3482" ht="12.5"/>
    <row r="3483" ht="12.5"/>
    <row r="3484" ht="12.5"/>
    <row r="3485" ht="12.5"/>
    <row r="3486" ht="12.5"/>
    <row r="3487" ht="12.5"/>
    <row r="3488" ht="12.5"/>
    <row r="3489" ht="12.5"/>
    <row r="3490" ht="12.5"/>
    <row r="3491" ht="12.5"/>
    <row r="3492" ht="12.5"/>
    <row r="3493" ht="12.5"/>
    <row r="3494" ht="12.5"/>
    <row r="3495" ht="12.5"/>
    <row r="3496" ht="12.5"/>
    <row r="3497" ht="12.5"/>
    <row r="3498" ht="12.5"/>
    <row r="3499" ht="12.5"/>
    <row r="3500" ht="12.5"/>
    <row r="3501" ht="12.5"/>
    <row r="3502" ht="12.5"/>
    <row r="3503" ht="12.5"/>
    <row r="3504" ht="12.5"/>
    <row r="3505" ht="12.5"/>
    <row r="3506" ht="12.5"/>
    <row r="3507" ht="12.5"/>
    <row r="3508" ht="12.5"/>
    <row r="3509" ht="12.5"/>
    <row r="3510" ht="12.5"/>
    <row r="3511" ht="12.5"/>
    <row r="3512" ht="12.5"/>
    <row r="3513" ht="12.5"/>
    <row r="3514" ht="12.5"/>
    <row r="3515" ht="12.5"/>
    <row r="3516" ht="12.5"/>
    <row r="3517" ht="12.5"/>
    <row r="3518" ht="12.5"/>
    <row r="3519" ht="12.5"/>
    <row r="3520" ht="12.5"/>
    <row r="3521" ht="12.5"/>
    <row r="3522" ht="12.5"/>
    <row r="3523" ht="12.5"/>
    <row r="3524" ht="12.5"/>
    <row r="3525" ht="12.5"/>
    <row r="3526" ht="12.5"/>
    <row r="3527" ht="12.5"/>
    <row r="3528" ht="12.5"/>
    <row r="3529" ht="12.5"/>
    <row r="3530" ht="12.5"/>
    <row r="3531" ht="12.5"/>
    <row r="3532" ht="12.5"/>
    <row r="3533" ht="12.5"/>
    <row r="3534" ht="12.5"/>
    <row r="3535" ht="12.5"/>
    <row r="3536" ht="12.5"/>
    <row r="3537" ht="12.5"/>
    <row r="3538" ht="12.5"/>
    <row r="3539" ht="12.5"/>
    <row r="3540" ht="12.5"/>
    <row r="3541" ht="12.5"/>
    <row r="3542" ht="12.5"/>
    <row r="3543" ht="12.5"/>
    <row r="3544" ht="12.5"/>
    <row r="3545" ht="12.5"/>
    <row r="3546" ht="12.5"/>
    <row r="3547" ht="12.5"/>
    <row r="3548" ht="12.5"/>
    <row r="3549" ht="12.5"/>
    <row r="3550" ht="12.5"/>
    <row r="3551" ht="12.5"/>
    <row r="3552" ht="12.5"/>
    <row r="3553" ht="12.5"/>
    <row r="3554" ht="12.5"/>
    <row r="3555" ht="12.5"/>
    <row r="3556" ht="12.5"/>
    <row r="3557" ht="12.5"/>
    <row r="3558" ht="12.5"/>
    <row r="3559" ht="12.5"/>
    <row r="3560" ht="12.5"/>
    <row r="3561" ht="12.5"/>
    <row r="3562" ht="12.5"/>
    <row r="3563" ht="12.5"/>
    <row r="3564" ht="12.5"/>
    <row r="3565" ht="12.5"/>
    <row r="3566" ht="12.5"/>
    <row r="3567" ht="12.5"/>
    <row r="3568" ht="12.5"/>
    <row r="3569" ht="12.5"/>
    <row r="3570" ht="12.5"/>
    <row r="3571" ht="12.5"/>
    <row r="3572" ht="12.5"/>
    <row r="3573" ht="12.5"/>
    <row r="3574" ht="12.5"/>
    <row r="3575" ht="12.5"/>
    <row r="3576" ht="12.5"/>
    <row r="3577" ht="12.5"/>
    <row r="3578" ht="12.5"/>
    <row r="3579" ht="12.5"/>
    <row r="3580" ht="12.5"/>
    <row r="3581" ht="12.5"/>
    <row r="3582" ht="12.5"/>
    <row r="3583" ht="12.5"/>
    <row r="3584" ht="12.5"/>
    <row r="3585" ht="12.5"/>
    <row r="3586" ht="12.5"/>
    <row r="3587" ht="12.5"/>
    <row r="3588" ht="12.5"/>
    <row r="3589" ht="12.5"/>
    <row r="3590" ht="12.5"/>
    <row r="3591" ht="12.5"/>
    <row r="3592" ht="12.5"/>
    <row r="3593" ht="12.5"/>
    <row r="3594" ht="12.5"/>
    <row r="3595" ht="12.5"/>
    <row r="3596" ht="12.5"/>
    <row r="3597" ht="12.5"/>
    <row r="3598" ht="12.5"/>
    <row r="3599" ht="12.5"/>
    <row r="3600" ht="12.5"/>
    <row r="3601" ht="12.5"/>
    <row r="3602" ht="12.5"/>
    <row r="3603" ht="12.5"/>
    <row r="3604" ht="12.5"/>
    <row r="3605" ht="12.5"/>
    <row r="3606" ht="12.5"/>
    <row r="3607" ht="12.5"/>
    <row r="3608" ht="12.5"/>
    <row r="3609" ht="12.5"/>
    <row r="3610" ht="12.5"/>
    <row r="3611" ht="12.5"/>
    <row r="3612" ht="12.5"/>
    <row r="3613" ht="12.5"/>
    <row r="3614" ht="12.5"/>
    <row r="3615" ht="12.5"/>
    <row r="3616" ht="12.5"/>
    <row r="3617" ht="12.5"/>
    <row r="3618" ht="12.5"/>
    <row r="3619" ht="12.5"/>
    <row r="3620" ht="12.5"/>
    <row r="3621" ht="12.5"/>
    <row r="3622" ht="12.5"/>
    <row r="3623" ht="12.5"/>
    <row r="3624" ht="12.5"/>
    <row r="3625" ht="12.5"/>
    <row r="3626" ht="12.5"/>
    <row r="3627" ht="12.5"/>
    <row r="3628" ht="12.5"/>
    <row r="3629" ht="12.5"/>
    <row r="3630" ht="12.5"/>
    <row r="3631" ht="12.5"/>
    <row r="3632" ht="12.5"/>
    <row r="3633" ht="12.5"/>
    <row r="3634" ht="12.5"/>
    <row r="3635" ht="12.5"/>
    <row r="3636" ht="12.5"/>
    <row r="3637" ht="12.5"/>
    <row r="3638" ht="12.5"/>
    <row r="3639" ht="12.5"/>
    <row r="3640" ht="12.5"/>
    <row r="3641" ht="12.5"/>
    <row r="3642" ht="12.5"/>
    <row r="3643" ht="12.5"/>
    <row r="3644" ht="12.5"/>
    <row r="3645" ht="12.5"/>
    <row r="3646" ht="12.5"/>
    <row r="3647" ht="12.5"/>
    <row r="3648" ht="12.5"/>
    <row r="3649" ht="12.5"/>
    <row r="3650" ht="12.5"/>
    <row r="3651" ht="12.5"/>
    <row r="3652" ht="12.5"/>
    <row r="3653" ht="12.5"/>
    <row r="3654" ht="12.5"/>
    <row r="3655" ht="12.5"/>
    <row r="3656" ht="12.5"/>
    <row r="3657" ht="12.5"/>
    <row r="3658" ht="12.5"/>
    <row r="3659" ht="12.5"/>
    <row r="3660" ht="12.5"/>
    <row r="3661" ht="12.5"/>
    <row r="3662" ht="12.5"/>
    <row r="3663" ht="12.5"/>
    <row r="3664" ht="12.5"/>
    <row r="3665" ht="12.5"/>
    <row r="3666" ht="12.5"/>
    <row r="3667" ht="12.5"/>
    <row r="3668" ht="12.5"/>
    <row r="3669" ht="12.5"/>
    <row r="3670" ht="12.5"/>
    <row r="3671" ht="12.5"/>
    <row r="3672" ht="12.5"/>
    <row r="3673" ht="12.5"/>
    <row r="3674" ht="12.5"/>
    <row r="3675" ht="12.5"/>
    <row r="3676" ht="12.5"/>
    <row r="3677" ht="12.5"/>
    <row r="3678" ht="12.5"/>
    <row r="3679" ht="12.5"/>
    <row r="3680" ht="12.5"/>
    <row r="3681" ht="12.5"/>
    <row r="3682" ht="12.5"/>
    <row r="3683" ht="12.5"/>
    <row r="3684" ht="12.5"/>
    <row r="3685" ht="12.5"/>
    <row r="3686" ht="12.5"/>
    <row r="3687" ht="12.5"/>
    <row r="3688" ht="12.5"/>
    <row r="3689" ht="12.5"/>
    <row r="3690" ht="12.5"/>
    <row r="3691" ht="12.5"/>
    <row r="3692" ht="12.5"/>
    <row r="3693" ht="12.5"/>
    <row r="3694" ht="12.5"/>
    <row r="3695" ht="12.5"/>
    <row r="3696" ht="12.5"/>
    <row r="3697" ht="12.5"/>
    <row r="3698" ht="12.5"/>
    <row r="3699" ht="12.5"/>
    <row r="3700" ht="12.5"/>
    <row r="3701" ht="12.5"/>
    <row r="3702" ht="12.5"/>
    <row r="3703" ht="12.5"/>
    <row r="3704" ht="12.5"/>
    <row r="3705" ht="12.5"/>
    <row r="3706" ht="12.5"/>
    <row r="3707" ht="12.5"/>
    <row r="3708" ht="12.5"/>
    <row r="3709" ht="12.5"/>
    <row r="3710" ht="12.5"/>
    <row r="3711" ht="12.5"/>
    <row r="3712" ht="12.5"/>
    <row r="3713" ht="12.5"/>
    <row r="3714" ht="12.5"/>
    <row r="3715" ht="12.5"/>
    <row r="3716" ht="12.5"/>
    <row r="3717" ht="12.5"/>
    <row r="3718" ht="12.5"/>
    <row r="3719" ht="12.5"/>
    <row r="3720" ht="12.5"/>
    <row r="3721" ht="12.5"/>
    <row r="3722" ht="12.5"/>
    <row r="3723" ht="12.5"/>
    <row r="3724" ht="12.5"/>
    <row r="3725" ht="12.5"/>
    <row r="3726" ht="12.5"/>
    <row r="3727" ht="12.5"/>
    <row r="3728" ht="12.5"/>
    <row r="3729" ht="12.5"/>
    <row r="3730" ht="12.5"/>
    <row r="3731" ht="12.5"/>
    <row r="3732" ht="12.5"/>
    <row r="3733" ht="12.5"/>
    <row r="3734" ht="12.5"/>
    <row r="3735" ht="12.5"/>
    <row r="3736" ht="12.5"/>
    <row r="3737" ht="12.5"/>
    <row r="3738" ht="12.5"/>
    <row r="3739" ht="12.5"/>
    <row r="3740" ht="12.5"/>
    <row r="3741" ht="12.5"/>
    <row r="3742" ht="12.5"/>
    <row r="3743" ht="12.5"/>
    <row r="3744" ht="12.5"/>
    <row r="3745" ht="12.5"/>
    <row r="3746" ht="12.5"/>
    <row r="3747" ht="12.5"/>
    <row r="3748" ht="12.5"/>
    <row r="3749" ht="12.5"/>
    <row r="3750" ht="12.5"/>
    <row r="3751" ht="12.5"/>
    <row r="3752" ht="12.5"/>
    <row r="3753" ht="12.5"/>
    <row r="3754" ht="12.5"/>
    <row r="3755" ht="12.5"/>
    <row r="3756" ht="12.5"/>
    <row r="3757" ht="12.5"/>
    <row r="3758" ht="12.5"/>
    <row r="3759" ht="12.5"/>
    <row r="3760" ht="12.5"/>
    <row r="3761" ht="12.5"/>
    <row r="3762" ht="12.5"/>
    <row r="3763" ht="12.5"/>
    <row r="3764" ht="12.5"/>
    <row r="3765" ht="12.5"/>
    <row r="3766" ht="12.5"/>
    <row r="3767" ht="12.5"/>
    <row r="3768" ht="12.5"/>
    <row r="3769" ht="12.5"/>
    <row r="3770" ht="12.5"/>
    <row r="3771" ht="12.5"/>
    <row r="3772" ht="12.5"/>
    <row r="3773" ht="12.5"/>
    <row r="3774" ht="12.5"/>
    <row r="3775" ht="12.5"/>
    <row r="3776" ht="12.5"/>
    <row r="3777" ht="12.5"/>
    <row r="3778" ht="12.5"/>
    <row r="3779" ht="12.5"/>
    <row r="3780" ht="12.5"/>
    <row r="3781" ht="12.5"/>
    <row r="3782" ht="12.5"/>
    <row r="3783" ht="12.5"/>
    <row r="3784" ht="12.5"/>
    <row r="3785" ht="12.5"/>
    <row r="3786" ht="12.5"/>
    <row r="3787" ht="12.5"/>
    <row r="3788" ht="12.5"/>
    <row r="3789" ht="12.5"/>
    <row r="3790" ht="12.5"/>
    <row r="3791" ht="12.5"/>
    <row r="3792" ht="12.5"/>
    <row r="3793" ht="12.5"/>
    <row r="3794" ht="12.5"/>
    <row r="3795" ht="12.5"/>
    <row r="3796" ht="12.5"/>
    <row r="3797" ht="12.5"/>
    <row r="3798" ht="12.5"/>
    <row r="3799" ht="12.5"/>
    <row r="3800" ht="12.5"/>
    <row r="3801" ht="12.5"/>
    <row r="3802" ht="12.5"/>
    <row r="3803" ht="12.5"/>
    <row r="3804" ht="12.5"/>
    <row r="3805" ht="12.5"/>
    <row r="3806" ht="12.5"/>
    <row r="3807" ht="12.5"/>
    <row r="3808" ht="12.5"/>
    <row r="3809" ht="12.5"/>
    <row r="3810" ht="12.5"/>
    <row r="3811" ht="12.5"/>
    <row r="3812" ht="12.5"/>
    <row r="3813" ht="12.5"/>
    <row r="3814" ht="12.5"/>
    <row r="3815" ht="12.5"/>
    <row r="3816" ht="12.5"/>
    <row r="3817" ht="12.5"/>
    <row r="3818" ht="12.5"/>
    <row r="3819" ht="12.5"/>
    <row r="3820" ht="12.5"/>
    <row r="3821" ht="12.5"/>
    <row r="3822" ht="12.5"/>
    <row r="3823" ht="12.5"/>
    <row r="3824" ht="12.5"/>
    <row r="3825" ht="12.5"/>
    <row r="3826" ht="12.5"/>
    <row r="3827" ht="12.5"/>
    <row r="3828" ht="12.5"/>
    <row r="3829" ht="12.5"/>
    <row r="3830" ht="12.5"/>
    <row r="3831" ht="12.5"/>
    <row r="3832" ht="12.5"/>
    <row r="3833" ht="12.5"/>
    <row r="3834" ht="12.5"/>
    <row r="3835" ht="12.5"/>
    <row r="3836" ht="12.5"/>
    <row r="3837" ht="12.5"/>
    <row r="3838" ht="12.5"/>
    <row r="3839" ht="12.5"/>
    <row r="3840" ht="12.5"/>
    <row r="3841" ht="12.5"/>
    <row r="3842" ht="12.5"/>
    <row r="3843" ht="12.5"/>
    <row r="3844" ht="12.5"/>
    <row r="3845" ht="12.5"/>
    <row r="3846" ht="12.5"/>
    <row r="3847" ht="12.5"/>
    <row r="3848" ht="12.5"/>
    <row r="3849" ht="12.5"/>
    <row r="3850" ht="12.5"/>
    <row r="3851" ht="12.5"/>
    <row r="3852" ht="12.5"/>
    <row r="3853" ht="12.5"/>
    <row r="3854" ht="12.5"/>
    <row r="3855" ht="12.5"/>
    <row r="3856" ht="12.5"/>
    <row r="3857" ht="12.5"/>
    <row r="3858" ht="12.5"/>
    <row r="3859" ht="12.5"/>
    <row r="3860" ht="12.5"/>
    <row r="3861" ht="12.5"/>
    <row r="3862" ht="12.5"/>
    <row r="3863" ht="12.5"/>
    <row r="3864" ht="12.5"/>
    <row r="3865" ht="12.5"/>
    <row r="3866" ht="12.5"/>
    <row r="3867" ht="12.5"/>
    <row r="3868" ht="12.5"/>
    <row r="3869" ht="12.5"/>
    <row r="3870" ht="12.5"/>
    <row r="3871" ht="12.5"/>
    <row r="3872" ht="12.5"/>
    <row r="3873" ht="12.5"/>
    <row r="3874" ht="12.5"/>
    <row r="3875" ht="12.5"/>
    <row r="3876" ht="12.5"/>
    <row r="3877" ht="12.5"/>
    <row r="3878" ht="12.5"/>
    <row r="3879" ht="12.5"/>
    <row r="3880" ht="12.5"/>
    <row r="3881" ht="12.5"/>
    <row r="3882" ht="12.5"/>
    <row r="3883" ht="12.5"/>
    <row r="3884" ht="12.5"/>
    <row r="3885" ht="12.5"/>
    <row r="3886" ht="12.5"/>
    <row r="3887" ht="12.5"/>
    <row r="3888" ht="12.5"/>
    <row r="3889" ht="12.5"/>
    <row r="3890" ht="12.5"/>
    <row r="3891" ht="12.5"/>
    <row r="3892" ht="12.5"/>
    <row r="3893" ht="12.5"/>
    <row r="3894" ht="12.5"/>
    <row r="3895" ht="12.5"/>
    <row r="3896" ht="12.5"/>
    <row r="3897" ht="12.5"/>
    <row r="3898" ht="12.5"/>
    <row r="3899" ht="12.5"/>
    <row r="3900" ht="12.5"/>
    <row r="3901" ht="12.5"/>
    <row r="3902" ht="12.5"/>
    <row r="3903" ht="12.5"/>
    <row r="3904" ht="12.5"/>
    <row r="3905" ht="12.5"/>
    <row r="3906" ht="12.5"/>
    <row r="3907" ht="12.5"/>
    <row r="3908" ht="12.5"/>
    <row r="3909" ht="12.5"/>
    <row r="3910" ht="12.5"/>
    <row r="3911" ht="12.5"/>
    <row r="3912" ht="12.5"/>
    <row r="3913" ht="12.5"/>
    <row r="3914" ht="12.5"/>
    <row r="3915" ht="12.5"/>
    <row r="3916" ht="12.5"/>
    <row r="3917" ht="12.5"/>
    <row r="3918" ht="12.5"/>
    <row r="3919" ht="12.5"/>
    <row r="3920" ht="12.5"/>
    <row r="3921" ht="12.5"/>
    <row r="3922" ht="12.5"/>
    <row r="3923" ht="12.5"/>
    <row r="3924" ht="12.5"/>
    <row r="3925" ht="12.5"/>
    <row r="3926" ht="12.5"/>
    <row r="3927" ht="12.5"/>
    <row r="3928" ht="12.5"/>
    <row r="3929" ht="12.5"/>
    <row r="3930" ht="12.5"/>
    <row r="3931" ht="12.5"/>
    <row r="3932" ht="12.5"/>
    <row r="3933" ht="12.5"/>
    <row r="3934" ht="12.5"/>
    <row r="3935" ht="12.5"/>
    <row r="3936" ht="12.5"/>
    <row r="3937" ht="12.5"/>
    <row r="3938" ht="12.5"/>
    <row r="3939" ht="12.5"/>
    <row r="3940" ht="12.5"/>
    <row r="3941" ht="12.5"/>
    <row r="3942" ht="12.5"/>
    <row r="3943" ht="12.5"/>
    <row r="3944" ht="12.5"/>
    <row r="3945" ht="12.5"/>
    <row r="3946" ht="12.5"/>
    <row r="3947" ht="12.5"/>
    <row r="3948" ht="12.5"/>
    <row r="3949" ht="12.5"/>
    <row r="3950" ht="12.5"/>
    <row r="3951" ht="12.5"/>
    <row r="3952" ht="12.5"/>
    <row r="3953" ht="12.5"/>
    <row r="3954" ht="12.5"/>
    <row r="3955" ht="12.5"/>
    <row r="3956" ht="12.5"/>
    <row r="3957" ht="12.5"/>
    <row r="3958" ht="12.5"/>
    <row r="3959" ht="12.5"/>
    <row r="3960" ht="12.5"/>
    <row r="3961" ht="12.5"/>
    <row r="3962" ht="12.5"/>
    <row r="3963" ht="12.5"/>
    <row r="3964" ht="12.5"/>
    <row r="3965" ht="12.5"/>
    <row r="3966" ht="12.5"/>
    <row r="3967" ht="12.5"/>
    <row r="3968" ht="12.5"/>
    <row r="3969" ht="12.5"/>
    <row r="3970" ht="12.5"/>
    <row r="3971" ht="12.5"/>
    <row r="3972" ht="12.5"/>
    <row r="3973" ht="12.5"/>
    <row r="3974" ht="12.5"/>
    <row r="3975" ht="12.5"/>
    <row r="3976" ht="12.5"/>
    <row r="3977" ht="12.5"/>
    <row r="3978" ht="12.5"/>
    <row r="3979" ht="12.5"/>
    <row r="3980" ht="12.5"/>
    <row r="3981" ht="12.5"/>
    <row r="3982" ht="12.5"/>
    <row r="3983" ht="12.5"/>
    <row r="3984" ht="12.5"/>
    <row r="3985" ht="12.5"/>
    <row r="3986" ht="12.5"/>
    <row r="3987" ht="12.5"/>
    <row r="3988" ht="12.5"/>
    <row r="3989" ht="12.5"/>
    <row r="3990" ht="12.5"/>
    <row r="3991" ht="12.5"/>
    <row r="3992" ht="12.5"/>
    <row r="3993" ht="12.5"/>
    <row r="3994" ht="12.5"/>
    <row r="3995" ht="12.5"/>
    <row r="3996" ht="12.5"/>
    <row r="3997" ht="12.5"/>
    <row r="3998" ht="12.5"/>
    <row r="3999" ht="12.5"/>
    <row r="4000" ht="12.5"/>
    <row r="4001" ht="12.5"/>
    <row r="4002" ht="12.5"/>
    <row r="4003" ht="12.5"/>
    <row r="4004" ht="12.5"/>
    <row r="4005" ht="12.5"/>
    <row r="4006" ht="12.5"/>
    <row r="4007" ht="12.5"/>
    <row r="4008" ht="12.5"/>
    <row r="4009" ht="12.5"/>
    <row r="4010" ht="12.5"/>
    <row r="4011" ht="12.5"/>
    <row r="4012" ht="12.5"/>
    <row r="4013" ht="12.5"/>
    <row r="4014" ht="12.5"/>
    <row r="4015" ht="12.5"/>
    <row r="4016" ht="12.5"/>
    <row r="4017" ht="12.5"/>
    <row r="4018" ht="12.5"/>
    <row r="4019" ht="12.5"/>
    <row r="4020" ht="12.5"/>
    <row r="4021" ht="12.5"/>
    <row r="4022" ht="12.5"/>
    <row r="4023" ht="12.5"/>
    <row r="4024" ht="12.5"/>
    <row r="4025" ht="12.5"/>
    <row r="4026" ht="12.5"/>
    <row r="4027" ht="12.5"/>
    <row r="4028" ht="12.5"/>
    <row r="4029" ht="12.5"/>
    <row r="4030" ht="12.5"/>
    <row r="4031" ht="12.5"/>
    <row r="4032" ht="12.5"/>
    <row r="4033" ht="12.5"/>
    <row r="4034" ht="12.5"/>
    <row r="4035" ht="12.5"/>
    <row r="4036" ht="12.5"/>
    <row r="4037" ht="12.5"/>
    <row r="4038" ht="12.5"/>
    <row r="4039" ht="12.5"/>
    <row r="4040" ht="12.5"/>
    <row r="4041" ht="12.5"/>
    <row r="4042" ht="12.5"/>
    <row r="4043" ht="12.5"/>
    <row r="4044" ht="12.5"/>
    <row r="4045" ht="12.5"/>
    <row r="4046" ht="12.5"/>
    <row r="4047" ht="12.5"/>
    <row r="4048" ht="12.5"/>
    <row r="4049" ht="12.5"/>
    <row r="4050" ht="12.5"/>
    <row r="4051" ht="12.5"/>
    <row r="4052" ht="12.5"/>
    <row r="4053" ht="12.5"/>
    <row r="4054" ht="12.5"/>
    <row r="4055" ht="12.5"/>
    <row r="4056" ht="12.5"/>
    <row r="4057" ht="12.5"/>
    <row r="4058" ht="12.5"/>
    <row r="4059" ht="12.5"/>
    <row r="4060" ht="12.5"/>
    <row r="4061" ht="12.5"/>
    <row r="4062" ht="12.5"/>
    <row r="4063" ht="12.5"/>
    <row r="4064" ht="12.5"/>
    <row r="4065" ht="12.5"/>
    <row r="4066" ht="12.5"/>
    <row r="4067" ht="12.5"/>
    <row r="4068" ht="12.5"/>
    <row r="4069" ht="12.5"/>
    <row r="4070" ht="12.5"/>
    <row r="4071" ht="12.5"/>
    <row r="4072" ht="12.5"/>
    <row r="4073" ht="12.5"/>
    <row r="4074" ht="12.5"/>
    <row r="4075" ht="12.5"/>
    <row r="4076" ht="12.5"/>
    <row r="4077" ht="12.5"/>
    <row r="4078" ht="12.5"/>
    <row r="4079" ht="12.5"/>
    <row r="4080" ht="12.5"/>
    <row r="4081" ht="12.5"/>
    <row r="4082" ht="12.5"/>
    <row r="4083" ht="12.5"/>
    <row r="4084" ht="12.5"/>
    <row r="4085" ht="12.5"/>
    <row r="4086" ht="12.5"/>
    <row r="4087" ht="12.5"/>
    <row r="4088" ht="12.5"/>
    <row r="4089" ht="12.5"/>
    <row r="4090" ht="12.5"/>
    <row r="4091" ht="12.5"/>
    <row r="4092" ht="12.5"/>
    <row r="4093" ht="12.5"/>
    <row r="4094" ht="12.5"/>
    <row r="4095" ht="12.5"/>
    <row r="4096" ht="12.5"/>
    <row r="4097" ht="12.5"/>
    <row r="4098" ht="12.5"/>
    <row r="4099" ht="12.5"/>
    <row r="4100" ht="12.5"/>
    <row r="4101" ht="12.5"/>
    <row r="4102" ht="12.5"/>
    <row r="4103" ht="12.5"/>
    <row r="4104" ht="12.5"/>
    <row r="4105" ht="12.5"/>
    <row r="4106" ht="12.5"/>
    <row r="4107" ht="12.5"/>
    <row r="4108" ht="12.5"/>
    <row r="4109" ht="12.5"/>
    <row r="4110" ht="12.5"/>
    <row r="4111" ht="12.5"/>
    <row r="4112" ht="12.5"/>
    <row r="4113" ht="12.5"/>
    <row r="4114" ht="12.5"/>
    <row r="4115" ht="12.5"/>
    <row r="4116" ht="12.5"/>
    <row r="4117" ht="12.5"/>
    <row r="4118" ht="12.5"/>
    <row r="4119" ht="12.5"/>
    <row r="4120" ht="12.5"/>
    <row r="4121" ht="12.5"/>
    <row r="4122" ht="12.5"/>
    <row r="4123" ht="12.5"/>
    <row r="4124" ht="12.5"/>
    <row r="4125" ht="12.5"/>
    <row r="4126" ht="12.5"/>
    <row r="4127" ht="12.5"/>
    <row r="4128" ht="12.5"/>
    <row r="4129" ht="12.5"/>
    <row r="4130" ht="12.5"/>
    <row r="4131" ht="12.5"/>
    <row r="4132" ht="12.5"/>
    <row r="4133" ht="12.5"/>
    <row r="4134" ht="12.5"/>
    <row r="4135" ht="12.5"/>
    <row r="4136" ht="12.5"/>
    <row r="4137" ht="12.5"/>
    <row r="4138" ht="12.5"/>
    <row r="4139" ht="12.5"/>
    <row r="4140" ht="12.5"/>
    <row r="4141" ht="12.5"/>
    <row r="4142" ht="12.5"/>
    <row r="4143" ht="12.5"/>
    <row r="4144" ht="12.5"/>
    <row r="4145" ht="12.5"/>
    <row r="4146" ht="12.5"/>
    <row r="4147" ht="12.5"/>
    <row r="4148" ht="12.5"/>
    <row r="4149" ht="12.5"/>
    <row r="4150" ht="12.5"/>
    <row r="4151" ht="12.5"/>
    <row r="4152" ht="12.5"/>
    <row r="4153" ht="12.5"/>
    <row r="4154" ht="12.5"/>
    <row r="4155" ht="12.5"/>
    <row r="4156" ht="12.5"/>
    <row r="4157" ht="12.5"/>
    <row r="4158" ht="12.5"/>
    <row r="4159" ht="12.5"/>
    <row r="4160" ht="12.5"/>
    <row r="4161" ht="12.5"/>
    <row r="4162" ht="12.5"/>
    <row r="4163" ht="12.5"/>
    <row r="4164" ht="12.5"/>
    <row r="4165" ht="12.5"/>
    <row r="4166" ht="12.5"/>
    <row r="4167" ht="12.5"/>
    <row r="4168" ht="12.5"/>
    <row r="4169" ht="12.5"/>
    <row r="4170" ht="12.5"/>
    <row r="4171" ht="12.5"/>
    <row r="4172" ht="12.5"/>
    <row r="4173" ht="12.5"/>
    <row r="4174" ht="12.5"/>
    <row r="4175" ht="12.5"/>
    <row r="4176" ht="12.5"/>
    <row r="4177" ht="12.5"/>
    <row r="4178" ht="12.5"/>
    <row r="4179" ht="12.5"/>
    <row r="4180" ht="12.5"/>
    <row r="4181" ht="12.5"/>
    <row r="4182" ht="12.5"/>
    <row r="4183" ht="12.5"/>
    <row r="4184" ht="12.5"/>
    <row r="4185" ht="12.5"/>
    <row r="4186" ht="12.5"/>
    <row r="4187" ht="12.5"/>
    <row r="4188" ht="12.5"/>
    <row r="4189" ht="12.5"/>
    <row r="4190" ht="12.5"/>
    <row r="4191" ht="12.5"/>
    <row r="4192" ht="12.5"/>
    <row r="4193" ht="12.5"/>
    <row r="4194" ht="12.5"/>
    <row r="4195" ht="12.5"/>
    <row r="4196" ht="12.5"/>
    <row r="4197" ht="12.5"/>
    <row r="4198" ht="12.5"/>
    <row r="4199" ht="12.5"/>
    <row r="4200" ht="12.5"/>
    <row r="4201" ht="12.5"/>
    <row r="4202" ht="12.5"/>
    <row r="4203" ht="12.5"/>
    <row r="4204" ht="12.5"/>
    <row r="4205" ht="12.5"/>
    <row r="4206" ht="12.5"/>
    <row r="4207" ht="12.5"/>
    <row r="4208" ht="12.5"/>
    <row r="4209" ht="12.5"/>
    <row r="4210" ht="12.5"/>
    <row r="4211" ht="12.5"/>
    <row r="4212" ht="12.5"/>
    <row r="4213" ht="12.5"/>
    <row r="4214" ht="12.5"/>
    <row r="4215" ht="12.5"/>
    <row r="4216" ht="12.5"/>
    <row r="4217" ht="12.5"/>
    <row r="4218" ht="12.5"/>
    <row r="4219" ht="12.5"/>
    <row r="4220" ht="12.5"/>
    <row r="4221" ht="12.5"/>
    <row r="4222" ht="12.5"/>
    <row r="4223" ht="12.5"/>
    <row r="4228" ht="12.5"/>
    <row r="4229" ht="12.5"/>
    <row r="4230" ht="12.5"/>
    <row r="4231" ht="12.5"/>
    <row r="4232" ht="12.5"/>
    <row r="4233" ht="12.5"/>
    <row r="4234" ht="12.5"/>
    <row r="4235" ht="12.5"/>
    <row r="4236" ht="12.5"/>
    <row r="4237" ht="12.5"/>
    <row r="4238" ht="12.5"/>
    <row r="4239" ht="12.5"/>
    <row r="4240" ht="12.5"/>
    <row r="4241" ht="12.5"/>
    <row r="4242" ht="12.5"/>
    <row r="4243" ht="12.5"/>
    <row r="4244" ht="12.5"/>
    <row r="4245" ht="12.5"/>
    <row r="4246" ht="12.5"/>
    <row r="4247" ht="12.5"/>
    <row r="4248" ht="12.5"/>
    <row r="4249" ht="12.5"/>
    <row r="4250" ht="12.5"/>
    <row r="4251" ht="12.5"/>
    <row r="4252" ht="12.5"/>
    <row r="4253" ht="12.5"/>
    <row r="4254" ht="12.5"/>
    <row r="4255" ht="12.5"/>
    <row r="4256" ht="12.5"/>
    <row r="4257" ht="12.5"/>
    <row r="4258" ht="12.5"/>
    <row r="4259" ht="12.5"/>
    <row r="4260" ht="12.5"/>
    <row r="4261" ht="12.5"/>
    <row r="4262" ht="12.5"/>
    <row r="4263" ht="12.5"/>
    <row r="4264" ht="12.5"/>
    <row r="4265" ht="12.5"/>
    <row r="4266" ht="12.5"/>
    <row r="4267" ht="12.5"/>
    <row r="4268" ht="12.5"/>
    <row r="4269" ht="12.5"/>
    <row r="4270" ht="12.5"/>
    <row r="4271" ht="12.5"/>
    <row r="4272" ht="12.5"/>
    <row r="4273" ht="12.5"/>
    <row r="4274" ht="12.5"/>
    <row r="4275" ht="12.5"/>
    <row r="4276" ht="12.5"/>
    <row r="4277" ht="12.5"/>
    <row r="4278" ht="12.5"/>
    <row r="4279" ht="12.5"/>
    <row r="4280" ht="12.5"/>
    <row r="4281" ht="12.5"/>
    <row r="4282" ht="12.5"/>
    <row r="4283" ht="12.5"/>
    <row r="4284" ht="12.5"/>
    <row r="4285" ht="12.5"/>
    <row r="4286" ht="12.5"/>
    <row r="4287" ht="12.5"/>
    <row r="4288" ht="12.5"/>
    <row r="4289" ht="12.5"/>
    <row r="4290" ht="12.5"/>
    <row r="4291" ht="12.5"/>
    <row r="4292" ht="12.5"/>
    <row r="4293" ht="12.5"/>
    <row r="4294" ht="12.5"/>
    <row r="4295" ht="12.5"/>
    <row r="4296" ht="12.5"/>
    <row r="4297" ht="12.5"/>
    <row r="4298" ht="12.5"/>
    <row r="4299" ht="12.5"/>
    <row r="4300" ht="12.5"/>
    <row r="4301" ht="12.5"/>
    <row r="4302" ht="12.5"/>
    <row r="4303" ht="12.5"/>
    <row r="4304" ht="12.5"/>
    <row r="4305" ht="12.5"/>
    <row r="4306" ht="12.5"/>
    <row r="4307" ht="12.5"/>
    <row r="4308" ht="12.5"/>
    <row r="4309" ht="12.5"/>
    <row r="4310" ht="12.5"/>
    <row r="4311" ht="12.5"/>
    <row r="4312" ht="12.5"/>
    <row r="4313" ht="12.5"/>
    <row r="4314" ht="12.5"/>
    <row r="4315" ht="12.5"/>
    <row r="4316" ht="12.5"/>
    <row r="4317" ht="12.5"/>
    <row r="4318" ht="12.5"/>
    <row r="4319" ht="12.5"/>
  </sheetData>
  <mergeCells count="1">
    <mergeCell ref="AC15:AD15"/>
  </mergeCells>
  <conditionalFormatting sqref="F17:F86">
    <cfRule type="cellIs" dxfId="6" priority="6" operator="notEqual">
      <formula>1</formula>
    </cfRule>
  </conditionalFormatting>
  <conditionalFormatting sqref="F87:F168">
    <cfRule type="cellIs" dxfId="5" priority="5" operator="notEqual">
      <formula>$C$14</formula>
    </cfRule>
  </conditionalFormatting>
  <conditionalFormatting sqref="J422:J821">
    <cfRule type="containsText" dxfId="4" priority="4" operator="containsText" text="x">
      <formula>NOT(ISERROR(SEARCH("x",J422)))</formula>
    </cfRule>
  </conditionalFormatting>
  <conditionalFormatting sqref="J827:J1226">
    <cfRule type="containsText" dxfId="3" priority="2" operator="containsText" text="x">
      <formula>NOT(ISERROR(SEARCH("x",J827)))</formula>
    </cfRule>
  </conditionalFormatting>
  <conditionalFormatting sqref="J1232:J1631">
    <cfRule type="containsText" dxfId="2" priority="1" operator="containsText" text="x">
      <formula>NOT(ISERROR(SEARCH("x",J1232)))</formula>
    </cfRule>
  </conditionalFormatting>
  <conditionalFormatting sqref="K17:AA416 K422:AC821 K827:AC1226 K1232:AC1631">
    <cfRule type="expression" dxfId="1" priority="3">
      <formula>ISNUMBER(SEARCH("x",$J17))=TRUE</formula>
    </cfRule>
  </conditionalFormatting>
  <dataValidations count="3">
    <dataValidation type="list" allowBlank="1" showInputMessage="1" showErrorMessage="1" sqref="D17:D168" xr:uid="{2993D959-2E73-4222-B330-24C200FD640F}">
      <formula1>"Lumpsum,Per Day,None"</formula1>
    </dataValidation>
    <dataValidation type="list" allowBlank="1" showInputMessage="1" showErrorMessage="1" sqref="B17:B163 B167:B168" xr:uid="{9948D35A-E4FD-4D52-AFEF-C4A82D678262}">
      <formula1>___ServicesMasterList</formula1>
    </dataValidation>
    <dataValidation type="list" allowBlank="1" showInputMessage="1" showErrorMessage="1" sqref="J827:J1226 J1232:J1631 J422:J821" xr:uid="{DE681F03-D697-46CB-B826-14D95BDFA830}">
      <formula1>"x"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EEED-6D60-4FB1-BB90-6B56A07FEFAC}">
  <dimension ref="A1:P155"/>
  <sheetViews>
    <sheetView workbookViewId="0">
      <selection sqref="A1:XFD1048576"/>
    </sheetView>
  </sheetViews>
  <sheetFormatPr defaultRowHeight="14.5"/>
  <cols>
    <col min="1" max="1" width="18.26953125" style="216" customWidth="1"/>
    <col min="2" max="2" width="57.453125" customWidth="1"/>
    <col min="3" max="3" width="64" customWidth="1"/>
    <col min="4" max="4" width="25.453125" style="216" customWidth="1"/>
    <col min="5" max="5" width="13.54296875" style="216" customWidth="1"/>
    <col min="6" max="6" width="17.26953125" style="221" customWidth="1"/>
    <col min="7" max="7" width="15" style="218" customWidth="1"/>
    <col min="8" max="13" width="13.1796875" style="218" customWidth="1"/>
    <col min="14" max="14" width="27" customWidth="1"/>
  </cols>
  <sheetData>
    <row r="1" spans="1:16" ht="66.650000000000006" customHeight="1">
      <c r="A1" s="179" t="s">
        <v>527</v>
      </c>
      <c r="B1" s="180" t="s">
        <v>528</v>
      </c>
      <c r="C1" s="180" t="s">
        <v>529</v>
      </c>
      <c r="D1" s="181" t="s">
        <v>530</v>
      </c>
      <c r="E1" s="182" t="s">
        <v>531</v>
      </c>
      <c r="F1" s="183" t="s">
        <v>532</v>
      </c>
      <c r="G1" s="184" t="s">
        <v>533</v>
      </c>
      <c r="H1" s="184" t="s">
        <v>534</v>
      </c>
      <c r="I1" s="184" t="s">
        <v>535</v>
      </c>
      <c r="J1" s="184" t="s">
        <v>536</v>
      </c>
      <c r="K1" s="184" t="s">
        <v>537</v>
      </c>
      <c r="L1" s="184" t="s">
        <v>538</v>
      </c>
      <c r="M1" s="184" t="s">
        <v>539</v>
      </c>
      <c r="N1" s="185" t="s">
        <v>540</v>
      </c>
    </row>
    <row r="2" spans="1:16">
      <c r="A2" s="186" t="s">
        <v>541</v>
      </c>
      <c r="B2" s="187" t="s">
        <v>542</v>
      </c>
      <c r="C2" s="187" t="s">
        <v>277</v>
      </c>
      <c r="D2" s="188" t="s">
        <v>543</v>
      </c>
      <c r="E2" s="188" t="s">
        <v>544</v>
      </c>
      <c r="F2" s="189">
        <f>IFERROR('[1]Well Times Per Section'!E2/'[1]Well Times Per Section'!F2,0)</f>
        <v>24.327449566768507</v>
      </c>
      <c r="G2" s="190">
        <v>1</v>
      </c>
      <c r="H2" s="190">
        <v>9</v>
      </c>
      <c r="I2" s="190">
        <v>9</v>
      </c>
      <c r="J2" s="190">
        <v>9</v>
      </c>
      <c r="K2" s="190">
        <v>9</v>
      </c>
      <c r="L2" s="190">
        <v>9</v>
      </c>
      <c r="M2" s="190">
        <v>9</v>
      </c>
      <c r="N2" s="191" t="s">
        <v>545</v>
      </c>
    </row>
    <row r="3" spans="1:16">
      <c r="A3" s="186" t="s">
        <v>546</v>
      </c>
      <c r="B3" s="187" t="s">
        <v>547</v>
      </c>
      <c r="C3" s="187" t="s">
        <v>279</v>
      </c>
      <c r="D3" s="192" t="s">
        <v>548</v>
      </c>
      <c r="E3" s="188" t="s">
        <v>549</v>
      </c>
      <c r="F3" s="189">
        <f>IFERROR('[1]Well Times Per Section'!E3/'[1]Well Times Per Section'!F3,0)</f>
        <v>0</v>
      </c>
      <c r="G3" s="190">
        <v>55</v>
      </c>
      <c r="H3" s="190">
        <v>9</v>
      </c>
      <c r="I3" s="190">
        <v>9</v>
      </c>
      <c r="J3" s="190">
        <v>9</v>
      </c>
      <c r="K3" s="190">
        <v>9</v>
      </c>
      <c r="L3" s="190">
        <v>9</v>
      </c>
      <c r="M3" s="190">
        <v>9</v>
      </c>
      <c r="N3" s="191" t="s">
        <v>545</v>
      </c>
    </row>
    <row r="4" spans="1:16">
      <c r="A4" s="186" t="s">
        <v>550</v>
      </c>
      <c r="B4" s="187" t="s">
        <v>551</v>
      </c>
      <c r="C4" s="187" t="s">
        <v>280</v>
      </c>
      <c r="D4" s="192"/>
      <c r="E4" s="188" t="s">
        <v>549</v>
      </c>
      <c r="F4" s="189">
        <f>IFERROR('[1]Well Times Per Section'!E4/'[1]Well Times Per Section'!F4,0)</f>
        <v>6.2483566890144072E-3</v>
      </c>
      <c r="G4" s="190">
        <v>675</v>
      </c>
      <c r="H4" s="190">
        <v>9</v>
      </c>
      <c r="I4" s="190">
        <v>9</v>
      </c>
      <c r="J4" s="190">
        <v>9</v>
      </c>
      <c r="K4" s="190">
        <v>9</v>
      </c>
      <c r="L4" s="190">
        <v>9</v>
      </c>
      <c r="M4" s="190">
        <v>9</v>
      </c>
      <c r="N4" s="191" t="s">
        <v>545</v>
      </c>
    </row>
    <row r="5" spans="1:16">
      <c r="A5" s="186" t="s">
        <v>552</v>
      </c>
      <c r="B5" s="187" t="s">
        <v>553</v>
      </c>
      <c r="C5" s="187" t="s">
        <v>281</v>
      </c>
      <c r="D5" s="192"/>
      <c r="E5" s="188" t="s">
        <v>549</v>
      </c>
      <c r="F5" s="189">
        <f>IFERROR('[1]Well Times Per Section'!E5/'[1]Well Times Per Section'!F5,0)</f>
        <v>9.5929223721516552E-3</v>
      </c>
      <c r="G5" s="190">
        <v>1210</v>
      </c>
      <c r="H5" s="190">
        <v>9</v>
      </c>
      <c r="I5" s="190">
        <v>9</v>
      </c>
      <c r="J5" s="190">
        <v>9</v>
      </c>
      <c r="K5" s="190">
        <v>9</v>
      </c>
      <c r="L5" s="190">
        <v>9</v>
      </c>
      <c r="M5" s="190">
        <v>9</v>
      </c>
      <c r="N5" s="191" t="s">
        <v>545</v>
      </c>
    </row>
    <row r="6" spans="1:16">
      <c r="A6" s="186" t="s">
        <v>554</v>
      </c>
      <c r="B6" s="187" t="s">
        <v>555</v>
      </c>
      <c r="C6" s="187" t="s">
        <v>282</v>
      </c>
      <c r="D6" s="192"/>
      <c r="E6" s="188" t="s">
        <v>549</v>
      </c>
      <c r="F6" s="189">
        <f>IFERROR('[1]Well Times Per Section'!E6/'[1]Well Times Per Section'!F6,0)</f>
        <v>1.4948838391444964E-2</v>
      </c>
      <c r="G6" s="190">
        <v>540</v>
      </c>
      <c r="H6" s="190">
        <v>9</v>
      </c>
      <c r="I6" s="190">
        <v>9</v>
      </c>
      <c r="J6" s="190">
        <v>9</v>
      </c>
      <c r="K6" s="190">
        <v>9</v>
      </c>
      <c r="L6" s="190">
        <v>9</v>
      </c>
      <c r="M6" s="190">
        <v>9</v>
      </c>
      <c r="N6" s="191" t="s">
        <v>545</v>
      </c>
    </row>
    <row r="7" spans="1:16">
      <c r="A7" s="193" t="s">
        <v>556</v>
      </c>
      <c r="B7" s="194" t="s">
        <v>557</v>
      </c>
      <c r="C7" s="194" t="s">
        <v>283</v>
      </c>
      <c r="D7" s="192"/>
      <c r="E7" s="188" t="s">
        <v>549</v>
      </c>
      <c r="F7" s="189">
        <f>IFERROR('[1]Well Times Per Section'!E7/'[1]Well Times Per Section'!F7,0)</f>
        <v>0</v>
      </c>
      <c r="G7" s="190">
        <v>0</v>
      </c>
      <c r="H7" s="190">
        <v>9</v>
      </c>
      <c r="I7" s="190">
        <v>9</v>
      </c>
      <c r="J7" s="190">
        <v>9</v>
      </c>
      <c r="K7" s="190">
        <v>9</v>
      </c>
      <c r="L7" s="190">
        <v>9</v>
      </c>
      <c r="M7" s="190">
        <v>9</v>
      </c>
      <c r="N7" s="191" t="s">
        <v>545</v>
      </c>
    </row>
    <row r="8" spans="1:16">
      <c r="A8" s="186" t="s">
        <v>558</v>
      </c>
      <c r="B8" s="187" t="s">
        <v>559</v>
      </c>
      <c r="C8" s="187" t="s">
        <v>284</v>
      </c>
      <c r="D8" s="188" t="s">
        <v>543</v>
      </c>
      <c r="E8" s="188" t="s">
        <v>560</v>
      </c>
      <c r="F8" s="189">
        <f>IFERROR('[1]Well Times Per Section'!E8/'[1]Well Times Per Section'!F8,0)</f>
        <v>0.43</v>
      </c>
      <c r="G8" s="190">
        <v>1</v>
      </c>
      <c r="H8" s="190">
        <v>9</v>
      </c>
      <c r="I8" s="190">
        <v>9</v>
      </c>
      <c r="J8" s="190">
        <v>9</v>
      </c>
      <c r="K8" s="190">
        <v>9</v>
      </c>
      <c r="L8" s="190">
        <v>9</v>
      </c>
      <c r="M8" s="190">
        <v>9</v>
      </c>
      <c r="N8" s="191" t="s">
        <v>545</v>
      </c>
    </row>
    <row r="9" spans="1:16">
      <c r="A9" s="186" t="s">
        <v>561</v>
      </c>
      <c r="B9" s="187" t="s">
        <v>562</v>
      </c>
      <c r="C9" s="187" t="s">
        <v>285</v>
      </c>
      <c r="D9" s="188" t="s">
        <v>543</v>
      </c>
      <c r="E9" s="188" t="s">
        <v>560</v>
      </c>
      <c r="F9" s="189">
        <f>IFERROR('[1]Well Times Per Section'!E9/'[1]Well Times Per Section'!F9,0)</f>
        <v>3.1479999999999997</v>
      </c>
      <c r="G9" s="190">
        <v>0</v>
      </c>
      <c r="H9" s="190">
        <v>9</v>
      </c>
      <c r="I9" s="190">
        <v>9</v>
      </c>
      <c r="J9" s="190">
        <v>9</v>
      </c>
      <c r="K9" s="190">
        <v>9</v>
      </c>
      <c r="L9" s="190">
        <v>9</v>
      </c>
      <c r="M9" s="190">
        <v>9</v>
      </c>
      <c r="N9" s="191" t="s">
        <v>545</v>
      </c>
    </row>
    <row r="10" spans="1:16">
      <c r="A10" s="186" t="s">
        <v>563</v>
      </c>
      <c r="B10" s="187" t="s">
        <v>564</v>
      </c>
      <c r="C10" s="187" t="s">
        <v>286</v>
      </c>
      <c r="D10" s="188" t="s">
        <v>543</v>
      </c>
      <c r="E10" s="188" t="s">
        <v>544</v>
      </c>
      <c r="F10" s="189">
        <f>IFERROR('[1]Well Times Per Section'!E10/'[1]Well Times Per Section'!F10,0)</f>
        <v>0</v>
      </c>
      <c r="G10" s="190">
        <v>1</v>
      </c>
      <c r="H10" s="190">
        <v>9</v>
      </c>
      <c r="I10" s="190">
        <v>9</v>
      </c>
      <c r="J10" s="190">
        <v>9</v>
      </c>
      <c r="K10" s="190">
        <v>9</v>
      </c>
      <c r="L10" s="190">
        <v>9</v>
      </c>
      <c r="M10" s="190">
        <v>9</v>
      </c>
      <c r="N10" s="191" t="s">
        <v>545</v>
      </c>
    </row>
    <row r="11" spans="1:16">
      <c r="A11" s="195" t="s">
        <v>565</v>
      </c>
      <c r="B11" s="196" t="s">
        <v>542</v>
      </c>
      <c r="C11" s="196" t="s">
        <v>287</v>
      </c>
      <c r="D11" s="197" t="s">
        <v>543</v>
      </c>
      <c r="E11" s="197" t="s">
        <v>544</v>
      </c>
      <c r="F11" s="189">
        <f>IFERROR('[1]Well Times Per Section'!E11/'[1]Well Times Per Section'!F11,0)</f>
        <v>26.84695048549122</v>
      </c>
      <c r="G11" s="190">
        <v>1</v>
      </c>
      <c r="H11" s="190">
        <v>13</v>
      </c>
      <c r="I11" s="190">
        <v>13</v>
      </c>
      <c r="J11" s="190">
        <v>13</v>
      </c>
      <c r="K11" s="190">
        <v>13</v>
      </c>
      <c r="L11" s="190">
        <v>13</v>
      </c>
      <c r="M11" s="190">
        <v>13</v>
      </c>
      <c r="N11" s="191" t="s">
        <v>566</v>
      </c>
      <c r="P11" s="198">
        <f>H11*F11</f>
        <v>349.01035631138586</v>
      </c>
    </row>
    <row r="12" spans="1:16">
      <c r="A12" s="195" t="s">
        <v>567</v>
      </c>
      <c r="B12" s="196" t="s">
        <v>547</v>
      </c>
      <c r="C12" s="196" t="s">
        <v>288</v>
      </c>
      <c r="D12" s="199" t="s">
        <v>548</v>
      </c>
      <c r="E12" s="197" t="s">
        <v>549</v>
      </c>
      <c r="F12" s="189">
        <f>IFERROR('[1]Well Times Per Section'!E12/'[1]Well Times Per Section'!F12,0)</f>
        <v>0</v>
      </c>
      <c r="G12" s="190">
        <v>55</v>
      </c>
      <c r="H12" s="190">
        <v>13</v>
      </c>
      <c r="I12" s="190">
        <v>13</v>
      </c>
      <c r="J12" s="190">
        <v>13</v>
      </c>
      <c r="K12" s="190">
        <v>13</v>
      </c>
      <c r="L12" s="190">
        <v>13</v>
      </c>
      <c r="M12" s="190">
        <v>13</v>
      </c>
      <c r="N12" s="191" t="s">
        <v>566</v>
      </c>
    </row>
    <row r="13" spans="1:16">
      <c r="A13" s="195" t="s">
        <v>568</v>
      </c>
      <c r="B13" s="196" t="s">
        <v>551</v>
      </c>
      <c r="C13" s="196" t="s">
        <v>289</v>
      </c>
      <c r="D13" s="199"/>
      <c r="E13" s="197" t="s">
        <v>549</v>
      </c>
      <c r="F13" s="189">
        <f>IFERROR('[1]Well Times Per Section'!E13/'[1]Well Times Per Section'!F13,0)</f>
        <v>6.2483566890144072E-3</v>
      </c>
      <c r="G13" s="190">
        <v>675</v>
      </c>
      <c r="H13" s="190">
        <v>13</v>
      </c>
      <c r="I13" s="190">
        <v>13</v>
      </c>
      <c r="J13" s="190">
        <v>13</v>
      </c>
      <c r="K13" s="190">
        <v>13</v>
      </c>
      <c r="L13" s="190">
        <v>13</v>
      </c>
      <c r="M13" s="190">
        <v>13</v>
      </c>
      <c r="N13" s="191" t="s">
        <v>566</v>
      </c>
    </row>
    <row r="14" spans="1:16">
      <c r="A14" s="195" t="s">
        <v>569</v>
      </c>
      <c r="B14" s="196" t="s">
        <v>553</v>
      </c>
      <c r="C14" s="196" t="s">
        <v>290</v>
      </c>
      <c r="D14" s="199"/>
      <c r="E14" s="197" t="s">
        <v>549</v>
      </c>
      <c r="F14" s="189">
        <f>IFERROR('[1]Well Times Per Section'!E14/'[1]Well Times Per Section'!F14,0)</f>
        <v>1.008338889557926E-2</v>
      </c>
      <c r="G14" s="190">
        <v>1320</v>
      </c>
      <c r="H14" s="190">
        <v>13</v>
      </c>
      <c r="I14" s="190">
        <v>13</v>
      </c>
      <c r="J14" s="190">
        <v>13</v>
      </c>
      <c r="K14" s="190">
        <v>13</v>
      </c>
      <c r="L14" s="190">
        <v>13</v>
      </c>
      <c r="M14" s="190">
        <v>13</v>
      </c>
      <c r="N14" s="191" t="s">
        <v>566</v>
      </c>
    </row>
    <row r="15" spans="1:16">
      <c r="A15" s="195" t="s">
        <v>570</v>
      </c>
      <c r="B15" s="196" t="s">
        <v>555</v>
      </c>
      <c r="C15" s="196" t="s">
        <v>291</v>
      </c>
      <c r="D15" s="199"/>
      <c r="E15" s="197" t="s">
        <v>549</v>
      </c>
      <c r="F15" s="189">
        <f>IFERROR('[1]Well Times Per Section'!E15/'[1]Well Times Per Section'!F15,0)</f>
        <v>1.3675748274218264E-2</v>
      </c>
      <c r="G15" s="190">
        <v>650</v>
      </c>
      <c r="H15" s="190">
        <v>13</v>
      </c>
      <c r="I15" s="190">
        <v>13</v>
      </c>
      <c r="J15" s="190">
        <v>13</v>
      </c>
      <c r="K15" s="190">
        <v>13</v>
      </c>
      <c r="L15" s="190">
        <v>13</v>
      </c>
      <c r="M15" s="190">
        <v>13</v>
      </c>
      <c r="N15" s="191" t="s">
        <v>566</v>
      </c>
    </row>
    <row r="16" spans="1:16">
      <c r="A16" s="200" t="s">
        <v>571</v>
      </c>
      <c r="B16" s="201" t="s">
        <v>557</v>
      </c>
      <c r="C16" s="201" t="s">
        <v>292</v>
      </c>
      <c r="D16" s="199"/>
      <c r="E16" s="197" t="s">
        <v>549</v>
      </c>
      <c r="F16" s="189">
        <f>IFERROR('[1]Well Times Per Section'!E16/'[1]Well Times Per Section'!F16,0)</f>
        <v>0</v>
      </c>
      <c r="G16" s="190">
        <v>0</v>
      </c>
      <c r="H16" s="190">
        <v>13</v>
      </c>
      <c r="I16" s="190">
        <v>13</v>
      </c>
      <c r="J16" s="190">
        <v>13</v>
      </c>
      <c r="K16" s="190">
        <v>13</v>
      </c>
      <c r="L16" s="190">
        <v>13</v>
      </c>
      <c r="M16" s="190">
        <v>13</v>
      </c>
      <c r="N16" s="191" t="s">
        <v>566</v>
      </c>
    </row>
    <row r="17" spans="1:16">
      <c r="A17" s="195" t="s">
        <v>572</v>
      </c>
      <c r="B17" s="196" t="s">
        <v>559</v>
      </c>
      <c r="C17" s="196" t="s">
        <v>293</v>
      </c>
      <c r="D17" s="197" t="s">
        <v>543</v>
      </c>
      <c r="E17" s="197" t="s">
        <v>560</v>
      </c>
      <c r="F17" s="189">
        <f>IFERROR('[1]Well Times Per Section'!E17/'[1]Well Times Per Section'!F17,0)</f>
        <v>0.43</v>
      </c>
      <c r="G17" s="190">
        <v>1</v>
      </c>
      <c r="H17" s="190">
        <v>13</v>
      </c>
      <c r="I17" s="190">
        <v>13</v>
      </c>
      <c r="J17" s="190">
        <v>13</v>
      </c>
      <c r="K17" s="190">
        <v>13</v>
      </c>
      <c r="L17" s="190">
        <v>13</v>
      </c>
      <c r="M17" s="190">
        <v>13</v>
      </c>
      <c r="N17" s="191" t="s">
        <v>566</v>
      </c>
    </row>
    <row r="18" spans="1:16">
      <c r="A18" s="195" t="s">
        <v>573</v>
      </c>
      <c r="B18" s="196" t="s">
        <v>562</v>
      </c>
      <c r="C18" s="196" t="s">
        <v>294</v>
      </c>
      <c r="D18" s="197" t="s">
        <v>543</v>
      </c>
      <c r="E18" s="197" t="s">
        <v>560</v>
      </c>
      <c r="F18" s="189">
        <f>IFERROR('[1]Well Times Per Section'!E18/'[1]Well Times Per Section'!F18,0)</f>
        <v>3.2439999999999998</v>
      </c>
      <c r="G18" s="190">
        <v>0</v>
      </c>
      <c r="H18" s="190">
        <v>13</v>
      </c>
      <c r="I18" s="190">
        <v>13</v>
      </c>
      <c r="J18" s="190">
        <v>13</v>
      </c>
      <c r="K18" s="190">
        <v>13</v>
      </c>
      <c r="L18" s="190">
        <v>13</v>
      </c>
      <c r="M18" s="190">
        <v>13</v>
      </c>
      <c r="N18" s="191" t="s">
        <v>566</v>
      </c>
    </row>
    <row r="19" spans="1:16">
      <c r="A19" s="195" t="s">
        <v>574</v>
      </c>
      <c r="B19" s="196" t="s">
        <v>564</v>
      </c>
      <c r="C19" s="196" t="s">
        <v>295</v>
      </c>
      <c r="D19" s="197" t="s">
        <v>543</v>
      </c>
      <c r="E19" s="197" t="s">
        <v>544</v>
      </c>
      <c r="F19" s="189">
        <f>IFERROR('[1]Well Times Per Section'!E19/'[1]Well Times Per Section'!F19,0)</f>
        <v>0</v>
      </c>
      <c r="G19" s="190">
        <v>1</v>
      </c>
      <c r="H19" s="190">
        <v>13</v>
      </c>
      <c r="I19" s="190">
        <v>13</v>
      </c>
      <c r="J19" s="190">
        <v>13</v>
      </c>
      <c r="K19" s="190">
        <v>13</v>
      </c>
      <c r="L19" s="190">
        <v>13</v>
      </c>
      <c r="M19" s="190">
        <v>13</v>
      </c>
      <c r="N19" s="191" t="s">
        <v>566</v>
      </c>
    </row>
    <row r="20" spans="1:16">
      <c r="A20" s="202" t="s">
        <v>575</v>
      </c>
      <c r="B20" s="203" t="s">
        <v>542</v>
      </c>
      <c r="C20" s="203" t="s">
        <v>296</v>
      </c>
      <c r="D20" s="204" t="s">
        <v>543</v>
      </c>
      <c r="E20" s="204" t="s">
        <v>544</v>
      </c>
      <c r="F20" s="189">
        <f>IFERROR('[1]Well Times Per Section'!E20/'[1]Well Times Per Section'!F20,0)</f>
        <v>27.714613439555443</v>
      </c>
      <c r="G20" s="190">
        <v>1</v>
      </c>
      <c r="H20" s="190">
        <v>0</v>
      </c>
      <c r="I20" s="190">
        <v>0</v>
      </c>
      <c r="J20" s="190">
        <v>0</v>
      </c>
      <c r="K20" s="190">
        <v>0</v>
      </c>
      <c r="L20" s="190">
        <v>0</v>
      </c>
      <c r="M20" s="190">
        <v>0</v>
      </c>
      <c r="N20" s="191" t="s">
        <v>576</v>
      </c>
      <c r="P20" s="198">
        <f>H20*F20</f>
        <v>0</v>
      </c>
    </row>
    <row r="21" spans="1:16">
      <c r="A21" s="202" t="s">
        <v>577</v>
      </c>
      <c r="B21" s="203" t="s">
        <v>547</v>
      </c>
      <c r="C21" s="203" t="s">
        <v>297</v>
      </c>
      <c r="D21" s="205" t="s">
        <v>548</v>
      </c>
      <c r="E21" s="204" t="s">
        <v>549</v>
      </c>
      <c r="F21" s="189">
        <f>IFERROR('[1]Well Times Per Section'!E21/'[1]Well Times Per Section'!F21,0)</f>
        <v>0</v>
      </c>
      <c r="G21" s="190">
        <v>55</v>
      </c>
      <c r="H21" s="190">
        <v>0</v>
      </c>
      <c r="I21" s="190">
        <v>0</v>
      </c>
      <c r="J21" s="190">
        <v>0</v>
      </c>
      <c r="K21" s="190">
        <v>0</v>
      </c>
      <c r="L21" s="190">
        <v>0</v>
      </c>
      <c r="M21" s="190">
        <v>0</v>
      </c>
      <c r="N21" s="191" t="s">
        <v>576</v>
      </c>
    </row>
    <row r="22" spans="1:16">
      <c r="A22" s="202" t="s">
        <v>578</v>
      </c>
      <c r="B22" s="203" t="s">
        <v>551</v>
      </c>
      <c r="C22" s="203" t="s">
        <v>298</v>
      </c>
      <c r="D22" s="205"/>
      <c r="E22" s="204" t="s">
        <v>549</v>
      </c>
      <c r="F22" s="189">
        <f>IFERROR('[1]Well Times Per Section'!E22/'[1]Well Times Per Section'!F22,0)</f>
        <v>6.2483566890144072E-3</v>
      </c>
      <c r="G22" s="190">
        <v>675</v>
      </c>
      <c r="H22" s="190">
        <v>0</v>
      </c>
      <c r="I22" s="190">
        <v>0</v>
      </c>
      <c r="J22" s="190">
        <v>0</v>
      </c>
      <c r="K22" s="190">
        <v>0</v>
      </c>
      <c r="L22" s="190">
        <v>0</v>
      </c>
      <c r="M22" s="190">
        <v>0</v>
      </c>
      <c r="N22" s="191" t="s">
        <v>576</v>
      </c>
    </row>
    <row r="23" spans="1:16">
      <c r="A23" s="202" t="s">
        <v>579</v>
      </c>
      <c r="B23" s="203" t="s">
        <v>553</v>
      </c>
      <c r="C23" s="203" t="s">
        <v>299</v>
      </c>
      <c r="D23" s="205"/>
      <c r="E23" s="204" t="s">
        <v>549</v>
      </c>
      <c r="F23" s="189">
        <f>IFERROR('[1]Well Times Per Section'!E23/'[1]Well Times Per Section'!F23,0)</f>
        <v>9.632727029297513E-3</v>
      </c>
      <c r="G23" s="190">
        <v>1205</v>
      </c>
      <c r="H23" s="190">
        <v>0</v>
      </c>
      <c r="I23" s="190">
        <v>0</v>
      </c>
      <c r="J23" s="190">
        <v>0</v>
      </c>
      <c r="K23" s="190">
        <v>0</v>
      </c>
      <c r="L23" s="190">
        <v>0</v>
      </c>
      <c r="M23" s="190">
        <v>0</v>
      </c>
      <c r="N23" s="191" t="s">
        <v>576</v>
      </c>
    </row>
    <row r="24" spans="1:16">
      <c r="A24" s="202" t="s">
        <v>580</v>
      </c>
      <c r="B24" s="203" t="s">
        <v>555</v>
      </c>
      <c r="C24" s="203" t="s">
        <v>300</v>
      </c>
      <c r="D24" s="205"/>
      <c r="E24" s="204" t="s">
        <v>549</v>
      </c>
      <c r="F24" s="189">
        <f>IFERROR('[1]Well Times Per Section'!E24/'[1]Well Times Per Section'!F24,0)</f>
        <v>9.1676292833337732E-3</v>
      </c>
      <c r="G24" s="190">
        <v>1250</v>
      </c>
      <c r="H24" s="190">
        <v>0</v>
      </c>
      <c r="I24" s="190">
        <v>0</v>
      </c>
      <c r="J24" s="190">
        <v>0</v>
      </c>
      <c r="K24" s="190">
        <v>0</v>
      </c>
      <c r="L24" s="190">
        <v>0</v>
      </c>
      <c r="M24" s="190">
        <v>0</v>
      </c>
      <c r="N24" s="191" t="s">
        <v>576</v>
      </c>
    </row>
    <row r="25" spans="1:16">
      <c r="A25" s="206" t="s">
        <v>581</v>
      </c>
      <c r="B25" s="207" t="s">
        <v>557</v>
      </c>
      <c r="C25" s="207" t="s">
        <v>301</v>
      </c>
      <c r="D25" s="205"/>
      <c r="E25" s="204" t="s">
        <v>549</v>
      </c>
      <c r="F25" s="189">
        <f>IFERROR('[1]Well Times Per Section'!E25/'[1]Well Times Per Section'!F25,0)</f>
        <v>0</v>
      </c>
      <c r="G25" s="190">
        <v>0</v>
      </c>
      <c r="H25" s="190">
        <v>0</v>
      </c>
      <c r="I25" s="190">
        <v>0</v>
      </c>
      <c r="J25" s="190">
        <v>0</v>
      </c>
      <c r="K25" s="190">
        <v>0</v>
      </c>
      <c r="L25" s="190">
        <v>0</v>
      </c>
      <c r="M25" s="190">
        <v>0</v>
      </c>
      <c r="N25" s="191" t="s">
        <v>576</v>
      </c>
    </row>
    <row r="26" spans="1:16">
      <c r="A26" s="202" t="s">
        <v>582</v>
      </c>
      <c r="B26" s="203" t="s">
        <v>559</v>
      </c>
      <c r="C26" s="203" t="s">
        <v>302</v>
      </c>
      <c r="D26" s="204" t="s">
        <v>543</v>
      </c>
      <c r="E26" s="204" t="s">
        <v>560</v>
      </c>
      <c r="F26" s="189">
        <f>IFERROR('[1]Well Times Per Section'!E26/'[1]Well Times Per Section'!F26,0)</f>
        <v>0.43</v>
      </c>
      <c r="G26" s="190">
        <v>1</v>
      </c>
      <c r="H26" s="190">
        <v>0</v>
      </c>
      <c r="I26" s="190">
        <v>0</v>
      </c>
      <c r="J26" s="190">
        <v>0</v>
      </c>
      <c r="K26" s="190">
        <v>0</v>
      </c>
      <c r="L26" s="190">
        <v>0</v>
      </c>
      <c r="M26" s="190">
        <v>0</v>
      </c>
      <c r="N26" s="191" t="s">
        <v>576</v>
      </c>
    </row>
    <row r="27" spans="1:16">
      <c r="A27" s="202" t="s">
        <v>583</v>
      </c>
      <c r="B27" s="203" t="s">
        <v>562</v>
      </c>
      <c r="C27" s="203" t="s">
        <v>303</v>
      </c>
      <c r="D27" s="204" t="s">
        <v>543</v>
      </c>
      <c r="E27" s="204" t="s">
        <v>560</v>
      </c>
      <c r="F27" s="189">
        <f>IFERROR('[1]Well Times Per Section'!E27/'[1]Well Times Per Section'!F27,0)</f>
        <v>3.3040000000000003</v>
      </c>
      <c r="G27" s="190">
        <v>0</v>
      </c>
      <c r="H27" s="190">
        <v>0</v>
      </c>
      <c r="I27" s="190">
        <v>0</v>
      </c>
      <c r="J27" s="190">
        <v>0</v>
      </c>
      <c r="K27" s="190">
        <v>0</v>
      </c>
      <c r="L27" s="190">
        <v>0</v>
      </c>
      <c r="M27" s="190">
        <v>0</v>
      </c>
      <c r="N27" s="191" t="s">
        <v>576</v>
      </c>
    </row>
    <row r="28" spans="1:16">
      <c r="A28" s="202" t="s">
        <v>584</v>
      </c>
      <c r="B28" s="203" t="s">
        <v>564</v>
      </c>
      <c r="C28" s="203" t="s">
        <v>304</v>
      </c>
      <c r="D28" s="204" t="s">
        <v>543</v>
      </c>
      <c r="E28" s="204" t="s">
        <v>544</v>
      </c>
      <c r="F28" s="189">
        <f>IFERROR('[1]Well Times Per Section'!E28/'[1]Well Times Per Section'!F28,0)</f>
        <v>0</v>
      </c>
      <c r="G28" s="190">
        <v>1</v>
      </c>
      <c r="H28" s="190">
        <v>0</v>
      </c>
      <c r="I28" s="190">
        <v>0</v>
      </c>
      <c r="J28" s="190">
        <v>0</v>
      </c>
      <c r="K28" s="190">
        <v>0</v>
      </c>
      <c r="L28" s="190">
        <v>0</v>
      </c>
      <c r="M28" s="190">
        <v>0</v>
      </c>
      <c r="N28" s="191" t="s">
        <v>576</v>
      </c>
    </row>
    <row r="29" spans="1:16">
      <c r="A29" s="208" t="s">
        <v>585</v>
      </c>
      <c r="B29" s="209" t="s">
        <v>542</v>
      </c>
      <c r="C29" s="209" t="s">
        <v>305</v>
      </c>
      <c r="D29" s="210" t="s">
        <v>543</v>
      </c>
      <c r="E29" s="210" t="s">
        <v>544</v>
      </c>
      <c r="F29" s="189">
        <f>IFERROR('[1]Well Times Per Section'!E29/'[1]Well Times Per Section'!F29,0)</f>
        <v>37.301732017384431</v>
      </c>
      <c r="G29" s="190">
        <v>1</v>
      </c>
      <c r="H29" s="190">
        <v>15</v>
      </c>
      <c r="I29" s="190">
        <v>15</v>
      </c>
      <c r="J29" s="190">
        <v>15</v>
      </c>
      <c r="K29" s="190">
        <v>15</v>
      </c>
      <c r="L29" s="190">
        <v>15</v>
      </c>
      <c r="M29" s="190">
        <v>15</v>
      </c>
      <c r="N29" s="191" t="s">
        <v>586</v>
      </c>
      <c r="P29" s="198">
        <f>H29*F29</f>
        <v>559.52598026076646</v>
      </c>
    </row>
    <row r="30" spans="1:16">
      <c r="A30" s="208" t="s">
        <v>587</v>
      </c>
      <c r="B30" s="209" t="s">
        <v>547</v>
      </c>
      <c r="C30" s="209" t="s">
        <v>306</v>
      </c>
      <c r="D30" s="211" t="s">
        <v>548</v>
      </c>
      <c r="E30" s="210" t="s">
        <v>549</v>
      </c>
      <c r="F30" s="189">
        <f>IFERROR('[1]Well Times Per Section'!E30/'[1]Well Times Per Section'!F30,0)</f>
        <v>0</v>
      </c>
      <c r="G30" s="190">
        <v>55</v>
      </c>
      <c r="H30" s="190">
        <v>15</v>
      </c>
      <c r="I30" s="190">
        <v>15</v>
      </c>
      <c r="J30" s="190">
        <v>15</v>
      </c>
      <c r="K30" s="190">
        <v>15</v>
      </c>
      <c r="L30" s="190">
        <v>15</v>
      </c>
      <c r="M30" s="190">
        <v>15</v>
      </c>
      <c r="N30" s="191" t="s">
        <v>586</v>
      </c>
    </row>
    <row r="31" spans="1:16">
      <c r="A31" s="208" t="s">
        <v>588</v>
      </c>
      <c r="B31" s="209" t="s">
        <v>551</v>
      </c>
      <c r="C31" s="209" t="s">
        <v>307</v>
      </c>
      <c r="D31" s="211"/>
      <c r="E31" s="210" t="s">
        <v>549</v>
      </c>
      <c r="F31" s="189">
        <f>IFERROR('[1]Well Times Per Section'!E31/'[1]Well Times Per Section'!F31,0)</f>
        <v>6.2280933670392545E-3</v>
      </c>
      <c r="G31" s="190">
        <v>675</v>
      </c>
      <c r="H31" s="190">
        <v>15</v>
      </c>
      <c r="I31" s="190">
        <v>15</v>
      </c>
      <c r="J31" s="190">
        <v>15</v>
      </c>
      <c r="K31" s="190">
        <v>15</v>
      </c>
      <c r="L31" s="190">
        <v>15</v>
      </c>
      <c r="M31" s="190">
        <v>15</v>
      </c>
      <c r="N31" s="191" t="s">
        <v>586</v>
      </c>
    </row>
    <row r="32" spans="1:16">
      <c r="A32" s="208" t="s">
        <v>589</v>
      </c>
      <c r="B32" s="209" t="s">
        <v>553</v>
      </c>
      <c r="C32" s="209" t="s">
        <v>308</v>
      </c>
      <c r="D32" s="211"/>
      <c r="E32" s="210" t="s">
        <v>549</v>
      </c>
      <c r="F32" s="189">
        <f>IFERROR('[1]Well Times Per Section'!E32/'[1]Well Times Per Section'!F32,0)</f>
        <v>9.5816184528679949E-3</v>
      </c>
      <c r="G32" s="190">
        <v>1210</v>
      </c>
      <c r="H32" s="190">
        <v>15</v>
      </c>
      <c r="I32" s="190">
        <v>15</v>
      </c>
      <c r="J32" s="190">
        <v>15</v>
      </c>
      <c r="K32" s="190">
        <v>15</v>
      </c>
      <c r="L32" s="190">
        <v>15</v>
      </c>
      <c r="M32" s="190">
        <v>15</v>
      </c>
      <c r="N32" s="191" t="s">
        <v>586</v>
      </c>
    </row>
    <row r="33" spans="1:16">
      <c r="A33" s="208" t="s">
        <v>590</v>
      </c>
      <c r="B33" s="209" t="s">
        <v>555</v>
      </c>
      <c r="C33" s="209" t="s">
        <v>309</v>
      </c>
      <c r="D33" s="211"/>
      <c r="E33" s="210" t="s">
        <v>549</v>
      </c>
      <c r="F33" s="189">
        <f>IFERROR('[1]Well Times Per Section'!E33/'[1]Well Times Per Section'!F33,0)</f>
        <v>9.5382157181949888E-3</v>
      </c>
      <c r="G33" s="190">
        <v>1200</v>
      </c>
      <c r="H33" s="190">
        <v>15</v>
      </c>
      <c r="I33" s="190">
        <v>15</v>
      </c>
      <c r="J33" s="190">
        <v>15</v>
      </c>
      <c r="K33" s="190">
        <v>15</v>
      </c>
      <c r="L33" s="190">
        <v>15</v>
      </c>
      <c r="M33" s="190">
        <v>15</v>
      </c>
      <c r="N33" s="191" t="s">
        <v>586</v>
      </c>
    </row>
    <row r="34" spans="1:16">
      <c r="A34" s="208" t="s">
        <v>591</v>
      </c>
      <c r="B34" s="209" t="s">
        <v>557</v>
      </c>
      <c r="C34" s="209" t="s">
        <v>310</v>
      </c>
      <c r="D34" s="211"/>
      <c r="E34" s="210" t="s">
        <v>549</v>
      </c>
      <c r="F34" s="189">
        <f>IFERROR('[1]Well Times Per Section'!E34/'[1]Well Times Per Section'!F34,0)</f>
        <v>2.2924170963877805E-2</v>
      </c>
      <c r="G34" s="190">
        <v>420</v>
      </c>
      <c r="H34" s="190">
        <v>15</v>
      </c>
      <c r="I34" s="190">
        <v>15</v>
      </c>
      <c r="J34" s="190">
        <v>15</v>
      </c>
      <c r="K34" s="190">
        <v>15</v>
      </c>
      <c r="L34" s="190">
        <v>15</v>
      </c>
      <c r="M34" s="190">
        <v>15</v>
      </c>
      <c r="N34" s="191" t="s">
        <v>586</v>
      </c>
    </row>
    <row r="35" spans="1:16">
      <c r="A35" s="208" t="s">
        <v>592</v>
      </c>
      <c r="B35" s="209" t="s">
        <v>559</v>
      </c>
      <c r="C35" s="209" t="s">
        <v>311</v>
      </c>
      <c r="D35" s="210" t="s">
        <v>543</v>
      </c>
      <c r="E35" s="210" t="s">
        <v>560</v>
      </c>
      <c r="F35" s="189">
        <f>IFERROR('[1]Well Times Per Section'!E35/'[1]Well Times Per Section'!F35,0)</f>
        <v>0.43</v>
      </c>
      <c r="G35" s="190">
        <v>1</v>
      </c>
      <c r="H35" s="190">
        <v>15</v>
      </c>
      <c r="I35" s="190">
        <v>15</v>
      </c>
      <c r="J35" s="190">
        <v>15</v>
      </c>
      <c r="K35" s="190">
        <v>15</v>
      </c>
      <c r="L35" s="190">
        <v>15</v>
      </c>
      <c r="M35" s="190">
        <v>15</v>
      </c>
      <c r="N35" s="191" t="s">
        <v>586</v>
      </c>
    </row>
    <row r="36" spans="1:16">
      <c r="A36" s="208" t="s">
        <v>593</v>
      </c>
      <c r="B36" s="209" t="s">
        <v>562</v>
      </c>
      <c r="C36" s="209" t="s">
        <v>312</v>
      </c>
      <c r="D36" s="210" t="s">
        <v>543</v>
      </c>
      <c r="E36" s="210" t="s">
        <v>560</v>
      </c>
      <c r="F36" s="189">
        <f>IFERROR('[1]Well Times Per Section'!E36/'[1]Well Times Per Section'!F36,0)</f>
        <v>3.532</v>
      </c>
      <c r="G36" s="190">
        <v>0</v>
      </c>
      <c r="H36" s="190">
        <v>15</v>
      </c>
      <c r="I36" s="190">
        <v>15</v>
      </c>
      <c r="J36" s="190">
        <v>15</v>
      </c>
      <c r="K36" s="190">
        <v>15</v>
      </c>
      <c r="L36" s="190">
        <v>15</v>
      </c>
      <c r="M36" s="190">
        <v>15</v>
      </c>
      <c r="N36" s="191" t="s">
        <v>586</v>
      </c>
    </row>
    <row r="37" spans="1:16">
      <c r="A37" s="208" t="s">
        <v>594</v>
      </c>
      <c r="B37" s="209" t="s">
        <v>564</v>
      </c>
      <c r="C37" s="209" t="s">
        <v>313</v>
      </c>
      <c r="D37" s="210" t="s">
        <v>543</v>
      </c>
      <c r="E37" s="210" t="s">
        <v>544</v>
      </c>
      <c r="F37" s="189">
        <f>IFERROR('[1]Well Times Per Section'!E37/'[1]Well Times Per Section'!F37,0)</f>
        <v>0</v>
      </c>
      <c r="G37" s="190">
        <v>1</v>
      </c>
      <c r="H37" s="190">
        <v>15</v>
      </c>
      <c r="I37" s="190">
        <v>15</v>
      </c>
      <c r="J37" s="190">
        <v>15</v>
      </c>
      <c r="K37" s="190">
        <v>15</v>
      </c>
      <c r="L37" s="190">
        <v>15</v>
      </c>
      <c r="M37" s="190">
        <v>15</v>
      </c>
      <c r="N37" s="191" t="s">
        <v>586</v>
      </c>
    </row>
    <row r="38" spans="1:16">
      <c r="A38" s="212" t="s">
        <v>595</v>
      </c>
      <c r="B38" s="213" t="s">
        <v>542</v>
      </c>
      <c r="C38" s="213" t="s">
        <v>314</v>
      </c>
      <c r="D38" s="214" t="s">
        <v>543</v>
      </c>
      <c r="E38" s="214" t="s">
        <v>544</v>
      </c>
      <c r="F38" s="189">
        <f>IFERROR('[1]Well Times Per Section'!E38/'[1]Well Times Per Section'!F38,0)</f>
        <v>43.734477050869039</v>
      </c>
      <c r="G38" s="190">
        <v>1</v>
      </c>
      <c r="H38" s="190">
        <v>3</v>
      </c>
      <c r="I38" s="190">
        <v>3</v>
      </c>
      <c r="J38" s="190">
        <v>3</v>
      </c>
      <c r="K38" s="190">
        <v>3</v>
      </c>
      <c r="L38" s="190">
        <v>3</v>
      </c>
      <c r="M38" s="190">
        <v>3</v>
      </c>
      <c r="N38" s="191" t="s">
        <v>596</v>
      </c>
      <c r="P38" s="198">
        <f>H38*F38</f>
        <v>131.20343115260712</v>
      </c>
    </row>
    <row r="39" spans="1:16">
      <c r="A39" s="212" t="s">
        <v>597</v>
      </c>
      <c r="B39" s="213" t="s">
        <v>547</v>
      </c>
      <c r="C39" s="213" t="s">
        <v>315</v>
      </c>
      <c r="D39" s="215" t="s">
        <v>548</v>
      </c>
      <c r="E39" s="214" t="s">
        <v>549</v>
      </c>
      <c r="F39" s="189">
        <f>IFERROR('[1]Well Times Per Section'!E39/'[1]Well Times Per Section'!F39,0)</f>
        <v>0</v>
      </c>
      <c r="G39" s="190">
        <v>55</v>
      </c>
      <c r="H39" s="190">
        <v>3</v>
      </c>
      <c r="I39" s="190">
        <v>3</v>
      </c>
      <c r="J39" s="190">
        <v>3</v>
      </c>
      <c r="K39" s="190">
        <v>3</v>
      </c>
      <c r="L39" s="190">
        <v>3</v>
      </c>
      <c r="M39" s="190">
        <v>3</v>
      </c>
      <c r="N39" s="191" t="s">
        <v>596</v>
      </c>
    </row>
    <row r="40" spans="1:16">
      <c r="A40" s="212" t="s">
        <v>598</v>
      </c>
      <c r="B40" s="213" t="s">
        <v>551</v>
      </c>
      <c r="C40" s="213" t="s">
        <v>316</v>
      </c>
      <c r="D40" s="215"/>
      <c r="E40" s="214" t="s">
        <v>549</v>
      </c>
      <c r="F40" s="189">
        <f>IFERROR('[1]Well Times Per Section'!E40/'[1]Well Times Per Section'!F40,0)</f>
        <v>6.2280933670392545E-3</v>
      </c>
      <c r="G40" s="190">
        <v>675</v>
      </c>
      <c r="H40" s="190">
        <v>3</v>
      </c>
      <c r="I40" s="190">
        <v>3</v>
      </c>
      <c r="J40" s="190">
        <v>3</v>
      </c>
      <c r="K40" s="190">
        <v>3</v>
      </c>
      <c r="L40" s="190">
        <v>3</v>
      </c>
      <c r="M40" s="190">
        <v>3</v>
      </c>
      <c r="N40" s="191" t="s">
        <v>596</v>
      </c>
    </row>
    <row r="41" spans="1:16">
      <c r="A41" s="212" t="s">
        <v>599</v>
      </c>
      <c r="B41" s="213" t="s">
        <v>553</v>
      </c>
      <c r="C41" s="213" t="s">
        <v>317</v>
      </c>
      <c r="D41" s="215"/>
      <c r="E41" s="214" t="s">
        <v>549</v>
      </c>
      <c r="F41" s="189">
        <f>IFERROR('[1]Well Times Per Section'!E41/'[1]Well Times Per Section'!F41,0)</f>
        <v>1.0073026969569238E-2</v>
      </c>
      <c r="G41" s="190">
        <v>1320</v>
      </c>
      <c r="H41" s="190">
        <v>3</v>
      </c>
      <c r="I41" s="190">
        <v>3</v>
      </c>
      <c r="J41" s="190">
        <v>3</v>
      </c>
      <c r="K41" s="190">
        <v>3</v>
      </c>
      <c r="L41" s="190">
        <v>3</v>
      </c>
      <c r="M41" s="190">
        <v>3</v>
      </c>
      <c r="N41" s="191" t="s">
        <v>596</v>
      </c>
    </row>
    <row r="42" spans="1:16">
      <c r="A42" s="212" t="s">
        <v>600</v>
      </c>
      <c r="B42" s="213" t="s">
        <v>555</v>
      </c>
      <c r="C42" s="213" t="s">
        <v>318</v>
      </c>
      <c r="D42" s="215"/>
      <c r="E42" s="214" t="s">
        <v>549</v>
      </c>
      <c r="F42" s="189">
        <f>IFERROR('[1]Well Times Per Section'!E42/'[1]Well Times Per Section'!F42,0)</f>
        <v>9.8104483560355182E-3</v>
      </c>
      <c r="G42" s="190">
        <v>1300</v>
      </c>
      <c r="H42" s="190">
        <v>3</v>
      </c>
      <c r="I42" s="190">
        <v>3</v>
      </c>
      <c r="J42" s="190">
        <v>3</v>
      </c>
      <c r="K42" s="190">
        <v>3</v>
      </c>
      <c r="L42" s="190">
        <v>3</v>
      </c>
      <c r="M42" s="190">
        <v>3</v>
      </c>
      <c r="N42" s="191" t="s">
        <v>596</v>
      </c>
    </row>
    <row r="43" spans="1:16">
      <c r="A43" s="212" t="s">
        <v>601</v>
      </c>
      <c r="B43" s="213" t="s">
        <v>557</v>
      </c>
      <c r="C43" s="213" t="s">
        <v>319</v>
      </c>
      <c r="D43" s="215"/>
      <c r="E43" s="214" t="s">
        <v>549</v>
      </c>
      <c r="F43" s="189">
        <f>IFERROR('[1]Well Times Per Section'!E43/'[1]Well Times Per Section'!F43,0)</f>
        <v>2.9001190145422167E-2</v>
      </c>
      <c r="G43" s="190">
        <v>450</v>
      </c>
      <c r="H43" s="190">
        <v>3</v>
      </c>
      <c r="I43" s="190">
        <v>3</v>
      </c>
      <c r="J43" s="190">
        <v>3</v>
      </c>
      <c r="K43" s="190">
        <v>3</v>
      </c>
      <c r="L43" s="190">
        <v>3</v>
      </c>
      <c r="M43" s="190">
        <v>3</v>
      </c>
      <c r="N43" s="191" t="s">
        <v>596</v>
      </c>
    </row>
    <row r="44" spans="1:16">
      <c r="A44" s="212" t="s">
        <v>602</v>
      </c>
      <c r="B44" s="213" t="s">
        <v>559</v>
      </c>
      <c r="C44" s="213" t="s">
        <v>320</v>
      </c>
      <c r="D44" s="214" t="s">
        <v>543</v>
      </c>
      <c r="E44" s="214" t="s">
        <v>560</v>
      </c>
      <c r="F44" s="189">
        <f>IFERROR('[1]Well Times Per Section'!E44/'[1]Well Times Per Section'!F44,0)</f>
        <v>0.43</v>
      </c>
      <c r="G44" s="190">
        <v>1</v>
      </c>
      <c r="H44" s="190">
        <v>3</v>
      </c>
      <c r="I44" s="190">
        <v>3</v>
      </c>
      <c r="J44" s="190">
        <v>3</v>
      </c>
      <c r="K44" s="190">
        <v>3</v>
      </c>
      <c r="L44" s="190">
        <v>3</v>
      </c>
      <c r="M44" s="190">
        <v>3</v>
      </c>
      <c r="N44" s="191" t="s">
        <v>596</v>
      </c>
    </row>
    <row r="45" spans="1:16">
      <c r="A45" s="212" t="s">
        <v>603</v>
      </c>
      <c r="B45" s="213" t="s">
        <v>562</v>
      </c>
      <c r="C45" s="213" t="s">
        <v>321</v>
      </c>
      <c r="D45" s="214" t="s">
        <v>543</v>
      </c>
      <c r="E45" s="214" t="s">
        <v>560</v>
      </c>
      <c r="F45" s="189">
        <f>IFERROR('[1]Well Times Per Section'!E45/'[1]Well Times Per Section'!F45,0)</f>
        <v>3.6160000000000001</v>
      </c>
      <c r="G45" s="190">
        <v>0</v>
      </c>
      <c r="H45" s="190">
        <v>3</v>
      </c>
      <c r="I45" s="190">
        <v>3</v>
      </c>
      <c r="J45" s="190">
        <v>3</v>
      </c>
      <c r="K45" s="190">
        <v>3</v>
      </c>
      <c r="L45" s="190">
        <v>3</v>
      </c>
      <c r="M45" s="190">
        <v>3</v>
      </c>
      <c r="N45" s="191" t="s">
        <v>596</v>
      </c>
    </row>
    <row r="46" spans="1:16">
      <c r="A46" s="212" t="s">
        <v>604</v>
      </c>
      <c r="B46" s="213" t="s">
        <v>564</v>
      </c>
      <c r="C46" s="213" t="s">
        <v>322</v>
      </c>
      <c r="D46" s="214" t="s">
        <v>543</v>
      </c>
      <c r="E46" s="214" t="s">
        <v>544</v>
      </c>
      <c r="F46" s="189">
        <f>IFERROR('[1]Well Times Per Section'!E46/'[1]Well Times Per Section'!F46,0)</f>
        <v>0</v>
      </c>
      <c r="G46" s="190">
        <v>1</v>
      </c>
      <c r="H46" s="190">
        <v>3</v>
      </c>
      <c r="I46" s="190">
        <v>3</v>
      </c>
      <c r="J46" s="190">
        <v>3</v>
      </c>
      <c r="K46" s="190">
        <v>3</v>
      </c>
      <c r="L46" s="190">
        <v>3</v>
      </c>
      <c r="M46" s="190">
        <v>3</v>
      </c>
      <c r="N46" s="191" t="s">
        <v>596</v>
      </c>
    </row>
    <row r="47" spans="1:16">
      <c r="F47" s="217"/>
    </row>
    <row r="48" spans="1:16" ht="27.75" customHeight="1">
      <c r="B48" s="216"/>
      <c r="C48" s="219"/>
      <c r="F48" s="217"/>
    </row>
    <row r="49" spans="2:6">
      <c r="B49" s="216"/>
      <c r="C49" s="220"/>
      <c r="F49" s="217"/>
    </row>
    <row r="50" spans="2:6">
      <c r="B50" s="216"/>
      <c r="F50" s="217"/>
    </row>
    <row r="51" spans="2:6">
      <c r="B51" s="216"/>
      <c r="F51" s="217"/>
    </row>
    <row r="52" spans="2:6">
      <c r="B52" s="216"/>
      <c r="F52" s="217"/>
    </row>
    <row r="53" spans="2:6">
      <c r="B53" s="216"/>
      <c r="F53" s="217"/>
    </row>
    <row r="54" spans="2:6">
      <c r="B54" s="216"/>
      <c r="F54" s="217"/>
    </row>
    <row r="55" spans="2:6">
      <c r="B55" s="216"/>
      <c r="F55" s="217"/>
    </row>
    <row r="56" spans="2:6">
      <c r="B56" s="216"/>
      <c r="F56" s="217"/>
    </row>
    <row r="57" spans="2:6">
      <c r="B57" s="216"/>
      <c r="F57" s="217"/>
    </row>
    <row r="58" spans="2:6">
      <c r="B58" s="216"/>
      <c r="F58" s="217"/>
    </row>
    <row r="59" spans="2:6">
      <c r="B59" s="216"/>
      <c r="F59" s="217"/>
    </row>
    <row r="60" spans="2:6">
      <c r="B60" s="216"/>
      <c r="F60" s="217"/>
    </row>
    <row r="61" spans="2:6">
      <c r="B61" s="216"/>
      <c r="F61" s="217"/>
    </row>
    <row r="62" spans="2:6">
      <c r="B62" s="216"/>
      <c r="F62" s="217"/>
    </row>
    <row r="63" spans="2:6">
      <c r="B63" s="216"/>
      <c r="F63" s="217"/>
    </row>
    <row r="64" spans="2:6">
      <c r="B64" s="216"/>
      <c r="F64" s="217"/>
    </row>
    <row r="65" spans="2:6">
      <c r="B65" s="216"/>
      <c r="F65" s="217"/>
    </row>
    <row r="66" spans="2:6">
      <c r="B66" s="216"/>
      <c r="F66" s="217"/>
    </row>
    <row r="67" spans="2:6">
      <c r="B67" s="216"/>
      <c r="F67" s="217"/>
    </row>
    <row r="68" spans="2:6">
      <c r="B68" s="216"/>
      <c r="F68" s="217"/>
    </row>
    <row r="69" spans="2:6">
      <c r="B69" s="216"/>
      <c r="F69" s="217"/>
    </row>
    <row r="70" spans="2:6">
      <c r="B70" s="216"/>
      <c r="F70" s="217"/>
    </row>
    <row r="71" spans="2:6">
      <c r="B71" s="216"/>
      <c r="F71" s="217"/>
    </row>
    <row r="72" spans="2:6">
      <c r="B72" s="216"/>
      <c r="F72" s="217"/>
    </row>
    <row r="73" spans="2:6">
      <c r="B73" s="216"/>
      <c r="F73" s="217"/>
    </row>
    <row r="74" spans="2:6">
      <c r="F74" s="217"/>
    </row>
    <row r="75" spans="2:6">
      <c r="F75" s="217"/>
    </row>
    <row r="76" spans="2:6">
      <c r="F76" s="217"/>
    </row>
    <row r="77" spans="2:6">
      <c r="F77" s="217"/>
    </row>
    <row r="78" spans="2:6">
      <c r="F78" s="217"/>
    </row>
    <row r="79" spans="2:6">
      <c r="F79" s="217"/>
    </row>
    <row r="80" spans="2:6">
      <c r="F80" s="217"/>
    </row>
    <row r="81" spans="6:6">
      <c r="F81" s="217"/>
    </row>
    <row r="82" spans="6:6">
      <c r="F82" s="217"/>
    </row>
    <row r="83" spans="6:6">
      <c r="F83" s="217"/>
    </row>
    <row r="84" spans="6:6">
      <c r="F84" s="217"/>
    </row>
    <row r="85" spans="6:6">
      <c r="F85" s="217"/>
    </row>
    <row r="86" spans="6:6">
      <c r="F86" s="217"/>
    </row>
    <row r="87" spans="6:6">
      <c r="F87" s="217"/>
    </row>
    <row r="88" spans="6:6">
      <c r="F88" s="217"/>
    </row>
    <row r="89" spans="6:6">
      <c r="F89" s="217"/>
    </row>
    <row r="90" spans="6:6">
      <c r="F90" s="217"/>
    </row>
    <row r="91" spans="6:6">
      <c r="F91" s="217"/>
    </row>
    <row r="92" spans="6:6">
      <c r="F92" s="217"/>
    </row>
    <row r="93" spans="6:6">
      <c r="F93" s="217"/>
    </row>
    <row r="94" spans="6:6">
      <c r="F94" s="217"/>
    </row>
    <row r="95" spans="6:6">
      <c r="F95" s="217"/>
    </row>
    <row r="96" spans="6:6">
      <c r="F96" s="217"/>
    </row>
    <row r="97" spans="6:6">
      <c r="F97" s="217"/>
    </row>
    <row r="98" spans="6:6">
      <c r="F98" s="217"/>
    </row>
    <row r="99" spans="6:6">
      <c r="F99" s="217"/>
    </row>
    <row r="100" spans="6:6">
      <c r="F100" s="217"/>
    </row>
    <row r="101" spans="6:6">
      <c r="F101" s="217"/>
    </row>
    <row r="102" spans="6:6">
      <c r="F102" s="217"/>
    </row>
    <row r="103" spans="6:6">
      <c r="F103" s="217"/>
    </row>
    <row r="104" spans="6:6">
      <c r="F104" s="217"/>
    </row>
    <row r="105" spans="6:6">
      <c r="F105" s="217"/>
    </row>
    <row r="106" spans="6:6">
      <c r="F106" s="217"/>
    </row>
    <row r="107" spans="6:6">
      <c r="F107" s="217"/>
    </row>
    <row r="108" spans="6:6">
      <c r="F108" s="217"/>
    </row>
    <row r="109" spans="6:6">
      <c r="F109" s="217"/>
    </row>
    <row r="110" spans="6:6">
      <c r="F110" s="217"/>
    </row>
    <row r="111" spans="6:6">
      <c r="F111" s="217"/>
    </row>
    <row r="112" spans="6:6">
      <c r="F112" s="217"/>
    </row>
    <row r="113" spans="6:6">
      <c r="F113" s="217"/>
    </row>
    <row r="114" spans="6:6">
      <c r="F114" s="217"/>
    </row>
    <row r="115" spans="6:6">
      <c r="F115" s="217"/>
    </row>
    <row r="116" spans="6:6">
      <c r="F116" s="217"/>
    </row>
    <row r="117" spans="6:6">
      <c r="F117" s="217"/>
    </row>
    <row r="118" spans="6:6">
      <c r="F118" s="217"/>
    </row>
    <row r="119" spans="6:6">
      <c r="F119" s="217"/>
    </row>
    <row r="120" spans="6:6">
      <c r="F120" s="217"/>
    </row>
    <row r="121" spans="6:6">
      <c r="F121" s="217"/>
    </row>
    <row r="122" spans="6:6">
      <c r="F122" s="217"/>
    </row>
    <row r="123" spans="6:6">
      <c r="F123" s="217"/>
    </row>
    <row r="124" spans="6:6">
      <c r="F124" s="217"/>
    </row>
    <row r="125" spans="6:6">
      <c r="F125" s="217"/>
    </row>
    <row r="126" spans="6:6">
      <c r="F126" s="217"/>
    </row>
    <row r="127" spans="6:6">
      <c r="F127" s="217"/>
    </row>
    <row r="128" spans="6:6">
      <c r="F128" s="217"/>
    </row>
    <row r="129" spans="6:6">
      <c r="F129" s="217"/>
    </row>
    <row r="130" spans="6:6">
      <c r="F130" s="217"/>
    </row>
    <row r="131" spans="6:6">
      <c r="F131" s="217"/>
    </row>
    <row r="132" spans="6:6">
      <c r="F132" s="217"/>
    </row>
    <row r="133" spans="6:6">
      <c r="F133" s="217"/>
    </row>
    <row r="134" spans="6:6">
      <c r="F134" s="217"/>
    </row>
    <row r="135" spans="6:6">
      <c r="F135" s="217"/>
    </row>
    <row r="136" spans="6:6">
      <c r="F136" s="217"/>
    </row>
    <row r="137" spans="6:6">
      <c r="F137" s="217"/>
    </row>
    <row r="138" spans="6:6">
      <c r="F138" s="217"/>
    </row>
    <row r="139" spans="6:6">
      <c r="F139" s="217"/>
    </row>
    <row r="140" spans="6:6">
      <c r="F140" s="217"/>
    </row>
    <row r="141" spans="6:6">
      <c r="F141" s="217"/>
    </row>
    <row r="142" spans="6:6">
      <c r="F142" s="217"/>
    </row>
    <row r="143" spans="6:6">
      <c r="F143" s="217"/>
    </row>
    <row r="144" spans="6:6">
      <c r="F144" s="217"/>
    </row>
    <row r="145" spans="6:6">
      <c r="F145" s="217"/>
    </row>
    <row r="146" spans="6:6">
      <c r="F146" s="217"/>
    </row>
    <row r="147" spans="6:6">
      <c r="F147" s="217"/>
    </row>
    <row r="148" spans="6:6">
      <c r="F148" s="217"/>
    </row>
    <row r="149" spans="6:6">
      <c r="F149" s="217"/>
    </row>
    <row r="150" spans="6:6">
      <c r="F150" s="217"/>
    </row>
    <row r="151" spans="6:6">
      <c r="F151" s="217"/>
    </row>
    <row r="152" spans="6:6">
      <c r="F152" s="217"/>
    </row>
    <row r="153" spans="6:6">
      <c r="F153" s="217"/>
    </row>
    <row r="154" spans="6:6">
      <c r="F154" s="217"/>
    </row>
    <row r="155" spans="6:6">
      <c r="F155" s="217"/>
    </row>
  </sheetData>
  <mergeCells count="5">
    <mergeCell ref="D3:D7"/>
    <mergeCell ref="D12:D16"/>
    <mergeCell ref="D21:D25"/>
    <mergeCell ref="D30:D34"/>
    <mergeCell ref="D39:D43"/>
  </mergeCells>
  <conditionalFormatting sqref="F2:G46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37EC-00F9-470A-881D-E22352892454}">
  <dimension ref="A1:Q155"/>
  <sheetViews>
    <sheetView workbookViewId="0">
      <selection sqref="A1:XFD1048576"/>
    </sheetView>
  </sheetViews>
  <sheetFormatPr defaultRowHeight="14.5"/>
  <cols>
    <col min="1" max="1" width="18.26953125" style="216" customWidth="1"/>
    <col min="2" max="2" width="57.453125" customWidth="1"/>
    <col min="3" max="3" width="64" customWidth="1"/>
    <col min="4" max="4" width="25.453125" style="216" customWidth="1"/>
    <col min="5" max="5" width="17.26953125" style="253" customWidth="1"/>
    <col min="6" max="6" width="18.1796875" customWidth="1"/>
    <col min="7" max="7" width="15.7265625" customWidth="1"/>
    <col min="8" max="8" width="12.81640625" customWidth="1"/>
    <col min="12" max="12" width="24.453125" customWidth="1"/>
    <col min="13" max="13" width="13.453125" customWidth="1"/>
  </cols>
  <sheetData>
    <row r="1" spans="1:17" ht="44" thickBot="1">
      <c r="A1" s="179" t="s">
        <v>527</v>
      </c>
      <c r="B1" s="180" t="s">
        <v>528</v>
      </c>
      <c r="C1" s="180" t="s">
        <v>529</v>
      </c>
      <c r="D1" s="181" t="s">
        <v>530</v>
      </c>
      <c r="E1" s="183" t="s">
        <v>605</v>
      </c>
      <c r="F1" s="222" t="s">
        <v>606</v>
      </c>
      <c r="G1" s="223" t="s">
        <v>607</v>
      </c>
      <c r="H1" s="223" t="s">
        <v>608</v>
      </c>
      <c r="L1" s="224" t="s">
        <v>609</v>
      </c>
    </row>
    <row r="2" spans="1:17" ht="64.5" thickBot="1">
      <c r="A2" s="186" t="s">
        <v>541</v>
      </c>
      <c r="B2" s="187" t="s">
        <v>542</v>
      </c>
      <c r="C2" s="187" t="s">
        <v>277</v>
      </c>
      <c r="D2" s="188" t="s">
        <v>543</v>
      </c>
      <c r="E2" s="225">
        <v>24.327449566768507</v>
      </c>
      <c r="F2" s="226">
        <v>1</v>
      </c>
      <c r="G2" s="225">
        <v>20.399268410530102</v>
      </c>
      <c r="H2" s="227">
        <f>IFERROR((E2-G2)/G2,0)</f>
        <v>0.1925648056187485</v>
      </c>
      <c r="L2" s="228" t="s">
        <v>251</v>
      </c>
      <c r="M2" s="228" t="s">
        <v>610</v>
      </c>
      <c r="N2" s="229" t="s">
        <v>611</v>
      </c>
      <c r="O2" s="228" t="s">
        <v>612</v>
      </c>
      <c r="P2" s="229" t="s">
        <v>613</v>
      </c>
      <c r="Q2" s="229" t="s">
        <v>614</v>
      </c>
    </row>
    <row r="3" spans="1:17" ht="15.5" thickBot="1">
      <c r="A3" s="186" t="s">
        <v>546</v>
      </c>
      <c r="B3" s="187" t="s">
        <v>547</v>
      </c>
      <c r="C3" s="187" t="s">
        <v>279</v>
      </c>
      <c r="D3" s="192" t="s">
        <v>548</v>
      </c>
      <c r="E3" s="225"/>
      <c r="F3" s="226">
        <v>55</v>
      </c>
      <c r="G3" s="225"/>
      <c r="H3" s="227">
        <f t="shared" ref="H3:H46" si="0">IFERROR((E3-G3)/G3,0)</f>
        <v>0</v>
      </c>
      <c r="L3" s="230" t="s">
        <v>615</v>
      </c>
      <c r="M3" s="231"/>
      <c r="N3" s="231"/>
      <c r="O3" s="231"/>
      <c r="P3" s="231"/>
      <c r="Q3" s="232"/>
    </row>
    <row r="4" spans="1:17" ht="15" thickBot="1">
      <c r="A4" s="186" t="s">
        <v>550</v>
      </c>
      <c r="B4" s="187" t="s">
        <v>551</v>
      </c>
      <c r="C4" s="187" t="s">
        <v>280</v>
      </c>
      <c r="D4" s="192"/>
      <c r="E4" s="225">
        <v>4.2176407650847247</v>
      </c>
      <c r="F4" s="226">
        <v>675</v>
      </c>
      <c r="G4" s="225">
        <v>3.5252611644987786</v>
      </c>
      <c r="H4" s="227">
        <f t="shared" si="0"/>
        <v>0.19640519333959436</v>
      </c>
      <c r="L4" s="233" t="s">
        <v>616</v>
      </c>
      <c r="M4" s="234">
        <v>0.34722222222222227</v>
      </c>
      <c r="N4" s="235">
        <v>8.5578002244668921E-3</v>
      </c>
      <c r="O4" s="234">
        <v>0.35578002244668916</v>
      </c>
      <c r="P4" s="236">
        <v>1.0999999999999999E-2</v>
      </c>
      <c r="Q4" s="237">
        <v>0.03</v>
      </c>
    </row>
    <row r="5" spans="1:17" ht="15" thickBot="1">
      <c r="A5" s="186" t="s">
        <v>552</v>
      </c>
      <c r="B5" s="187" t="s">
        <v>553</v>
      </c>
      <c r="C5" s="187" t="s">
        <v>281</v>
      </c>
      <c r="D5" s="192"/>
      <c r="E5" s="225">
        <v>11.607436070303503</v>
      </c>
      <c r="F5" s="226">
        <v>1210</v>
      </c>
      <c r="G5" s="225">
        <v>9.7345844664806904</v>
      </c>
      <c r="H5" s="227">
        <f t="shared" si="0"/>
        <v>0.19239153045223903</v>
      </c>
      <c r="L5" s="233" t="s">
        <v>617</v>
      </c>
      <c r="M5" s="234">
        <v>0.34722222222222227</v>
      </c>
      <c r="N5" s="235">
        <v>8.5578002244668921E-3</v>
      </c>
      <c r="O5" s="234">
        <v>0.35578002244668916</v>
      </c>
      <c r="P5" s="236">
        <v>1.0999999999999999E-2</v>
      </c>
      <c r="Q5" s="237">
        <v>0.03</v>
      </c>
    </row>
    <row r="6" spans="1:17" ht="29.5" thickBot="1">
      <c r="A6" s="186" t="s">
        <v>554</v>
      </c>
      <c r="B6" s="187" t="s">
        <v>555</v>
      </c>
      <c r="C6" s="187" t="s">
        <v>282</v>
      </c>
      <c r="D6" s="192"/>
      <c r="E6" s="225">
        <v>8.0723727313802804</v>
      </c>
      <c r="F6" s="226">
        <v>540</v>
      </c>
      <c r="G6" s="225">
        <v>6.7794227795506314</v>
      </c>
      <c r="H6" s="227">
        <f t="shared" si="0"/>
        <v>0.19071681968702225</v>
      </c>
      <c r="L6" s="233" t="s">
        <v>618</v>
      </c>
      <c r="M6" s="234">
        <v>0.34722222222222227</v>
      </c>
      <c r="N6" s="235">
        <v>8.5578002244668921E-3</v>
      </c>
      <c r="O6" s="234">
        <v>0.35578002244668916</v>
      </c>
      <c r="P6" s="236">
        <v>1.0999999999999999E-2</v>
      </c>
      <c r="Q6" s="237">
        <v>0.03</v>
      </c>
    </row>
    <row r="7" spans="1:17" ht="44" thickBot="1">
      <c r="A7" s="193" t="s">
        <v>556</v>
      </c>
      <c r="B7" s="194" t="s">
        <v>557</v>
      </c>
      <c r="C7" s="194" t="s">
        <v>283</v>
      </c>
      <c r="D7" s="192"/>
      <c r="E7" s="225">
        <v>0</v>
      </c>
      <c r="F7" s="226">
        <v>1</v>
      </c>
      <c r="G7" s="225">
        <v>0</v>
      </c>
      <c r="H7" s="227">
        <f t="shared" si="0"/>
        <v>0</v>
      </c>
      <c r="L7" s="233" t="s">
        <v>619</v>
      </c>
      <c r="M7" s="234">
        <v>0.34722222222222227</v>
      </c>
      <c r="N7" s="235">
        <v>8.5578002244668921E-3</v>
      </c>
      <c r="O7" s="234">
        <v>0.35578002244668916</v>
      </c>
      <c r="P7" s="236">
        <v>1.0999999999999999E-2</v>
      </c>
      <c r="Q7" s="237">
        <v>0.03</v>
      </c>
    </row>
    <row r="8" spans="1:17" ht="15" thickBot="1">
      <c r="A8" s="186" t="s">
        <v>558</v>
      </c>
      <c r="B8" s="187" t="s">
        <v>559</v>
      </c>
      <c r="C8" s="187" t="s">
        <v>284</v>
      </c>
      <c r="D8" s="188" t="s">
        <v>543</v>
      </c>
      <c r="E8" s="225">
        <v>0.43</v>
      </c>
      <c r="F8" s="226">
        <v>1</v>
      </c>
      <c r="G8" s="225">
        <v>0.36</v>
      </c>
      <c r="H8" s="227">
        <f t="shared" si="0"/>
        <v>0.19444444444444448</v>
      </c>
      <c r="L8" s="233" t="s">
        <v>620</v>
      </c>
      <c r="M8" s="234">
        <v>0.34722222222222227</v>
      </c>
      <c r="N8" s="235">
        <v>8.5578002244668921E-3</v>
      </c>
      <c r="O8" s="234">
        <v>0.35578002244668916</v>
      </c>
      <c r="P8" s="236">
        <v>1.0999999999999999E-2</v>
      </c>
      <c r="Q8" s="237">
        <v>0.03</v>
      </c>
    </row>
    <row r="9" spans="1:17" ht="15" thickBot="1">
      <c r="A9" s="186" t="s">
        <v>561</v>
      </c>
      <c r="B9" s="187" t="s">
        <v>562</v>
      </c>
      <c r="C9" s="187" t="s">
        <v>285</v>
      </c>
      <c r="D9" s="188" t="s">
        <v>543</v>
      </c>
      <c r="E9" s="225">
        <v>3.1479999999999997</v>
      </c>
      <c r="F9" s="226">
        <v>1</v>
      </c>
      <c r="G9" s="225">
        <v>2.66</v>
      </c>
      <c r="H9" s="227">
        <f t="shared" si="0"/>
        <v>0.18345864661654118</v>
      </c>
      <c r="L9" s="233" t="s">
        <v>621</v>
      </c>
      <c r="M9" s="234">
        <v>0.34722222222222227</v>
      </c>
      <c r="N9" s="235">
        <v>8.5578002244668921E-3</v>
      </c>
      <c r="O9" s="234">
        <v>0.35578002244668916</v>
      </c>
      <c r="P9" s="236">
        <v>1.0999999999999999E-2</v>
      </c>
      <c r="Q9" s="237">
        <v>0.03</v>
      </c>
    </row>
    <row r="10" spans="1:17" ht="29.5" thickBot="1">
      <c r="A10" s="186" t="s">
        <v>563</v>
      </c>
      <c r="B10" s="187" t="s">
        <v>564</v>
      </c>
      <c r="C10" s="187" t="s">
        <v>286</v>
      </c>
      <c r="D10" s="188" t="s">
        <v>543</v>
      </c>
      <c r="E10" s="225"/>
      <c r="F10" s="226">
        <v>1</v>
      </c>
      <c r="G10" s="225"/>
      <c r="H10" s="227">
        <f t="shared" si="0"/>
        <v>0</v>
      </c>
      <c r="L10" s="233" t="s">
        <v>622</v>
      </c>
      <c r="M10" s="234">
        <v>0.34722222222222227</v>
      </c>
      <c r="N10" s="235">
        <v>8.5578002244668921E-3</v>
      </c>
      <c r="O10" s="234">
        <v>0.35578002244668916</v>
      </c>
      <c r="P10" s="236">
        <v>1.0999999999999999E-2</v>
      </c>
      <c r="Q10" s="237">
        <v>0.03</v>
      </c>
    </row>
    <row r="11" spans="1:17" ht="44" thickBot="1">
      <c r="A11" s="195" t="s">
        <v>565</v>
      </c>
      <c r="B11" s="196" t="s">
        <v>542</v>
      </c>
      <c r="C11" s="196" t="s">
        <v>287</v>
      </c>
      <c r="D11" s="197" t="s">
        <v>543</v>
      </c>
      <c r="E11" s="225">
        <v>26.84695048549122</v>
      </c>
      <c r="F11" s="226">
        <v>1</v>
      </c>
      <c r="G11" s="225">
        <v>22.499765236109837</v>
      </c>
      <c r="H11" s="227">
        <f t="shared" si="0"/>
        <v>0.19321024925204963</v>
      </c>
      <c r="L11" s="233" t="s">
        <v>623</v>
      </c>
      <c r="M11" s="234">
        <v>0.34722222222222227</v>
      </c>
      <c r="N11" s="235">
        <v>8.5578002244668921E-3</v>
      </c>
      <c r="O11" s="234">
        <v>0.35578002244668916</v>
      </c>
      <c r="P11" s="236">
        <v>1.0999999999999999E-2</v>
      </c>
      <c r="Q11" s="237">
        <v>0.03</v>
      </c>
    </row>
    <row r="12" spans="1:17" ht="15" thickBot="1">
      <c r="A12" s="195" t="s">
        <v>567</v>
      </c>
      <c r="B12" s="196" t="s">
        <v>547</v>
      </c>
      <c r="C12" s="196" t="s">
        <v>288</v>
      </c>
      <c r="D12" s="199" t="s">
        <v>548</v>
      </c>
      <c r="E12" s="225"/>
      <c r="F12" s="226">
        <v>55</v>
      </c>
      <c r="G12" s="225"/>
      <c r="H12" s="227">
        <f t="shared" si="0"/>
        <v>0</v>
      </c>
      <c r="L12" s="233" t="s">
        <v>624</v>
      </c>
      <c r="M12" s="234">
        <v>0.34722222222222227</v>
      </c>
      <c r="N12" s="235">
        <v>8.5578002244668921E-3</v>
      </c>
      <c r="O12" s="234">
        <v>0.35578002244668916</v>
      </c>
      <c r="P12" s="236">
        <v>1.0999999999999999E-2</v>
      </c>
      <c r="Q12" s="237">
        <v>0.03</v>
      </c>
    </row>
    <row r="13" spans="1:17" ht="64.5" thickBot="1">
      <c r="A13" s="195" t="s">
        <v>568</v>
      </c>
      <c r="B13" s="196" t="s">
        <v>551</v>
      </c>
      <c r="C13" s="196" t="s">
        <v>289</v>
      </c>
      <c r="D13" s="199"/>
      <c r="E13" s="225">
        <v>4.2176407650847247</v>
      </c>
      <c r="F13" s="226">
        <v>675</v>
      </c>
      <c r="G13" s="225">
        <v>3.5252611644987786</v>
      </c>
      <c r="H13" s="227">
        <f t="shared" si="0"/>
        <v>0.19640519333959436</v>
      </c>
      <c r="L13" s="228" t="s">
        <v>251</v>
      </c>
      <c r="M13" s="228" t="s">
        <v>610</v>
      </c>
      <c r="N13" s="229" t="s">
        <v>611</v>
      </c>
      <c r="O13" s="228" t="s">
        <v>612</v>
      </c>
      <c r="P13" s="229" t="s">
        <v>613</v>
      </c>
      <c r="Q13" s="229" t="s">
        <v>625</v>
      </c>
    </row>
    <row r="14" spans="1:17" ht="15.5" thickBot="1">
      <c r="A14" s="195" t="s">
        <v>569</v>
      </c>
      <c r="B14" s="196" t="s">
        <v>553</v>
      </c>
      <c r="C14" s="196" t="s">
        <v>290</v>
      </c>
      <c r="D14" s="199"/>
      <c r="E14" s="225">
        <v>13.310073342164623</v>
      </c>
      <c r="F14" s="226">
        <v>1320</v>
      </c>
      <c r="G14" s="225">
        <v>11.154361586342436</v>
      </c>
      <c r="H14" s="227">
        <f t="shared" si="0"/>
        <v>0.19326177828605381</v>
      </c>
      <c r="L14" s="238" t="s">
        <v>626</v>
      </c>
      <c r="M14" s="239"/>
      <c r="N14" s="239"/>
      <c r="O14" s="239"/>
      <c r="P14" s="239"/>
      <c r="Q14" s="240"/>
    </row>
    <row r="15" spans="1:17" ht="15" thickBot="1">
      <c r="A15" s="195" t="s">
        <v>570</v>
      </c>
      <c r="B15" s="196" t="s">
        <v>555</v>
      </c>
      <c r="C15" s="196" t="s">
        <v>291</v>
      </c>
      <c r="D15" s="199"/>
      <c r="E15" s="225">
        <v>8.889236378241872</v>
      </c>
      <c r="F15" s="226">
        <v>650</v>
      </c>
      <c r="G15" s="225">
        <v>7.460142485268622</v>
      </c>
      <c r="H15" s="227">
        <f t="shared" si="0"/>
        <v>0.19156388712350333</v>
      </c>
      <c r="L15" s="233" t="s">
        <v>616</v>
      </c>
      <c r="M15" s="234">
        <v>2.5933333333333333</v>
      </c>
      <c r="N15" s="235">
        <v>4.0156891498662792E-2</v>
      </c>
      <c r="O15" s="234">
        <v>2.6627808137836162</v>
      </c>
      <c r="P15" s="236">
        <v>1.0999999999999999E-2</v>
      </c>
      <c r="Q15" s="237">
        <v>2.608080999036597E-2</v>
      </c>
    </row>
    <row r="16" spans="1:17" ht="15" thickBot="1">
      <c r="A16" s="200" t="s">
        <v>571</v>
      </c>
      <c r="B16" s="201" t="s">
        <v>557</v>
      </c>
      <c r="C16" s="201" t="s">
        <v>292</v>
      </c>
      <c r="D16" s="199"/>
      <c r="E16" s="225">
        <v>0</v>
      </c>
      <c r="F16" s="226">
        <v>1</v>
      </c>
      <c r="G16" s="225">
        <v>0</v>
      </c>
      <c r="H16" s="227">
        <f t="shared" si="0"/>
        <v>0</v>
      </c>
      <c r="L16" s="233" t="s">
        <v>617</v>
      </c>
      <c r="M16" s="234">
        <v>2.6666666666666665</v>
      </c>
      <c r="N16" s="235">
        <v>4.0156891498662792E-2</v>
      </c>
      <c r="O16" s="234">
        <v>2.736929785809231</v>
      </c>
      <c r="P16" s="236">
        <v>1.0999999999999999E-2</v>
      </c>
      <c r="Q16" s="237">
        <v>2.5672240298919308E-2</v>
      </c>
    </row>
    <row r="17" spans="1:17" ht="29.5" thickBot="1">
      <c r="A17" s="195" t="s">
        <v>572</v>
      </c>
      <c r="B17" s="196" t="s">
        <v>559</v>
      </c>
      <c r="C17" s="196" t="s">
        <v>293</v>
      </c>
      <c r="D17" s="197" t="s">
        <v>543</v>
      </c>
      <c r="E17" s="225">
        <v>0.43</v>
      </c>
      <c r="F17" s="226">
        <v>1</v>
      </c>
      <c r="G17" s="225">
        <v>0.36</v>
      </c>
      <c r="H17" s="227">
        <f t="shared" si="0"/>
        <v>0.19444444444444448</v>
      </c>
      <c r="L17" s="233" t="s">
        <v>618</v>
      </c>
      <c r="M17" s="234">
        <v>2.75</v>
      </c>
      <c r="N17" s="235">
        <v>4.0156891498662792E-2</v>
      </c>
      <c r="O17" s="234">
        <v>2.8211899812928847</v>
      </c>
      <c r="P17" s="236">
        <v>1.0999999999999999E-2</v>
      </c>
      <c r="Q17" s="237">
        <v>2.5234025983694949E-2</v>
      </c>
    </row>
    <row r="18" spans="1:17" ht="44" thickBot="1">
      <c r="A18" s="195" t="s">
        <v>573</v>
      </c>
      <c r="B18" s="196" t="s">
        <v>562</v>
      </c>
      <c r="C18" s="196" t="s">
        <v>294</v>
      </c>
      <c r="D18" s="197" t="s">
        <v>543</v>
      </c>
      <c r="E18" s="225">
        <v>3.2439999999999998</v>
      </c>
      <c r="F18" s="226">
        <v>1</v>
      </c>
      <c r="G18" s="225">
        <v>2.74</v>
      </c>
      <c r="H18" s="227">
        <f t="shared" si="0"/>
        <v>0.18394160583941588</v>
      </c>
      <c r="L18" s="233" t="s">
        <v>619</v>
      </c>
      <c r="M18" s="234">
        <v>2.875</v>
      </c>
      <c r="N18" s="235">
        <v>4.0156891498662792E-2</v>
      </c>
      <c r="O18" s="234">
        <v>2.9475802745183648</v>
      </c>
      <c r="P18" s="236">
        <v>1.0999999999999999E-2</v>
      </c>
      <c r="Q18" s="237">
        <v>2.6356970730750991E-2</v>
      </c>
    </row>
    <row r="19" spans="1:17" ht="15" thickBot="1">
      <c r="A19" s="195" t="s">
        <v>574</v>
      </c>
      <c r="B19" s="196" t="s">
        <v>564</v>
      </c>
      <c r="C19" s="196" t="s">
        <v>295</v>
      </c>
      <c r="D19" s="197" t="s">
        <v>543</v>
      </c>
      <c r="E19" s="225"/>
      <c r="F19" s="226">
        <v>1</v>
      </c>
      <c r="G19" s="225"/>
      <c r="H19" s="227">
        <f t="shared" si="0"/>
        <v>0</v>
      </c>
      <c r="L19" s="233" t="s">
        <v>620</v>
      </c>
      <c r="M19" s="234">
        <v>2.9133333333333336</v>
      </c>
      <c r="N19" s="235">
        <v>4.0156891498662792E-2</v>
      </c>
      <c r="O19" s="234">
        <v>2.9863399644408459</v>
      </c>
      <c r="P19" s="236">
        <v>1.0999999999999999E-2</v>
      </c>
      <c r="Q19" s="237">
        <v>2.5941034064095439E-2</v>
      </c>
    </row>
    <row r="20" spans="1:17">
      <c r="A20" s="202" t="s">
        <v>575</v>
      </c>
      <c r="B20" s="203" t="s">
        <v>542</v>
      </c>
      <c r="C20" s="203" t="s">
        <v>296</v>
      </c>
      <c r="D20" s="204" t="s">
        <v>543</v>
      </c>
      <c r="E20" s="225">
        <v>27.714613439555443</v>
      </c>
      <c r="F20" s="226">
        <v>1</v>
      </c>
      <c r="G20" s="225">
        <v>23.221904971185879</v>
      </c>
      <c r="H20" s="227">
        <f t="shared" si="0"/>
        <v>0.19346855798196533</v>
      </c>
    </row>
    <row r="21" spans="1:17">
      <c r="A21" s="202" t="s">
        <v>577</v>
      </c>
      <c r="B21" s="203" t="s">
        <v>547</v>
      </c>
      <c r="C21" s="203" t="s">
        <v>297</v>
      </c>
      <c r="D21" s="205" t="s">
        <v>548</v>
      </c>
      <c r="E21" s="225"/>
      <c r="F21" s="226">
        <v>55</v>
      </c>
      <c r="G21" s="225"/>
      <c r="H21" s="227">
        <f t="shared" si="0"/>
        <v>0</v>
      </c>
    </row>
    <row r="22" spans="1:17">
      <c r="A22" s="202" t="s">
        <v>578</v>
      </c>
      <c r="B22" s="203" t="s">
        <v>551</v>
      </c>
      <c r="C22" s="203" t="s">
        <v>298</v>
      </c>
      <c r="D22" s="205"/>
      <c r="E22" s="225">
        <v>4.2176407650847247</v>
      </c>
      <c r="F22" s="226">
        <v>675</v>
      </c>
      <c r="G22" s="225">
        <v>3.5252611644987786</v>
      </c>
      <c r="H22" s="227">
        <f t="shared" si="0"/>
        <v>0.19640519333959436</v>
      </c>
    </row>
    <row r="23" spans="1:17">
      <c r="A23" s="202" t="s">
        <v>579</v>
      </c>
      <c r="B23" s="203" t="s">
        <v>553</v>
      </c>
      <c r="C23" s="203" t="s">
        <v>299</v>
      </c>
      <c r="D23" s="205"/>
      <c r="E23" s="225">
        <v>11.607436070303503</v>
      </c>
      <c r="F23" s="226">
        <v>1205</v>
      </c>
      <c r="G23" s="225">
        <v>9.7345844664806904</v>
      </c>
      <c r="H23" s="227">
        <f t="shared" si="0"/>
        <v>0.19239153045223903</v>
      </c>
    </row>
    <row r="24" spans="1:17">
      <c r="A24" s="202" t="s">
        <v>580</v>
      </c>
      <c r="B24" s="203" t="s">
        <v>555</v>
      </c>
      <c r="C24" s="203" t="s">
        <v>300</v>
      </c>
      <c r="D24" s="205"/>
      <c r="E24" s="225">
        <v>11.459536604167216</v>
      </c>
      <c r="F24" s="226">
        <v>1250</v>
      </c>
      <c r="G24" s="225">
        <v>9.6020593402064112</v>
      </c>
      <c r="H24" s="227">
        <f t="shared" si="0"/>
        <v>0.1934457180641497</v>
      </c>
    </row>
    <row r="25" spans="1:17">
      <c r="A25" s="206" t="s">
        <v>581</v>
      </c>
      <c r="B25" s="207" t="s">
        <v>557</v>
      </c>
      <c r="C25" s="207" t="s">
        <v>301</v>
      </c>
      <c r="D25" s="205"/>
      <c r="E25" s="225">
        <v>0</v>
      </c>
      <c r="F25" s="226">
        <v>1</v>
      </c>
      <c r="G25" s="225">
        <v>0</v>
      </c>
      <c r="H25" s="227">
        <f t="shared" si="0"/>
        <v>0</v>
      </c>
    </row>
    <row r="26" spans="1:17">
      <c r="A26" s="202" t="s">
        <v>582</v>
      </c>
      <c r="B26" s="203" t="s">
        <v>559</v>
      </c>
      <c r="C26" s="203" t="s">
        <v>302</v>
      </c>
      <c r="D26" s="204" t="s">
        <v>543</v>
      </c>
      <c r="E26" s="225">
        <v>0.43</v>
      </c>
      <c r="F26" s="226">
        <v>1</v>
      </c>
      <c r="G26" s="225">
        <v>0.36</v>
      </c>
      <c r="H26" s="227">
        <f t="shared" si="0"/>
        <v>0.19444444444444448</v>
      </c>
    </row>
    <row r="27" spans="1:17">
      <c r="A27" s="202" t="s">
        <v>583</v>
      </c>
      <c r="B27" s="203" t="s">
        <v>562</v>
      </c>
      <c r="C27" s="203" t="s">
        <v>303</v>
      </c>
      <c r="D27" s="204" t="s">
        <v>543</v>
      </c>
      <c r="E27" s="225">
        <v>3.3040000000000003</v>
      </c>
      <c r="F27" s="226">
        <v>1</v>
      </c>
      <c r="G27" s="225">
        <v>2.79</v>
      </c>
      <c r="H27" s="227">
        <f t="shared" si="0"/>
        <v>0.18422939068100366</v>
      </c>
    </row>
    <row r="28" spans="1:17">
      <c r="A28" s="202" t="s">
        <v>584</v>
      </c>
      <c r="B28" s="203" t="s">
        <v>564</v>
      </c>
      <c r="C28" s="203" t="s">
        <v>304</v>
      </c>
      <c r="D28" s="204" t="s">
        <v>543</v>
      </c>
      <c r="E28" s="225"/>
      <c r="F28" s="226">
        <v>1</v>
      </c>
      <c r="G28" s="225"/>
      <c r="H28" s="227">
        <f t="shared" si="0"/>
        <v>0</v>
      </c>
    </row>
    <row r="29" spans="1:17">
      <c r="A29" s="208" t="s">
        <v>585</v>
      </c>
      <c r="B29" s="209" t="s">
        <v>542</v>
      </c>
      <c r="C29" s="209" t="s">
        <v>305</v>
      </c>
      <c r="D29" s="210" t="s">
        <v>543</v>
      </c>
      <c r="E29" s="225">
        <v>37.301732017384431</v>
      </c>
      <c r="F29" s="226">
        <v>1</v>
      </c>
      <c r="G29" s="225">
        <v>31.308517776611829</v>
      </c>
      <c r="H29" s="227">
        <f t="shared" si="0"/>
        <v>0.19142440033522343</v>
      </c>
    </row>
    <row r="30" spans="1:17">
      <c r="A30" s="208" t="s">
        <v>587</v>
      </c>
      <c r="B30" s="209" t="s">
        <v>547</v>
      </c>
      <c r="C30" s="209" t="s">
        <v>306</v>
      </c>
      <c r="D30" s="211" t="s">
        <v>548</v>
      </c>
      <c r="E30" s="225"/>
      <c r="F30" s="226">
        <v>55</v>
      </c>
      <c r="G30" s="225"/>
      <c r="H30" s="227">
        <f t="shared" si="0"/>
        <v>0</v>
      </c>
    </row>
    <row r="31" spans="1:17">
      <c r="A31" s="208" t="s">
        <v>588</v>
      </c>
      <c r="B31" s="209" t="s">
        <v>551</v>
      </c>
      <c r="C31" s="209" t="s">
        <v>307</v>
      </c>
      <c r="D31" s="211"/>
      <c r="E31" s="225">
        <v>4.2039630227514966</v>
      </c>
      <c r="F31" s="226">
        <v>675</v>
      </c>
      <c r="G31" s="225">
        <v>3.5115834221655504</v>
      </c>
      <c r="H31" s="227">
        <f t="shared" si="0"/>
        <v>0.19717019855360979</v>
      </c>
    </row>
    <row r="32" spans="1:17">
      <c r="A32" s="208" t="s">
        <v>589</v>
      </c>
      <c r="B32" s="209" t="s">
        <v>553</v>
      </c>
      <c r="C32" s="209" t="s">
        <v>308</v>
      </c>
      <c r="D32" s="211"/>
      <c r="E32" s="225">
        <v>11.593758327970274</v>
      </c>
      <c r="F32" s="226">
        <v>1210</v>
      </c>
      <c r="G32" s="225">
        <v>9.7209067241474614</v>
      </c>
      <c r="H32" s="227">
        <f t="shared" si="0"/>
        <v>0.19266223377810107</v>
      </c>
    </row>
    <row r="33" spans="1:8">
      <c r="A33" s="208" t="s">
        <v>590</v>
      </c>
      <c r="B33" s="209" t="s">
        <v>555</v>
      </c>
      <c r="C33" s="209" t="s">
        <v>309</v>
      </c>
      <c r="D33" s="211"/>
      <c r="E33" s="225">
        <v>11.445858861833987</v>
      </c>
      <c r="F33" s="226">
        <v>1200</v>
      </c>
      <c r="G33" s="225">
        <v>9.5883815978731821</v>
      </c>
      <c r="H33" s="227">
        <f t="shared" si="0"/>
        <v>0.1937216666859416</v>
      </c>
    </row>
    <row r="34" spans="1:8">
      <c r="A34" s="208" t="s">
        <v>591</v>
      </c>
      <c r="B34" s="209" t="s">
        <v>557</v>
      </c>
      <c r="C34" s="209" t="s">
        <v>310</v>
      </c>
      <c r="D34" s="211"/>
      <c r="E34" s="225">
        <v>9.6281518048286774</v>
      </c>
      <c r="F34" s="226">
        <v>420</v>
      </c>
      <c r="G34" s="225">
        <v>8.1276460324256359</v>
      </c>
      <c r="H34" s="227">
        <f t="shared" si="0"/>
        <v>0.18461750996742493</v>
      </c>
    </row>
    <row r="35" spans="1:8">
      <c r="A35" s="208" t="s">
        <v>592</v>
      </c>
      <c r="B35" s="209" t="s">
        <v>559</v>
      </c>
      <c r="C35" s="209" t="s">
        <v>311</v>
      </c>
      <c r="D35" s="210" t="s">
        <v>543</v>
      </c>
      <c r="E35" s="225">
        <v>0.43</v>
      </c>
      <c r="F35" s="226">
        <v>1</v>
      </c>
      <c r="G35" s="225">
        <v>0.36</v>
      </c>
      <c r="H35" s="227">
        <f t="shared" si="0"/>
        <v>0.19444444444444448</v>
      </c>
    </row>
    <row r="36" spans="1:8">
      <c r="A36" s="208" t="s">
        <v>593</v>
      </c>
      <c r="B36" s="209" t="s">
        <v>562</v>
      </c>
      <c r="C36" s="209" t="s">
        <v>312</v>
      </c>
      <c r="D36" s="210" t="s">
        <v>543</v>
      </c>
      <c r="E36" s="225">
        <v>3.532</v>
      </c>
      <c r="F36" s="226">
        <v>1</v>
      </c>
      <c r="G36" s="225">
        <v>2.99</v>
      </c>
      <c r="H36" s="227">
        <f t="shared" si="0"/>
        <v>0.18127090301003337</v>
      </c>
    </row>
    <row r="37" spans="1:8">
      <c r="A37" s="208" t="s">
        <v>594</v>
      </c>
      <c r="B37" s="209" t="s">
        <v>564</v>
      </c>
      <c r="C37" s="209" t="s">
        <v>313</v>
      </c>
      <c r="D37" s="210" t="s">
        <v>543</v>
      </c>
      <c r="E37" s="225"/>
      <c r="F37" s="226">
        <v>1</v>
      </c>
      <c r="G37" s="225"/>
      <c r="H37" s="227">
        <f t="shared" si="0"/>
        <v>0</v>
      </c>
    </row>
    <row r="38" spans="1:8">
      <c r="A38" s="212" t="s">
        <v>595</v>
      </c>
      <c r="B38" s="213" t="s">
        <v>542</v>
      </c>
      <c r="C38" s="213" t="s">
        <v>314</v>
      </c>
      <c r="D38" s="214" t="s">
        <v>543</v>
      </c>
      <c r="E38" s="225">
        <v>43.734477050869039</v>
      </c>
      <c r="F38" s="226">
        <v>1</v>
      </c>
      <c r="G38" s="225">
        <v>36.876706005301443</v>
      </c>
      <c r="H38" s="227">
        <f t="shared" si="0"/>
        <v>0.18596484850305539</v>
      </c>
    </row>
    <row r="39" spans="1:8">
      <c r="A39" s="212" t="s">
        <v>597</v>
      </c>
      <c r="B39" s="213" t="s">
        <v>547</v>
      </c>
      <c r="C39" s="213" t="s">
        <v>315</v>
      </c>
      <c r="D39" s="215" t="s">
        <v>548</v>
      </c>
      <c r="E39" s="225"/>
      <c r="F39" s="226">
        <v>55</v>
      </c>
      <c r="G39" s="225"/>
      <c r="H39" s="227">
        <f t="shared" si="0"/>
        <v>0</v>
      </c>
    </row>
    <row r="40" spans="1:8">
      <c r="A40" s="212" t="s">
        <v>598</v>
      </c>
      <c r="B40" s="213" t="s">
        <v>551</v>
      </c>
      <c r="C40" s="213" t="s">
        <v>316</v>
      </c>
      <c r="D40" s="215"/>
      <c r="E40" s="225">
        <v>4.2039630227514966</v>
      </c>
      <c r="F40" s="226">
        <v>675</v>
      </c>
      <c r="G40" s="225">
        <v>3.5115834221655504</v>
      </c>
      <c r="H40" s="227">
        <f t="shared" si="0"/>
        <v>0.19717019855360979</v>
      </c>
    </row>
    <row r="41" spans="1:8">
      <c r="A41" s="212" t="s">
        <v>599</v>
      </c>
      <c r="B41" s="213" t="s">
        <v>553</v>
      </c>
      <c r="C41" s="213" t="s">
        <v>317</v>
      </c>
      <c r="D41" s="215"/>
      <c r="E41" s="225">
        <v>13.296395599831394</v>
      </c>
      <c r="F41" s="226">
        <v>1320</v>
      </c>
      <c r="G41" s="225">
        <v>11.140683844009207</v>
      </c>
      <c r="H41" s="227">
        <f t="shared" si="0"/>
        <v>0.19349905140530491</v>
      </c>
    </row>
    <row r="42" spans="1:8">
      <c r="A42" s="212" t="s">
        <v>600</v>
      </c>
      <c r="B42" s="213" t="s">
        <v>555</v>
      </c>
      <c r="C42" s="213" t="s">
        <v>318</v>
      </c>
      <c r="D42" s="215"/>
      <c r="E42" s="225">
        <v>12.753582862846175</v>
      </c>
      <c r="F42" s="226">
        <v>1300</v>
      </c>
      <c r="G42" s="225">
        <v>10.678151598716672</v>
      </c>
      <c r="H42" s="227">
        <f t="shared" si="0"/>
        <v>0.19436240860065454</v>
      </c>
    </row>
    <row r="43" spans="1:8">
      <c r="A43" s="212" t="s">
        <v>601</v>
      </c>
      <c r="B43" s="213" t="s">
        <v>557</v>
      </c>
      <c r="C43" s="213" t="s">
        <v>319</v>
      </c>
      <c r="D43" s="215"/>
      <c r="E43" s="225">
        <v>13.050535565439976</v>
      </c>
      <c r="F43" s="226">
        <v>450</v>
      </c>
      <c r="G43" s="225">
        <v>11.186287140410013</v>
      </c>
      <c r="H43" s="227">
        <f t="shared" si="0"/>
        <v>0.16665479811397302</v>
      </c>
    </row>
    <row r="44" spans="1:8">
      <c r="A44" s="212" t="s">
        <v>602</v>
      </c>
      <c r="B44" s="213" t="s">
        <v>559</v>
      </c>
      <c r="C44" s="213" t="s">
        <v>320</v>
      </c>
      <c r="D44" s="214" t="s">
        <v>543</v>
      </c>
      <c r="E44" s="225">
        <v>0.43</v>
      </c>
      <c r="F44" s="226">
        <v>1</v>
      </c>
      <c r="G44" s="225">
        <v>0.36</v>
      </c>
      <c r="H44" s="227">
        <f t="shared" si="0"/>
        <v>0.19444444444444448</v>
      </c>
    </row>
    <row r="45" spans="1:8">
      <c r="A45" s="212" t="s">
        <v>603</v>
      </c>
      <c r="B45" s="213" t="s">
        <v>562</v>
      </c>
      <c r="C45" s="213" t="s">
        <v>321</v>
      </c>
      <c r="D45" s="214" t="s">
        <v>543</v>
      </c>
      <c r="E45" s="225">
        <v>3.6160000000000001</v>
      </c>
      <c r="F45" s="226">
        <v>1</v>
      </c>
      <c r="G45" s="225">
        <v>3.06</v>
      </c>
      <c r="H45" s="227">
        <f t="shared" si="0"/>
        <v>0.18169934640522878</v>
      </c>
    </row>
    <row r="46" spans="1:8">
      <c r="A46" s="212" t="s">
        <v>604</v>
      </c>
      <c r="B46" s="213" t="s">
        <v>564</v>
      </c>
      <c r="C46" s="213" t="s">
        <v>322</v>
      </c>
      <c r="D46" s="214" t="s">
        <v>543</v>
      </c>
      <c r="E46" s="225"/>
      <c r="F46" s="226">
        <v>1</v>
      </c>
      <c r="G46" s="225"/>
      <c r="H46" s="227">
        <f t="shared" si="0"/>
        <v>0</v>
      </c>
    </row>
    <row r="47" spans="1:8">
      <c r="E47" s="198"/>
    </row>
    <row r="48" spans="1:8">
      <c r="A48" s="241"/>
      <c r="B48" s="242" t="s">
        <v>627</v>
      </c>
      <c r="C48" s="219"/>
      <c r="E48" s="198"/>
    </row>
    <row r="49" spans="1:5">
      <c r="A49" s="241"/>
      <c r="B49" s="220"/>
      <c r="C49" s="220"/>
      <c r="E49" s="198"/>
    </row>
    <row r="50" spans="1:5">
      <c r="A50" s="243">
        <v>1</v>
      </c>
      <c r="B50" s="244" t="s">
        <v>628</v>
      </c>
      <c r="E50" s="198"/>
    </row>
    <row r="51" spans="1:5" ht="29">
      <c r="A51" s="245" t="s">
        <v>629</v>
      </c>
      <c r="B51" s="246" t="s">
        <v>630</v>
      </c>
      <c r="E51" s="198"/>
    </row>
    <row r="52" spans="1:5">
      <c r="A52" s="245" t="s">
        <v>631</v>
      </c>
      <c r="B52" s="246" t="s">
        <v>632</v>
      </c>
      <c r="E52" s="198"/>
    </row>
    <row r="53" spans="1:5" ht="43.5">
      <c r="A53" s="245" t="s">
        <v>633</v>
      </c>
      <c r="B53" s="246" t="s">
        <v>634</v>
      </c>
      <c r="E53" s="198"/>
    </row>
    <row r="54" spans="1:5">
      <c r="A54" s="247"/>
      <c r="B54" s="248"/>
      <c r="E54" s="198"/>
    </row>
    <row r="55" spans="1:5">
      <c r="A55" s="243">
        <v>2</v>
      </c>
      <c r="B55" s="244" t="s">
        <v>635</v>
      </c>
      <c r="E55" s="198"/>
    </row>
    <row r="56" spans="1:5">
      <c r="A56" s="249"/>
      <c r="B56" s="250"/>
      <c r="E56" s="198"/>
    </row>
    <row r="57" spans="1:5">
      <c r="A57" s="243">
        <v>3</v>
      </c>
      <c r="B57" s="244" t="s">
        <v>636</v>
      </c>
      <c r="E57" s="198"/>
    </row>
    <row r="58" spans="1:5">
      <c r="A58" s="251" t="s">
        <v>637</v>
      </c>
      <c r="B58" s="246" t="s">
        <v>638</v>
      </c>
      <c r="E58" s="198"/>
    </row>
    <row r="59" spans="1:5">
      <c r="A59" s="251" t="s">
        <v>639</v>
      </c>
      <c r="B59" s="246" t="s">
        <v>640</v>
      </c>
      <c r="E59" s="198"/>
    </row>
    <row r="60" spans="1:5">
      <c r="A60" s="251" t="s">
        <v>641</v>
      </c>
      <c r="B60" s="246" t="s">
        <v>642</v>
      </c>
      <c r="E60" s="198"/>
    </row>
    <row r="61" spans="1:5">
      <c r="A61" s="251" t="s">
        <v>643</v>
      </c>
      <c r="B61" s="246" t="s">
        <v>644</v>
      </c>
      <c r="E61" s="198"/>
    </row>
    <row r="62" spans="1:5">
      <c r="A62" s="251" t="s">
        <v>645</v>
      </c>
      <c r="B62" s="246" t="s">
        <v>123</v>
      </c>
      <c r="E62" s="198"/>
    </row>
    <row r="63" spans="1:5">
      <c r="A63" s="251" t="s">
        <v>646</v>
      </c>
      <c r="B63" s="246" t="s">
        <v>647</v>
      </c>
      <c r="E63" s="198"/>
    </row>
    <row r="64" spans="1:5">
      <c r="A64" s="251" t="s">
        <v>648</v>
      </c>
      <c r="B64" s="246" t="s">
        <v>649</v>
      </c>
      <c r="E64" s="198"/>
    </row>
    <row r="65" spans="1:5">
      <c r="A65" s="251" t="s">
        <v>650</v>
      </c>
      <c r="B65" s="246" t="s">
        <v>651</v>
      </c>
      <c r="E65" s="198"/>
    </row>
    <row r="66" spans="1:5">
      <c r="A66" s="251" t="s">
        <v>652</v>
      </c>
      <c r="B66" s="246" t="s">
        <v>653</v>
      </c>
      <c r="E66" s="198"/>
    </row>
    <row r="67" spans="1:5">
      <c r="A67" s="251" t="s">
        <v>654</v>
      </c>
      <c r="B67" s="246" t="s">
        <v>655</v>
      </c>
      <c r="E67" s="198"/>
    </row>
    <row r="68" spans="1:5">
      <c r="A68" s="252"/>
      <c r="B68" s="248"/>
      <c r="E68" s="198"/>
    </row>
    <row r="69" spans="1:5">
      <c r="A69" s="243">
        <v>4</v>
      </c>
      <c r="B69" s="244" t="s">
        <v>609</v>
      </c>
      <c r="E69" s="198"/>
    </row>
    <row r="70" spans="1:5">
      <c r="A70" s="252"/>
      <c r="B70" s="248"/>
      <c r="E70" s="198"/>
    </row>
    <row r="71" spans="1:5">
      <c r="A71" s="243">
        <v>5</v>
      </c>
      <c r="B71" s="244" t="s">
        <v>656</v>
      </c>
      <c r="E71" s="198"/>
    </row>
    <row r="72" spans="1:5">
      <c r="E72" s="198"/>
    </row>
    <row r="73" spans="1:5">
      <c r="E73" s="198"/>
    </row>
    <row r="74" spans="1:5">
      <c r="E74" s="198"/>
    </row>
    <row r="75" spans="1:5">
      <c r="E75" s="198"/>
    </row>
    <row r="76" spans="1:5">
      <c r="E76" s="198"/>
    </row>
    <row r="77" spans="1:5">
      <c r="E77" s="198"/>
    </row>
    <row r="78" spans="1:5">
      <c r="E78" s="198"/>
    </row>
    <row r="79" spans="1:5">
      <c r="E79" s="198"/>
    </row>
    <row r="80" spans="1:5">
      <c r="E80" s="198"/>
    </row>
    <row r="81" spans="5:5">
      <c r="E81" s="198"/>
    </row>
    <row r="82" spans="5:5">
      <c r="E82" s="198"/>
    </row>
    <row r="83" spans="5:5">
      <c r="E83" s="198"/>
    </row>
    <row r="84" spans="5:5">
      <c r="E84" s="198"/>
    </row>
    <row r="85" spans="5:5">
      <c r="E85" s="198"/>
    </row>
    <row r="86" spans="5:5">
      <c r="E86" s="198"/>
    </row>
    <row r="87" spans="5:5">
      <c r="E87" s="198"/>
    </row>
    <row r="88" spans="5:5">
      <c r="E88" s="198"/>
    </row>
    <row r="89" spans="5:5">
      <c r="E89" s="198"/>
    </row>
    <row r="90" spans="5:5">
      <c r="E90" s="198"/>
    </row>
    <row r="91" spans="5:5">
      <c r="E91" s="198"/>
    </row>
    <row r="92" spans="5:5">
      <c r="E92" s="198"/>
    </row>
    <row r="93" spans="5:5">
      <c r="E93" s="198"/>
    </row>
    <row r="94" spans="5:5">
      <c r="E94" s="198"/>
    </row>
    <row r="95" spans="5:5">
      <c r="E95" s="198"/>
    </row>
    <row r="96" spans="5:5">
      <c r="E96" s="198"/>
    </row>
    <row r="97" spans="5:5">
      <c r="E97" s="198"/>
    </row>
    <row r="98" spans="5:5">
      <c r="E98" s="198"/>
    </row>
    <row r="99" spans="5:5">
      <c r="E99" s="198"/>
    </row>
    <row r="100" spans="5:5">
      <c r="E100" s="198"/>
    </row>
    <row r="101" spans="5:5">
      <c r="E101" s="198"/>
    </row>
    <row r="102" spans="5:5">
      <c r="E102" s="198"/>
    </row>
    <row r="103" spans="5:5">
      <c r="E103" s="198"/>
    </row>
    <row r="104" spans="5:5">
      <c r="E104" s="198"/>
    </row>
    <row r="105" spans="5:5">
      <c r="E105" s="198"/>
    </row>
    <row r="106" spans="5:5">
      <c r="E106" s="198"/>
    </row>
    <row r="107" spans="5:5">
      <c r="E107" s="198"/>
    </row>
    <row r="108" spans="5:5">
      <c r="E108" s="198"/>
    </row>
    <row r="109" spans="5:5">
      <c r="E109" s="198"/>
    </row>
    <row r="110" spans="5:5">
      <c r="E110" s="198"/>
    </row>
    <row r="111" spans="5:5">
      <c r="E111" s="198"/>
    </row>
    <row r="112" spans="5:5">
      <c r="E112" s="198"/>
    </row>
    <row r="113" spans="5:5">
      <c r="E113" s="198"/>
    </row>
    <row r="114" spans="5:5">
      <c r="E114" s="198"/>
    </row>
    <row r="115" spans="5:5">
      <c r="E115" s="198"/>
    </row>
    <row r="116" spans="5:5">
      <c r="E116" s="198"/>
    </row>
    <row r="117" spans="5:5">
      <c r="E117" s="198"/>
    </row>
    <row r="118" spans="5:5">
      <c r="E118" s="198"/>
    </row>
    <row r="119" spans="5:5">
      <c r="E119" s="198"/>
    </row>
    <row r="120" spans="5:5">
      <c r="E120" s="198"/>
    </row>
    <row r="121" spans="5:5">
      <c r="E121" s="198"/>
    </row>
    <row r="122" spans="5:5">
      <c r="E122" s="198"/>
    </row>
    <row r="123" spans="5:5">
      <c r="E123" s="198"/>
    </row>
    <row r="124" spans="5:5">
      <c r="E124" s="198"/>
    </row>
    <row r="125" spans="5:5">
      <c r="E125" s="198"/>
    </row>
    <row r="126" spans="5:5">
      <c r="E126" s="198"/>
    </row>
    <row r="127" spans="5:5">
      <c r="E127" s="198"/>
    </row>
    <row r="128" spans="5:5">
      <c r="E128" s="198"/>
    </row>
    <row r="129" spans="5:5">
      <c r="E129" s="198"/>
    </row>
    <row r="130" spans="5:5">
      <c r="E130" s="198"/>
    </row>
    <row r="131" spans="5:5">
      <c r="E131" s="198"/>
    </row>
    <row r="132" spans="5:5">
      <c r="E132" s="198"/>
    </row>
    <row r="133" spans="5:5">
      <c r="E133" s="198"/>
    </row>
    <row r="134" spans="5:5">
      <c r="E134" s="198"/>
    </row>
    <row r="135" spans="5:5">
      <c r="E135" s="198"/>
    </row>
    <row r="136" spans="5:5">
      <c r="E136" s="198"/>
    </row>
    <row r="137" spans="5:5">
      <c r="E137" s="198"/>
    </row>
    <row r="138" spans="5:5">
      <c r="E138" s="198"/>
    </row>
    <row r="139" spans="5:5">
      <c r="E139" s="198"/>
    </row>
    <row r="140" spans="5:5">
      <c r="E140" s="198"/>
    </row>
    <row r="141" spans="5:5">
      <c r="E141" s="198"/>
    </row>
    <row r="142" spans="5:5">
      <c r="E142" s="198"/>
    </row>
    <row r="143" spans="5:5">
      <c r="E143" s="198"/>
    </row>
    <row r="144" spans="5:5">
      <c r="E144" s="198"/>
    </row>
    <row r="145" spans="5:5">
      <c r="E145" s="198"/>
    </row>
    <row r="146" spans="5:5">
      <c r="E146" s="198"/>
    </row>
    <row r="147" spans="5:5">
      <c r="E147" s="198"/>
    </row>
    <row r="148" spans="5:5">
      <c r="E148" s="198"/>
    </row>
    <row r="149" spans="5:5">
      <c r="E149" s="198"/>
    </row>
    <row r="150" spans="5:5">
      <c r="E150" s="198"/>
    </row>
    <row r="151" spans="5:5">
      <c r="E151" s="198"/>
    </row>
    <row r="152" spans="5:5">
      <c r="E152" s="198"/>
    </row>
    <row r="153" spans="5:5">
      <c r="E153" s="198"/>
    </row>
    <row r="154" spans="5:5">
      <c r="E154" s="198"/>
    </row>
    <row r="155" spans="5:5">
      <c r="E155" s="198"/>
    </row>
  </sheetData>
  <mergeCells count="6">
    <mergeCell ref="D3:D7"/>
    <mergeCell ref="D12:D16"/>
    <mergeCell ref="L14:Q14"/>
    <mergeCell ref="D21:D25"/>
    <mergeCell ref="D30:D34"/>
    <mergeCell ref="D39:D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6122-4223-4F81-8EA3-D5EA143AC7E9}">
  <dimension ref="B2:G52"/>
  <sheetViews>
    <sheetView tabSelected="1" workbookViewId="0">
      <selection sqref="A1:XFD1048576"/>
    </sheetView>
  </sheetViews>
  <sheetFormatPr defaultRowHeight="14.5"/>
  <cols>
    <col min="2" max="2" width="7.54296875" bestFit="1" customWidth="1"/>
    <col min="3" max="3" width="52.54296875" bestFit="1" customWidth="1"/>
    <col min="4" max="4" width="22.7265625" bestFit="1" customWidth="1"/>
    <col min="5" max="5" width="38.54296875" customWidth="1"/>
    <col min="6" max="6" width="19.54296875" customWidth="1"/>
  </cols>
  <sheetData>
    <row r="2" spans="2:7">
      <c r="B2" s="254"/>
      <c r="C2" s="220"/>
      <c r="D2" s="254"/>
      <c r="E2" s="254"/>
      <c r="F2" s="254"/>
      <c r="G2" s="220"/>
    </row>
    <row r="3" spans="2:7" ht="89.15" customHeight="1">
      <c r="B3" s="255" t="s">
        <v>657</v>
      </c>
      <c r="C3" s="256"/>
      <c r="D3" s="256"/>
      <c r="E3" s="257"/>
      <c r="F3" s="254"/>
      <c r="G3" s="220"/>
    </row>
    <row r="4" spans="2:7">
      <c r="B4" s="220"/>
      <c r="C4" s="258"/>
      <c r="D4" s="258"/>
      <c r="E4" s="258"/>
      <c r="F4" s="254"/>
      <c r="G4" s="220"/>
    </row>
    <row r="5" spans="2:7">
      <c r="B5" s="259" t="s">
        <v>658</v>
      </c>
      <c r="C5" s="259"/>
      <c r="D5" s="259"/>
      <c r="E5" s="259"/>
      <c r="F5" s="254"/>
      <c r="G5" s="220"/>
    </row>
    <row r="6" spans="2:7">
      <c r="B6" s="260" t="s">
        <v>527</v>
      </c>
      <c r="C6" s="260" t="s">
        <v>528</v>
      </c>
      <c r="D6" s="261" t="s">
        <v>530</v>
      </c>
      <c r="E6" s="262" t="s">
        <v>659</v>
      </c>
      <c r="F6" s="263"/>
      <c r="G6" s="220"/>
    </row>
    <row r="7" spans="2:7">
      <c r="B7" s="264" t="s">
        <v>541</v>
      </c>
      <c r="C7" s="265" t="s">
        <v>542</v>
      </c>
      <c r="D7" s="266" t="s">
        <v>543</v>
      </c>
      <c r="E7" s="267">
        <f ca="1">+INDEX('[1]FINAL PRICING'!$E$2:$E$46,MATCH(B7,'[1]FINAL PRICING'!$A$2:$A$46,0))</f>
        <v>585046.48161169817</v>
      </c>
      <c r="F7" s="268"/>
      <c r="G7" s="220"/>
    </row>
    <row r="8" spans="2:7" ht="29">
      <c r="B8" s="264" t="s">
        <v>546</v>
      </c>
      <c r="C8" s="265" t="s">
        <v>547</v>
      </c>
      <c r="D8" s="269" t="s">
        <v>548</v>
      </c>
      <c r="E8" s="267">
        <f ca="1">+INDEX('[1]FINAL PRICING'!$E$2:$E$46,MATCH(B8,'[1]FINAL PRICING'!$A$2:$A$46,0))</f>
        <v>669.09090909090912</v>
      </c>
      <c r="F8" s="268"/>
      <c r="G8" s="220"/>
    </row>
    <row r="9" spans="2:7">
      <c r="B9" s="264" t="s">
        <v>550</v>
      </c>
      <c r="C9" s="265" t="s">
        <v>551</v>
      </c>
      <c r="D9" s="270"/>
      <c r="E9" s="267">
        <f ca="1">+INDEX('[1]FINAL PRICING'!$E$2:$E$46,MATCH(B9,'[1]FINAL PRICING'!$A$2:$A$46,0))</f>
        <v>262.78199148046485</v>
      </c>
      <c r="F9" s="268"/>
      <c r="G9" s="220"/>
    </row>
    <row r="10" spans="2:7">
      <c r="B10" s="264" t="s">
        <v>552</v>
      </c>
      <c r="C10" s="265" t="s">
        <v>553</v>
      </c>
      <c r="D10" s="270"/>
      <c r="E10" s="267">
        <f ca="1">+INDEX('[1]FINAL PRICING'!$E$2:$E$46,MATCH(B10,'[1]FINAL PRICING'!$A$2:$A$46,0))</f>
        <v>413.05852960626004</v>
      </c>
      <c r="F10" s="268"/>
      <c r="G10" s="220"/>
    </row>
    <row r="11" spans="2:7">
      <c r="B11" s="264" t="s">
        <v>554</v>
      </c>
      <c r="C11" s="265" t="s">
        <v>555</v>
      </c>
      <c r="D11" s="270"/>
      <c r="E11" s="267">
        <f ca="1">+INDEX('[1]FINAL PRICING'!$E$2:$E$46,MATCH(B11,'[1]FINAL PRICING'!$A$2:$A$46,0))</f>
        <v>872.08463548143231</v>
      </c>
      <c r="F11" s="268"/>
      <c r="G11" s="220"/>
    </row>
    <row r="12" spans="2:7">
      <c r="B12" s="264" t="s">
        <v>556</v>
      </c>
      <c r="C12" s="271" t="s">
        <v>557</v>
      </c>
      <c r="D12" s="272"/>
      <c r="E12" s="273" t="s">
        <v>660</v>
      </c>
      <c r="F12" s="274"/>
      <c r="G12" s="220"/>
    </row>
    <row r="13" spans="2:7">
      <c r="B13" s="275" t="s">
        <v>558</v>
      </c>
      <c r="C13" s="265" t="s">
        <v>559</v>
      </c>
      <c r="D13" s="276" t="s">
        <v>543</v>
      </c>
      <c r="E13" s="267">
        <f ca="1">+INDEX('[1]FINAL PRICING'!$E$2:$E$46,MATCH(B13,'[1]FINAL PRICING'!$A$2:$A$46,0))</f>
        <v>6497.269220946353</v>
      </c>
      <c r="F13" s="274"/>
      <c r="G13" s="220"/>
    </row>
    <row r="14" spans="2:7">
      <c r="B14" s="264" t="s">
        <v>561</v>
      </c>
      <c r="C14" s="277" t="s">
        <v>562</v>
      </c>
      <c r="D14" s="276" t="s">
        <v>543</v>
      </c>
      <c r="E14" s="267">
        <f ca="1">+INDEX('[1]FINAL PRICING'!$E$2:$E$46,MATCH(B14,'[1]FINAL PRICING'!$A$2:$A$46,0))</f>
        <v>59098.520088850659</v>
      </c>
      <c r="F14" s="274"/>
      <c r="G14" s="220"/>
    </row>
    <row r="15" spans="2:7">
      <c r="B15" s="264" t="s">
        <v>563</v>
      </c>
      <c r="C15" s="265" t="s">
        <v>564</v>
      </c>
      <c r="D15" s="276" t="s">
        <v>543</v>
      </c>
      <c r="E15" s="267">
        <f ca="1">+INDEX('[1]FINAL PRICING'!$E$2:$E$46,MATCH(B15,'[1]FINAL PRICING'!$A$2:$A$46,0))</f>
        <v>13500</v>
      </c>
      <c r="F15" s="268"/>
      <c r="G15" s="220"/>
    </row>
    <row r="16" spans="2:7">
      <c r="B16" s="220"/>
      <c r="C16" s="263"/>
      <c r="D16" s="263"/>
      <c r="E16" s="278"/>
      <c r="F16" s="254"/>
      <c r="G16" s="220"/>
    </row>
    <row r="17" spans="2:7">
      <c r="B17" s="259" t="s">
        <v>661</v>
      </c>
      <c r="C17" s="259"/>
      <c r="D17" s="259"/>
      <c r="E17" s="259"/>
      <c r="F17" s="254"/>
      <c r="G17" s="220"/>
    </row>
    <row r="18" spans="2:7">
      <c r="B18" s="260" t="s">
        <v>527</v>
      </c>
      <c r="C18" s="260" t="s">
        <v>528</v>
      </c>
      <c r="D18" s="261" t="s">
        <v>530</v>
      </c>
      <c r="E18" s="262" t="s">
        <v>659</v>
      </c>
      <c r="F18" s="263"/>
      <c r="G18" s="220"/>
    </row>
    <row r="19" spans="2:7">
      <c r="B19" s="264" t="s">
        <v>565</v>
      </c>
      <c r="C19" s="265" t="s">
        <v>542</v>
      </c>
      <c r="D19" s="266" t="s">
        <v>543</v>
      </c>
      <c r="E19" s="267">
        <f ca="1">+INDEX('[1]FINAL PRICING'!$E$2:$E$46,MATCH(B19,'[1]FINAL PRICING'!$A$2:$A$46,0))</f>
        <v>618616.06992573594</v>
      </c>
      <c r="F19" s="268"/>
      <c r="G19" s="220"/>
    </row>
    <row r="20" spans="2:7" ht="29">
      <c r="B20" s="264" t="s">
        <v>567</v>
      </c>
      <c r="C20" s="265" t="s">
        <v>547</v>
      </c>
      <c r="D20" s="269" t="s">
        <v>548</v>
      </c>
      <c r="E20" s="267">
        <f ca="1">+INDEX('[1]FINAL PRICING'!$E$2:$E$46,MATCH(B20,'[1]FINAL PRICING'!$A$2:$A$46,0))</f>
        <v>669.09090909090912</v>
      </c>
      <c r="F20" s="268"/>
      <c r="G20" s="220"/>
    </row>
    <row r="21" spans="2:7">
      <c r="B21" s="264" t="s">
        <v>568</v>
      </c>
      <c r="C21" s="265" t="s">
        <v>551</v>
      </c>
      <c r="D21" s="270"/>
      <c r="E21" s="267">
        <f ca="1">+INDEX('[1]FINAL PRICING'!$E$2:$E$46,MATCH(B21,'[1]FINAL PRICING'!$A$2:$A$46,0))</f>
        <v>262.78199148046485</v>
      </c>
      <c r="F21" s="268"/>
      <c r="G21" s="220"/>
    </row>
    <row r="22" spans="2:7">
      <c r="B22" s="264" t="s">
        <v>569</v>
      </c>
      <c r="C22" s="265" t="s">
        <v>553</v>
      </c>
      <c r="D22" s="270"/>
      <c r="E22" s="267">
        <f ca="1">+INDEX('[1]FINAL PRICING'!$E$2:$E$46,MATCH(B22,'[1]FINAL PRICING'!$A$2:$A$46,0))</f>
        <v>483.05839861323062</v>
      </c>
      <c r="F22" s="268"/>
      <c r="G22" s="220"/>
    </row>
    <row r="23" spans="2:7">
      <c r="B23" s="264" t="s">
        <v>570</v>
      </c>
      <c r="C23" s="265" t="s">
        <v>555</v>
      </c>
      <c r="D23" s="270"/>
      <c r="E23" s="267">
        <f ca="1">+INDEX('[1]FINAL PRICING'!$E$2:$E$46,MATCH(B23,'[1]FINAL PRICING'!$A$2:$A$46,0))</f>
        <v>680.76667352347579</v>
      </c>
      <c r="F23" s="268"/>
      <c r="G23" s="220"/>
    </row>
    <row r="24" spans="2:7">
      <c r="B24" s="264" t="s">
        <v>571</v>
      </c>
      <c r="C24" s="271" t="s">
        <v>557</v>
      </c>
      <c r="D24" s="272"/>
      <c r="E24" s="273" t="s">
        <v>660</v>
      </c>
      <c r="F24" s="274"/>
      <c r="G24" s="220"/>
    </row>
    <row r="25" spans="2:7">
      <c r="B25" s="264" t="s">
        <v>572</v>
      </c>
      <c r="C25" s="265" t="s">
        <v>559</v>
      </c>
      <c r="D25" s="276" t="s">
        <v>543</v>
      </c>
      <c r="E25" s="267">
        <f ca="1">+INDEX('[1]FINAL PRICING'!$E$2:$E$46,MATCH(B25,'[1]FINAL PRICING'!$A$2:$A$46,0))</f>
        <v>6497.269220946353</v>
      </c>
      <c r="F25" s="274"/>
      <c r="G25" s="220"/>
    </row>
    <row r="26" spans="2:7">
      <c r="B26" s="264" t="s">
        <v>573</v>
      </c>
      <c r="C26" s="277" t="s">
        <v>562</v>
      </c>
      <c r="D26" s="276" t="s">
        <v>543</v>
      </c>
      <c r="E26" s="267">
        <f ca="1">+INDEX('[1]FINAL PRICING'!$E$2:$E$46,MATCH(B26,'[1]FINAL PRICING'!$A$2:$A$46,0))</f>
        <v>54174.790054457284</v>
      </c>
      <c r="F26" s="274"/>
      <c r="G26" s="220"/>
    </row>
    <row r="27" spans="2:7">
      <c r="B27" s="264" t="s">
        <v>574</v>
      </c>
      <c r="C27" s="265" t="s">
        <v>564</v>
      </c>
      <c r="D27" s="276" t="s">
        <v>543</v>
      </c>
      <c r="E27" s="267">
        <f ca="1">+INDEX('[1]FINAL PRICING'!$E$2:$E$46,MATCH(B27,'[1]FINAL PRICING'!$A$2:$A$46,0))</f>
        <v>13500</v>
      </c>
      <c r="F27" s="268"/>
      <c r="G27" s="220"/>
    </row>
    <row r="28" spans="2:7">
      <c r="B28" s="220"/>
      <c r="C28" s="263"/>
      <c r="D28" s="263"/>
      <c r="E28" s="278"/>
      <c r="F28" s="254"/>
      <c r="G28" s="220"/>
    </row>
    <row r="29" spans="2:7">
      <c r="B29" s="220"/>
      <c r="C29" s="279" t="s">
        <v>627</v>
      </c>
      <c r="D29" s="280"/>
      <c r="E29" s="281"/>
      <c r="F29" s="281"/>
      <c r="G29" s="281"/>
    </row>
    <row r="30" spans="2:7">
      <c r="B30" s="220"/>
      <c r="C30" s="220"/>
      <c r="D30" s="280"/>
      <c r="E30" s="254"/>
      <c r="F30" s="282"/>
      <c r="G30" s="254"/>
    </row>
    <row r="31" spans="2:7">
      <c r="B31" s="283">
        <v>1</v>
      </c>
      <c r="C31" s="284" t="s">
        <v>628</v>
      </c>
      <c r="D31" s="280"/>
      <c r="E31" s="280"/>
      <c r="F31" s="254"/>
      <c r="G31" s="220"/>
    </row>
    <row r="32" spans="2:7" ht="29">
      <c r="B32" s="285" t="s">
        <v>629</v>
      </c>
      <c r="C32" s="286" t="s">
        <v>630</v>
      </c>
      <c r="D32" s="280"/>
      <c r="E32" s="280"/>
      <c r="F32" s="254"/>
      <c r="G32" s="220"/>
    </row>
    <row r="33" spans="2:7">
      <c r="B33" s="285" t="s">
        <v>631</v>
      </c>
      <c r="C33" s="286" t="s">
        <v>632</v>
      </c>
      <c r="D33" s="280"/>
      <c r="E33" s="280"/>
      <c r="F33" s="254"/>
      <c r="G33" s="220"/>
    </row>
    <row r="34" spans="2:7" ht="58">
      <c r="B34" s="285" t="s">
        <v>633</v>
      </c>
      <c r="C34" s="286" t="s">
        <v>634</v>
      </c>
      <c r="D34" s="280"/>
      <c r="E34" s="280"/>
      <c r="F34" s="254"/>
      <c r="G34" s="220"/>
    </row>
    <row r="35" spans="2:7">
      <c r="B35" s="287"/>
      <c r="C35" s="248"/>
      <c r="D35" s="280"/>
      <c r="E35" s="280"/>
      <c r="F35" s="254"/>
      <c r="G35" s="288"/>
    </row>
    <row r="36" spans="2:7">
      <c r="B36" s="283">
        <v>2</v>
      </c>
      <c r="C36" s="284" t="s">
        <v>635</v>
      </c>
      <c r="D36" s="280"/>
      <c r="E36" s="280"/>
      <c r="F36" s="254"/>
      <c r="G36" s="288"/>
    </row>
    <row r="37" spans="2:7">
      <c r="B37" s="249"/>
      <c r="C37" s="250"/>
      <c r="D37" s="280"/>
      <c r="E37" s="280"/>
      <c r="F37" s="254"/>
      <c r="G37" s="288"/>
    </row>
    <row r="38" spans="2:7">
      <c r="B38" s="283">
        <v>3</v>
      </c>
      <c r="C38" s="284" t="s">
        <v>636</v>
      </c>
      <c r="D38" s="280"/>
      <c r="E38" s="280"/>
      <c r="F38" s="254"/>
      <c r="G38" s="288"/>
    </row>
    <row r="39" spans="2:7">
      <c r="B39" s="289" t="s">
        <v>637</v>
      </c>
      <c r="C39" s="286" t="s">
        <v>638</v>
      </c>
      <c r="D39" s="280"/>
      <c r="E39" s="280"/>
      <c r="F39" s="254"/>
      <c r="G39" s="288"/>
    </row>
    <row r="40" spans="2:7">
      <c r="B40" s="289" t="s">
        <v>639</v>
      </c>
      <c r="C40" s="286" t="s">
        <v>640</v>
      </c>
      <c r="D40" s="280"/>
      <c r="E40" s="280"/>
      <c r="F40" s="254"/>
      <c r="G40" s="288"/>
    </row>
    <row r="41" spans="2:7">
      <c r="B41" s="289" t="s">
        <v>641</v>
      </c>
      <c r="C41" s="286" t="s">
        <v>642</v>
      </c>
      <c r="D41" s="280"/>
      <c r="E41" s="280"/>
      <c r="F41" s="254"/>
      <c r="G41" s="288"/>
    </row>
    <row r="42" spans="2:7">
      <c r="B42" s="289" t="s">
        <v>643</v>
      </c>
      <c r="C42" s="286" t="s">
        <v>644</v>
      </c>
      <c r="D42" s="219"/>
      <c r="E42" s="280"/>
      <c r="F42" s="254"/>
      <c r="G42" s="288"/>
    </row>
    <row r="43" spans="2:7">
      <c r="B43" s="289" t="s">
        <v>645</v>
      </c>
      <c r="C43" s="286" t="s">
        <v>123</v>
      </c>
      <c r="D43" s="219"/>
      <c r="E43" s="280"/>
      <c r="F43" s="254"/>
      <c r="G43" s="288"/>
    </row>
    <row r="44" spans="2:7">
      <c r="B44" s="289" t="s">
        <v>646</v>
      </c>
      <c r="C44" s="286" t="s">
        <v>647</v>
      </c>
      <c r="D44" s="220"/>
      <c r="E44" s="220"/>
      <c r="F44" s="254"/>
      <c r="G44" s="288"/>
    </row>
    <row r="45" spans="2:7">
      <c r="B45" s="289" t="s">
        <v>648</v>
      </c>
      <c r="C45" s="286" t="s">
        <v>649</v>
      </c>
      <c r="D45" s="220"/>
      <c r="E45" s="220"/>
      <c r="F45" s="254"/>
      <c r="G45" s="220"/>
    </row>
    <row r="46" spans="2:7">
      <c r="B46" s="289" t="s">
        <v>650</v>
      </c>
      <c r="C46" s="286" t="s">
        <v>651</v>
      </c>
      <c r="D46" s="220"/>
      <c r="E46" s="220"/>
      <c r="F46" s="254"/>
      <c r="G46" s="220"/>
    </row>
    <row r="47" spans="2:7">
      <c r="B47" s="289" t="s">
        <v>652</v>
      </c>
      <c r="C47" s="286" t="s">
        <v>653</v>
      </c>
      <c r="D47" s="220"/>
      <c r="E47" s="220"/>
      <c r="F47" s="254"/>
      <c r="G47" s="220"/>
    </row>
    <row r="48" spans="2:7">
      <c r="B48" s="289" t="s">
        <v>654</v>
      </c>
      <c r="C48" s="286" t="s">
        <v>655</v>
      </c>
      <c r="D48" s="220"/>
      <c r="E48" s="220"/>
      <c r="F48" s="254"/>
      <c r="G48" s="220"/>
    </row>
    <row r="49" spans="2:7">
      <c r="B49" s="290"/>
      <c r="C49" s="248"/>
      <c r="D49" s="220"/>
      <c r="E49" s="220"/>
      <c r="F49" s="254"/>
      <c r="G49" s="220"/>
    </row>
    <row r="50" spans="2:7">
      <c r="B50" s="283">
        <v>4</v>
      </c>
      <c r="C50" s="284" t="s">
        <v>609</v>
      </c>
      <c r="D50" s="220"/>
      <c r="E50" s="220"/>
      <c r="F50" s="254"/>
      <c r="G50" s="220"/>
    </row>
    <row r="51" spans="2:7">
      <c r="B51" s="290"/>
      <c r="C51" s="248"/>
      <c r="D51" s="220"/>
      <c r="E51" s="220"/>
      <c r="F51" s="254"/>
      <c r="G51" s="220"/>
    </row>
    <row r="52" spans="2:7">
      <c r="B52" s="283">
        <v>5</v>
      </c>
      <c r="C52" s="284" t="s">
        <v>656</v>
      </c>
      <c r="D52" s="220"/>
      <c r="E52" s="220"/>
      <c r="F52" s="254"/>
      <c r="G52" s="220"/>
    </row>
  </sheetData>
  <protectedRanges>
    <protectedRange sqref="E7:E15 E19:E27" name="Range1"/>
  </protectedRanges>
  <mergeCells count="6">
    <mergeCell ref="B3:E3"/>
    <mergeCell ref="B5:E5"/>
    <mergeCell ref="D8:D12"/>
    <mergeCell ref="B17:E17"/>
    <mergeCell ref="D20:D24"/>
    <mergeCell ref="E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_WellBasketSelection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sravya</dc:creator>
  <cp:lastModifiedBy>durga sravya</cp:lastModifiedBy>
  <dcterms:created xsi:type="dcterms:W3CDTF">2025-07-17T07:42:49Z</dcterms:created>
  <dcterms:modified xsi:type="dcterms:W3CDTF">2025-07-17T07:45:07Z</dcterms:modified>
</cp:coreProperties>
</file>